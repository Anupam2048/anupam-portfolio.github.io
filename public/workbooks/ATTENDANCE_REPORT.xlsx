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EMPLOYEE_LIST" sheetId="2" r:id="rId6"/>
    <sheet state="visible" name="DATA_LOG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Google Sheets: convert the file to native Google Sheets format, then open Extensions &gt; Apps Script. Paste the onEdit script to save typed IN/OUT times into DATA_LOG and restore the formula.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Manual status override codes: A = Absent, L = Leave, HL = Holiday. If STATUS is blank, ATTENDANCE calculates FD/HD from time and WO on Sundays.</t>
      </text>
    </comment>
  </commentList>
</comments>
</file>

<file path=xl/sharedStrings.xml><?xml version="1.0" encoding="utf-8"?>
<sst xmlns="http://schemas.openxmlformats.org/spreadsheetml/2006/main" count="914" uniqueCount="118">
  <si>
    <t>NAME</t>
  </si>
  <si>
    <t>EMP ID</t>
  </si>
  <si>
    <t>EMPLOYEE ID</t>
  </si>
  <si>
    <t>DEPARTMENT</t>
  </si>
  <si>
    <t>DESIGNATION</t>
  </si>
  <si>
    <t>EMAIL</t>
  </si>
  <si>
    <t>PHONE</t>
  </si>
  <si>
    <t>DATE OF JOINING</t>
  </si>
  <si>
    <t>STATUS</t>
  </si>
  <si>
    <t>DATE</t>
  </si>
  <si>
    <t xml:space="preserve">IN </t>
  </si>
  <si>
    <t>OUT</t>
  </si>
  <si>
    <t>AMAN NAYAK</t>
  </si>
  <si>
    <t>REMARK</t>
  </si>
  <si>
    <t>AYV-35</t>
  </si>
  <si>
    <t>ENGINEERING</t>
  </si>
  <si>
    <t>SUPERVISOR</t>
  </si>
  <si>
    <t>16-02-2023</t>
  </si>
  <si>
    <t>Active</t>
  </si>
  <si>
    <t>ARJUN BAHADUR</t>
  </si>
  <si>
    <t>AYV-88</t>
  </si>
  <si>
    <t>01-01-2026</t>
  </si>
  <si>
    <t>ARYAN CHANDRAKAR</t>
  </si>
  <si>
    <t>AYV-71</t>
  </si>
  <si>
    <t>SITE ENGINEER</t>
  </si>
  <si>
    <t>01-04-2026</t>
  </si>
  <si>
    <t>ASHOK PAVAR</t>
  </si>
  <si>
    <t>AYV-32</t>
  </si>
  <si>
    <t>18-02-2023</t>
  </si>
  <si>
    <t>BIBEK MUNDA</t>
  </si>
  <si>
    <t>AYV-85</t>
  </si>
  <si>
    <t>26-02-2026</t>
  </si>
  <si>
    <t>BIMOL SINGH</t>
  </si>
  <si>
    <t>AYV-37</t>
  </si>
  <si>
    <t>28-02-2024</t>
  </si>
  <si>
    <t>KHUSHAL SONKAR</t>
  </si>
  <si>
    <t>AYV-93</t>
  </si>
  <si>
    <t>CIVIL</t>
  </si>
  <si>
    <t>QUANTITY SURVEYOR</t>
  </si>
  <si>
    <t>09-03-2026</t>
  </si>
  <si>
    <t>NITESH DUGGA</t>
  </si>
  <si>
    <t>AYV82</t>
  </si>
  <si>
    <t>01-01-2021</t>
  </si>
  <si>
    <t>RANVIR KUMAR</t>
  </si>
  <si>
    <t>AYV31</t>
  </si>
  <si>
    <t>18-02-2026</t>
  </si>
  <si>
    <t>ROSHAN VISHWAKARMA</t>
  </si>
  <si>
    <t>AYV-34</t>
  </si>
  <si>
    <t>04-03-2023</t>
  </si>
  <si>
    <t>SANJAY KUMAR YADAV</t>
  </si>
  <si>
    <t>AYV-81</t>
  </si>
  <si>
    <t>07-02-2026</t>
  </si>
  <si>
    <t>SOMNATH CHAKRABORTY</t>
  </si>
  <si>
    <t>AYV-50</t>
  </si>
  <si>
    <t>PROJECT MANAGER</t>
  </si>
  <si>
    <t>11-03-2026</t>
  </si>
  <si>
    <t>SUBHAM KUMAR</t>
  </si>
  <si>
    <t>AYV-79</t>
  </si>
  <si>
    <t>STRUCTURE ENGINEER</t>
  </si>
  <si>
    <t>23-04-2026</t>
  </si>
  <si>
    <t>VINAY KUMAR</t>
  </si>
  <si>
    <t>AYV-78</t>
  </si>
  <si>
    <t>19-01-2026</t>
  </si>
  <si>
    <t>VICKY KUMAR</t>
  </si>
  <si>
    <t>AYV INFRASTRUCTURE</t>
  </si>
  <si>
    <t>AYV-99</t>
  </si>
  <si>
    <t>MECHNICAL</t>
  </si>
  <si>
    <t>PLANT OPERATOR</t>
  </si>
  <si>
    <t>BHOJ PRASAD MAKRAM</t>
  </si>
  <si>
    <t>ATTENDANCE REPORT</t>
  </si>
  <si>
    <t>AYV-84</t>
  </si>
  <si>
    <t>OPERATOR</t>
  </si>
  <si>
    <t>AJAX OPERATOR</t>
  </si>
  <si>
    <t>PIJESHWAR THAKUR</t>
  </si>
  <si>
    <t>AYV-44</t>
  </si>
  <si>
    <t>ADMIN</t>
  </si>
  <si>
    <t>DRIVER</t>
  </si>
  <si>
    <t>29-12-2025</t>
  </si>
  <si>
    <t xml:space="preserve">GOBINDA </t>
  </si>
  <si>
    <t>AYV-102</t>
  </si>
  <si>
    <t>EXCAVATOR OPERATOR</t>
  </si>
  <si>
    <t>NOTE: ONLY MAKE EDIT IN THE YELLOW COLOURED CELL'S</t>
  </si>
  <si>
    <t>RUPESH</t>
  </si>
  <si>
    <t>AYV-97</t>
  </si>
  <si>
    <t>MECHANICAL</t>
  </si>
  <si>
    <t>EXCAVATOR HELPER</t>
  </si>
  <si>
    <t>DHANANJY</t>
  </si>
  <si>
    <t>AYV-21</t>
  </si>
  <si>
    <t>SEPTEMBER</t>
  </si>
  <si>
    <t>02 (WED)</t>
  </si>
  <si>
    <t>03 (THU)</t>
  </si>
  <si>
    <t>04 (FRI)</t>
  </si>
  <si>
    <t>05 (SAT)</t>
  </si>
  <si>
    <t>06 (SUN)</t>
  </si>
  <si>
    <t>07 (MON)</t>
  </si>
  <si>
    <t>08 (TUE)</t>
  </si>
  <si>
    <t>09 (WED)</t>
  </si>
  <si>
    <t>10 (THU)</t>
  </si>
  <si>
    <t>11 (FRI)</t>
  </si>
  <si>
    <t>12 (SAT)</t>
  </si>
  <si>
    <t>13 (SUN)</t>
  </si>
  <si>
    <t>14 (MON)</t>
  </si>
  <si>
    <t>15 (TUE)</t>
  </si>
  <si>
    <t>16 (WED)</t>
  </si>
  <si>
    <t>17 (THU)</t>
  </si>
  <si>
    <t>18 (FRI)</t>
  </si>
  <si>
    <t>19 (SAT)</t>
  </si>
  <si>
    <t>20 (SUN)</t>
  </si>
  <si>
    <t>21 (MON)</t>
  </si>
  <si>
    <t>22 (TUE)</t>
  </si>
  <si>
    <t>23 (WED)</t>
  </si>
  <si>
    <t>24 (THU)</t>
  </si>
  <si>
    <t>25 (FRI)</t>
  </si>
  <si>
    <t>26 (SAT)</t>
  </si>
  <si>
    <t>27 (SUN)</t>
  </si>
  <si>
    <t>28 (MON)</t>
  </si>
  <si>
    <t>29 (TUE)</t>
  </si>
  <si>
    <t>30 (WED)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</si>
</sst>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"/>
    <numFmt numFmtId="166" formatCode="h&quot;:&quot;mm&quot; &quot;am/pm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i/>
      <sz val="8.0"/>
      <color rgb="FFFF0000"/>
      <name val="Arial"/>
      <scheme val="minor"/>
    </font>
    <font>
      <b/>
      <i/>
      <sz val="8.0"/>
      <color rgb="FF000000"/>
      <name val="Arial"/>
      <scheme val="minor"/>
    </font>
    <font/>
    <font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4" fontId="4" numFmtId="0" xfId="0" applyAlignment="1" applyFill="1" applyFont="1">
      <alignment readingOrder="0"/>
    </xf>
    <xf borderId="0" fillId="4" fontId="4" numFmtId="164" xfId="0" applyAlignment="1" applyFill="1" applyFont="1" applyNumberFormat="1">
      <alignment readingOrder="0"/>
    </xf>
    <xf borderId="2" fillId="0" fontId="4" numFmtId="0" xfId="0" applyAlignment="1" applyBorder="1" applyFont="1">
      <alignment horizontal="center" vertical="center"/>
    </xf>
    <xf borderId="0" fillId="4" fontId="4" numFmtId="165" xfId="0" applyAlignment="1" applyFill="1" applyFont="1" applyNumberFormat="1">
      <alignment readingOrder="0"/>
    </xf>
    <xf borderId="0" fillId="5" fontId="4" numFmtId="0" xfId="0" applyFill="1" applyFont="1"/>
    <xf borderId="0" fillId="4" fontId="4" numFmtId="0" xfId="0" applyFill="1" applyFont="1"/>
    <xf borderId="2" fillId="0" fontId="4" numFmtId="0" xfId="0" applyAlignment="1" applyBorder="1" applyFont="1">
      <alignment horizontal="center" readingOrder="0" vertical="center"/>
    </xf>
    <xf borderId="0" fillId="4" fontId="4" numFmtId="165" xfId="0" applyAlignment="1" applyFill="1" applyFont="1" applyNumberFormat="1">
      <alignment readingOrder="0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vertical="center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left" readingOrder="0" vertical="center"/>
    </xf>
    <xf borderId="0" fillId="0" fontId="4" numFmtId="0" xfId="0" applyFont="1"/>
    <xf borderId="3" fillId="6" fontId="1" numFmtId="0" xfId="0" applyAlignment="1" applyBorder="1" applyFill="1" applyFont="1">
      <alignment horizontal="center" readingOrder="0" vertical="center"/>
    </xf>
    <xf borderId="4" fillId="0" fontId="10" numFmtId="0" xfId="0" applyBorder="1" applyFont="1"/>
    <xf borderId="5" fillId="0" fontId="10" numFmtId="0" xfId="0" applyBorder="1" applyFont="1"/>
    <xf borderId="3" fillId="6" fontId="1" numFmtId="0" xfId="0" applyAlignment="1" applyBorder="1" applyFill="1" applyFont="1">
      <alignment horizontal="center" readingOrder="0"/>
    </xf>
    <xf borderId="3" fillId="6" fontId="4" numFmtId="0" xfId="0" applyAlignment="1" applyBorder="1" applyFill="1" applyFont="1">
      <alignment horizontal="center" readingOrder="0"/>
    </xf>
    <xf borderId="3" fillId="6" fontId="11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2" fillId="5" fontId="4" numFmtId="18" xfId="0" applyAlignment="1" applyBorder="1" applyFill="1" applyFont="1" applyNumberFormat="1">
      <alignment readingOrder="0"/>
    </xf>
    <xf borderId="2" fillId="5" fontId="4" numFmtId="166" xfId="0" applyAlignment="1" applyBorder="1" applyFill="1" applyFont="1" applyNumberFormat="1">
      <alignment readingOrder="0"/>
    </xf>
    <xf borderId="8" fillId="0" fontId="1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5" fontId="5" numFmtId="18" xfId="0" applyAlignment="1" applyBorder="1" applyFill="1" applyFont="1" applyNumberFormat="1">
      <alignment horizontal="right" readingOrder="0" vertical="bottom"/>
    </xf>
    <xf borderId="2" fillId="5" fontId="5" numFmtId="18" xfId="0" applyAlignment="1" applyBorder="1" applyFill="1" applyFont="1" applyNumberFormat="1">
      <alignment horizontal="right" vertical="bottom"/>
    </xf>
    <xf borderId="2" fillId="5" fontId="5" numFmtId="18" xfId="0" applyAlignment="1" applyBorder="1" applyFill="1" applyFont="1" applyNumberFormat="1">
      <alignment vertical="bottom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4" numFmtId="166" xfId="0" applyAlignment="1" applyBorder="1" applyFont="1" applyNumberFormat="1">
      <alignment horizontal="center" readingOrder="0" shrinkToFit="0" vertical="center" wrapText="1"/>
    </xf>
    <xf borderId="2" fillId="0" fontId="4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2" width="6.5"/>
  </cols>
  <sheetData>
    <row r="1">
      <c r="A1" s="14" t="s">
        <v>64</v>
      </c>
    </row>
    <row r="2">
      <c r="A2" s="17" t="s">
        <v>69</v>
      </c>
    </row>
    <row r="3">
      <c r="A3" s="18" t="s">
        <v>81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23" t="s">
        <v>88</v>
      </c>
      <c r="P3" s="23">
        <v>2026.0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>
      <c r="A4" s="25" t="str">
        <f t="array" ref="A4">INDEX(EMPLOYEE_LIST!$A:$A,INT((ROW()-4)/7)+2)</f>
        <v>AMAN NAYAK</v>
      </c>
      <c r="B4" s="26"/>
      <c r="C4" s="27"/>
      <c r="D4" s="28" t="str">
        <f>IF(A4="", "", IFERROR(VLOOKUP(A4, EMPLOYEE_LIST!$A:$H, 2, FALSE), ""))</f>
        <v>AYV-35</v>
      </c>
      <c r="E4" s="26"/>
      <c r="F4" s="26"/>
      <c r="G4" s="27"/>
      <c r="H4" s="29" t="str">
        <f>IF(A4="", "", IFERROR(VLOOKUP(A4, EMPLOYEE_LIST!$A:$H, 3, FALSE), ""))</f>
        <v>ENGINEERING</v>
      </c>
      <c r="I4" s="26"/>
      <c r="J4" s="26"/>
      <c r="K4" s="27"/>
      <c r="L4" s="29" t="str">
        <f>IF(A4="", "", IFERROR(VLOOKUP(A4, EMPLOYEE_LIST!$A:$H, 4, FALSE), ""))</f>
        <v>SUPERVISOR</v>
      </c>
      <c r="M4" s="26"/>
      <c r="N4" s="26"/>
      <c r="O4" s="27"/>
      <c r="P4" s="30" t="str">
        <f>IF($A4="", "", "Full Day: " &amp; COUNTIF(B9:AF9, "FD"))</f>
        <v>Full Day: 0</v>
      </c>
      <c r="Q4" s="26"/>
      <c r="R4" s="27"/>
      <c r="S4" s="31" t="str">
        <f>IF($A4="", "", "HALF Day: " &amp; COUNTIF(B9:AF9, "HD"))</f>
        <v>HALF Day: 0</v>
      </c>
      <c r="T4" s="26"/>
      <c r="U4" s="27"/>
      <c r="V4" s="31" t="str">
        <f>IF($A4="", "", "ABSENT: " &amp; COUNTIF(B9:AF9, "A"))</f>
        <v>ABSENT: 10</v>
      </c>
      <c r="W4" s="26"/>
      <c r="X4" s="27"/>
      <c r="Y4" s="31" t="str">
        <f>IF($A4="", "", "WEEK OFF: " &amp; COUNTIF(B9:AF9, "WO"))</f>
        <v>WEEK OFF: 1</v>
      </c>
      <c r="Z4" s="26"/>
      <c r="AA4" s="27"/>
      <c r="AB4" s="31" t="str">
        <f>IF($A4="", "", "LEAVE: " &amp; COUNTIF(B9:AF9, "L"))</f>
        <v>LEAVE: 0</v>
      </c>
      <c r="AC4" s="27"/>
      <c r="AD4" s="31" t="str">
        <f>IF($A4="", "", "HOLIDAY: " &amp; COUNTIF(B9:AF9, "HL"))</f>
        <v>HOLIDAY: 0</v>
      </c>
      <c r="AE4" s="26"/>
      <c r="AF4" s="27"/>
    </row>
    <row r="5">
      <c r="A5" s="32" t="str">
        <f>IF($A4="", "", "DATE")</f>
        <v>DATE</v>
      </c>
      <c r="B5" s="33" t="str">
        <f t="array" ref="B5:AE5">IF($A4="","",LET(mNum,MONTH(1&amp;$N$3),start,DATE($P$3,mNum,1),days,DAY(EOMONTH(start,0)),MAP(SEQUENCE(1,days,0),LAMBDA(n,UPPER(TEXT(start+n,"dd (ddd)"))))))</f>
        <v>01 (TUE)</v>
      </c>
      <c r="C5" s="34" t="s">
        <v>89</v>
      </c>
      <c r="D5" s="34" t="s">
        <v>90</v>
      </c>
      <c r="E5" s="34" t="s">
        <v>91</v>
      </c>
      <c r="F5" s="34" t="s">
        <v>92</v>
      </c>
      <c r="G5" s="34" t="s">
        <v>93</v>
      </c>
      <c r="H5" s="34" t="s">
        <v>94</v>
      </c>
      <c r="I5" s="34" t="s">
        <v>95</v>
      </c>
      <c r="J5" s="34" t="s">
        <v>96</v>
      </c>
      <c r="K5" s="34" t="s">
        <v>97</v>
      </c>
      <c r="L5" s="34" t="s">
        <v>98</v>
      </c>
      <c r="M5" s="34" t="s">
        <v>99</v>
      </c>
      <c r="N5" s="34" t="s">
        <v>100</v>
      </c>
      <c r="O5" s="34" t="s">
        <v>101</v>
      </c>
      <c r="P5" s="34" t="s">
        <v>102</v>
      </c>
      <c r="Q5" s="34" t="s">
        <v>103</v>
      </c>
      <c r="R5" s="34" t="s">
        <v>104</v>
      </c>
      <c r="S5" s="34" t="s">
        <v>105</v>
      </c>
      <c r="T5" s="34" t="s">
        <v>106</v>
      </c>
      <c r="U5" s="34" t="s">
        <v>107</v>
      </c>
      <c r="V5" s="34" t="s">
        <v>108</v>
      </c>
      <c r="W5" s="34" t="s">
        <v>109</v>
      </c>
      <c r="X5" s="34" t="s">
        <v>110</v>
      </c>
      <c r="Y5" s="34" t="s">
        <v>111</v>
      </c>
      <c r="Z5" s="34" t="s">
        <v>112</v>
      </c>
      <c r="AA5" s="34" t="s">
        <v>113</v>
      </c>
      <c r="AB5" s="34" t="s">
        <v>114</v>
      </c>
      <c r="AC5" s="34" t="s">
        <v>115</v>
      </c>
      <c r="AD5" s="34" t="s">
        <v>116</v>
      </c>
      <c r="AE5" s="34" t="s">
        <v>117</v>
      </c>
      <c r="AF5" s="34"/>
      <c r="AG5" s="35"/>
      <c r="AH5" s="35"/>
      <c r="AI5" s="35"/>
      <c r="AJ5" s="35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5"/>
    </row>
    <row r="6" ht="20.25" customHeight="1">
      <c r="A6" s="37" t="str">
        <f>IF($A4="", "", "IN")</f>
        <v>IN</v>
      </c>
      <c r="B6" s="38" t="str">
        <f t="array" ref="B6">IF(OR($A4="",B$5=""),"",IFNA(INDEX(DATA_LOG!$C:$C,MATCH(1,(DATA_LOG!$A:$A=$A4)*(TEXT(DATA_LOG!$B:$B,"yyyy-MM-dd")=TEXT(DATE($P$3,MONTH(1&amp;$N$3),VALUE(LEFT(B$5,2))),"yyyy-MM-dd")),0)),""))</f>
        <v/>
      </c>
      <c r="C6" s="38" t="str">
        <f t="array" ref="C6">IF(OR($A4="",C$5=""),"",IFNA(INDEX(DATA_LOG!$C:$C,MATCH(1,(DATA_LOG!$A:$A=$A4)*(TEXT(DATA_LOG!$B:$B,"yyyy-MM-dd")=TEXT(DATE($P$3,MONTH(1&amp;$N$3),VALUE(LEFT(C$5,2))),"yyyy-MM-dd")),0)),""))</f>
        <v/>
      </c>
      <c r="D6" s="38" t="str">
        <f t="array" ref="D6">IF(OR($A4="",D$5=""),"",IFNA(INDEX(DATA_LOG!$C:$C,MATCH(1,(DATA_LOG!$A:$A=$A4)*(TEXT(DATA_LOG!$B:$B,"yyyy-MM-dd")=TEXT(DATE($P$3,MONTH(1&amp;$N$3),VALUE(LEFT(D$5,2))),"yyyy-MM-dd")),0)),""))</f>
        <v/>
      </c>
      <c r="E6" s="38" t="str">
        <f t="array" ref="E6">IF(OR($A4="",E$5=""),"",IFNA(INDEX(DATA_LOG!$C:$C,MATCH(1,(DATA_LOG!$A:$A=$A4)*(TEXT(DATA_LOG!$B:$B,"yyyy-MM-dd")=TEXT(DATE($P$3,MONTH(1&amp;$N$3),VALUE(LEFT(E$5,2))),"yyyy-MM-dd")),0)),""))</f>
        <v/>
      </c>
      <c r="F6" s="39" t="str">
        <f t="array" ref="F6">IF(OR($A4="",F$5=""),"",IFNA(INDEX(DATA_LOG!$C:$C,MATCH(1,(DATA_LOG!$A:$A=$A4)*(TEXT(DATA_LOG!$B:$B,"yyyy-MM-dd")=TEXT(DATE($P$3,MONTH(1&amp;$N$3),VALUE(LEFT(F$5,2))),"yyyy-MM-dd")),0)),""))</f>
        <v/>
      </c>
      <c r="G6" s="39" t="str">
        <f t="array" ref="G6">IF(OR($A4="",G$5=""),"",IFNA(INDEX(DATA_LOG!$C:$C,MATCH(1,(DATA_LOG!$A:$A=$A4)*(TEXT(DATA_LOG!$B:$B,"yyyy-MM-dd")=TEXT(DATE($P$3,MONTH(1&amp;$N$3),VALUE(LEFT(G$5,2))),"yyyy-MM-dd")),0)),""))</f>
        <v/>
      </c>
      <c r="H6" s="39" t="str">
        <f t="array" ref="H6">IF(OR($A4="",H$5=""),"",IFNA(INDEX(DATA_LOG!$C:$C,MATCH(1,(DATA_LOG!$A:$A=$A4)*(TEXT(DATA_LOG!$B:$B,"yyyy-MM-dd")=TEXT(DATE($P$3,MONTH(1&amp;$N$3),VALUE(LEFT(H$5,2))),"yyyy-MM-dd")),0)),""))</f>
        <v/>
      </c>
      <c r="I6" s="39" t="str">
        <f t="array" ref="I6">IF(OR($A4="",I$5=""),"",IFNA(INDEX(DATA_LOG!$C:$C,MATCH(1,(DATA_LOG!$A:$A=$A4)*(TEXT(DATA_LOG!$B:$B,"yyyy-MM-dd")=TEXT(DATE($P$3,MONTH(1&amp;$N$3),VALUE(LEFT(I$5,2))),"yyyy-MM-dd")),0)),""))</f>
        <v/>
      </c>
      <c r="J6" s="39" t="str">
        <f t="array" ref="J6">IF(OR($A4="",J$5=""),"",IFNA(INDEX(DATA_LOG!$C:$C,MATCH(1,(DATA_LOG!$A:$A=$A4)*(TEXT(DATA_LOG!$B:$B,"yyyy-MM-dd")=TEXT(DATE($P$3,MONTH(1&amp;$N$3),VALUE(LEFT(J$5,2))),"yyyy-MM-dd")),0)),""))</f>
        <v/>
      </c>
      <c r="K6" s="39" t="str">
        <f t="array" ref="K6">IF(OR($A4="",K$5=""),"",IFNA(INDEX(DATA_LOG!$C:$C,MATCH(1,(DATA_LOG!$A:$A=$A4)*(TEXT(DATA_LOG!$B:$B,"yyyy-MM-dd")=TEXT(DATE($P$3,MONTH(1&amp;$N$3),VALUE(LEFT(K$5,2))),"yyyy-MM-dd")),0)),""))</f>
        <v/>
      </c>
      <c r="L6" s="39" t="str">
        <f t="array" ref="L6">IF(OR($A4="",L$5=""),"",IFNA(INDEX(DATA_LOG!$C:$C,MATCH(1,(DATA_LOG!$A:$A=$A4)*(TEXT(DATA_LOG!$B:$B,"yyyy-MM-dd")=TEXT(DATE($P$3,MONTH(1&amp;$N$3),VALUE(LEFT(L$5,2))),"yyyy-MM-dd")),0)),""))</f>
        <v/>
      </c>
      <c r="M6" s="39" t="str">
        <f t="array" ref="M6">IF(OR($A4="",M$5=""),"",IFNA(INDEX(DATA_LOG!$C:$C,MATCH(1,(DATA_LOG!$A:$A=$A4)*(TEXT(DATA_LOG!$B:$B,"yyyy-MM-dd")=TEXT(DATE($P$3,MONTH(1&amp;$N$3),VALUE(LEFT(M$5,2))),"yyyy-MM-dd")),0)),""))</f>
        <v/>
      </c>
      <c r="N6" s="39" t="str">
        <f t="array" ref="N6">IF(OR($A4="",N$5=""),"",IFNA(INDEX(DATA_LOG!$C:$C,MATCH(1,(DATA_LOG!$A:$A=$A4)*(TEXT(DATA_LOG!$B:$B,"yyyy-MM-dd")=TEXT(DATE($P$3,MONTH(1&amp;$N$3),VALUE(LEFT(N$5,2))),"yyyy-MM-dd")),0)),""))</f>
        <v/>
      </c>
      <c r="O6" s="39" t="str">
        <f t="array" ref="O6">IF(OR($A4="",O$5=""),"",IFNA(INDEX(DATA_LOG!$C:$C,MATCH(1,(DATA_LOG!$A:$A=$A4)*(TEXT(DATA_LOG!$B:$B,"yyyy-MM-dd")=TEXT(DATE($P$3,MONTH(1&amp;$N$3),VALUE(LEFT(O$5,2))),"yyyy-MM-dd")),0)),""))</f>
        <v/>
      </c>
      <c r="P6" s="39" t="str">
        <f t="array" ref="P6">IF(OR($A4="",P$5=""),"",IFNA(INDEX(DATA_LOG!$C:$C,MATCH(1,(DATA_LOG!$A:$A=$A4)*(TEXT(DATA_LOG!$B:$B,"yyyy-MM-dd")=TEXT(DATE($P$3,MONTH(1&amp;$N$3),VALUE(LEFT(P$5,2))),"yyyy-MM-dd")),0)),""))</f>
        <v/>
      </c>
      <c r="Q6" s="39" t="str">
        <f t="array" ref="Q6">IF(OR($A4="",Q$5=""),"",IFNA(INDEX(DATA_LOG!$C:$C,MATCH(1,(DATA_LOG!$A:$A=$A4)*(TEXT(DATA_LOG!$B:$B,"yyyy-MM-dd")=TEXT(DATE($P$3,MONTH(1&amp;$N$3),VALUE(LEFT(Q$5,2))),"yyyy-MM-dd")),0)),""))</f>
        <v/>
      </c>
      <c r="R6" s="39" t="str">
        <f t="array" ref="R6">IF(OR($A4="",R$5=""),"",IFNA(INDEX(DATA_LOG!$C:$C,MATCH(1,(DATA_LOG!$A:$A=$A4)*(TEXT(DATA_LOG!$B:$B,"yyyy-MM-dd")=TEXT(DATE($P$3,MONTH(1&amp;$N$3),VALUE(LEFT(R$5,2))),"yyyy-MM-dd")),0)),""))</f>
        <v/>
      </c>
      <c r="S6" s="39" t="str">
        <f t="array" ref="S6">IF(OR($A4="",S$5=""),"",IFNA(INDEX(DATA_LOG!$C:$C,MATCH(1,(DATA_LOG!$A:$A=$A4)*(TEXT(DATA_LOG!$B:$B,"yyyy-MM-dd")=TEXT(DATE($P$3,MONTH(1&amp;$N$3),VALUE(LEFT(S$5,2))),"yyyy-MM-dd")),0)),""))</f>
        <v/>
      </c>
      <c r="T6" s="39" t="str">
        <f t="array" ref="T6">IF(OR($A4="",T$5=""),"",IFNA(INDEX(DATA_LOG!$C:$C,MATCH(1,(DATA_LOG!$A:$A=$A4)*(TEXT(DATA_LOG!$B:$B,"yyyy-MM-dd")=TEXT(DATE($P$3,MONTH(1&amp;$N$3),VALUE(LEFT(T$5,2))),"yyyy-MM-dd")),0)),""))</f>
        <v/>
      </c>
      <c r="U6" s="39" t="str">
        <f t="array" ref="U6">IF(OR($A4="",U$5=""),"",IFNA(INDEX(DATA_LOG!$C:$C,MATCH(1,(DATA_LOG!$A:$A=$A4)*(TEXT(DATA_LOG!$B:$B,"yyyy-MM-dd")=TEXT(DATE($P$3,MONTH(1&amp;$N$3),VALUE(LEFT(U$5,2))),"yyyy-MM-dd")),0)),""))</f>
        <v/>
      </c>
      <c r="V6" s="39" t="str">
        <f t="array" ref="V6">IF(OR($A4="",V$5=""),"",IFNA(INDEX(DATA_LOG!$C:$C,MATCH(1,(DATA_LOG!$A:$A=$A4)*(TEXT(DATA_LOG!$B:$B,"yyyy-MM-dd")=TEXT(DATE($P$3,MONTH(1&amp;$N$3),VALUE(LEFT(V$5,2))),"yyyy-MM-dd")),0)),""))</f>
        <v/>
      </c>
      <c r="W6" s="39" t="str">
        <f t="array" ref="W6">IF(OR($A4="",W$5=""),"",IFNA(INDEX(DATA_LOG!$C:$C,MATCH(1,(DATA_LOG!$A:$A=$A4)*(TEXT(DATA_LOG!$B:$B,"yyyy-MM-dd")=TEXT(DATE($P$3,MONTH(1&amp;$N$3),VALUE(LEFT(W$5,2))),"yyyy-MM-dd")),0)),""))</f>
        <v/>
      </c>
      <c r="X6" s="39" t="str">
        <f t="array" ref="X6">IF(OR($A4="",X$5=""),"",IFNA(INDEX(DATA_LOG!$C:$C,MATCH(1,(DATA_LOG!$A:$A=$A4)*(TEXT(DATA_LOG!$B:$B,"yyyy-MM-dd")=TEXT(DATE($P$3,MONTH(1&amp;$N$3),VALUE(LEFT(X$5,2))),"yyyy-MM-dd")),0)),""))</f>
        <v/>
      </c>
      <c r="Y6" s="39" t="str">
        <f t="array" ref="Y6">IF(OR($A4="",Y$5=""),"",IFNA(INDEX(DATA_LOG!$C:$C,MATCH(1,(DATA_LOG!$A:$A=$A4)*(TEXT(DATA_LOG!$B:$B,"yyyy-MM-dd")=TEXT(DATE($P$3,MONTH(1&amp;$N$3),VALUE(LEFT(Y$5,2))),"yyyy-MM-dd")),0)),""))</f>
        <v/>
      </c>
      <c r="Z6" s="39" t="str">
        <f t="array" ref="Z6">IF(OR($A4="",Z$5=""),"",IFNA(INDEX(DATA_LOG!$C:$C,MATCH(1,(DATA_LOG!$A:$A=$A4)*(TEXT(DATA_LOG!$B:$B,"yyyy-MM-dd")=TEXT(DATE($P$3,MONTH(1&amp;$N$3),VALUE(LEFT(Z$5,2))),"yyyy-MM-dd")),0)),""))</f>
        <v/>
      </c>
      <c r="AA6" s="39" t="str">
        <f t="array" ref="AA6">IF(OR($A4="",AA$5=""),"",IFNA(INDEX(DATA_LOG!$C:$C,MATCH(1,(DATA_LOG!$A:$A=$A4)*(TEXT(DATA_LOG!$B:$B,"yyyy-MM-dd")=TEXT(DATE($P$3,MONTH(1&amp;$N$3),VALUE(LEFT(AA$5,2))),"yyyy-MM-dd")),0)),""))</f>
        <v/>
      </c>
      <c r="AB6" s="39" t="str">
        <f t="array" ref="AB6">IF(OR($A4="",AB$5=""),"",IFNA(INDEX(DATA_LOG!$C:$C,MATCH(1,(DATA_LOG!$A:$A=$A4)*(TEXT(DATA_LOG!$B:$B,"yyyy-MM-dd")=TEXT(DATE($P$3,MONTH(1&amp;$N$3),VALUE(LEFT(AB$5,2))),"yyyy-MM-dd")),0)),""))</f>
        <v/>
      </c>
      <c r="AC6" s="39" t="str">
        <f t="array" ref="AC6">IF(OR($A4="",AC$5=""),"",IFNA(INDEX(DATA_LOG!$C:$C,MATCH(1,(DATA_LOG!$A:$A=$A4)*(TEXT(DATA_LOG!$B:$B,"yyyy-MM-dd")=TEXT(DATE($P$3,MONTH(1&amp;$N$3),VALUE(LEFT(AC$5,2))),"yyyy-MM-dd")),0)),""))</f>
        <v/>
      </c>
      <c r="AD6" s="39" t="str">
        <f t="array" ref="AD6">IF(OR($A4="",AD$5=""),"",IFNA(INDEX(DATA_LOG!$C:$C,MATCH(1,(DATA_LOG!$A:$A=$A4)*(TEXT(DATA_LOG!$B:$B,"yyyy-MM-dd")=TEXT(DATE($P$3,MONTH(1&amp;$N$3),VALUE(LEFT(AD$5,2))),"yyyy-MM-dd")),0)),""))</f>
        <v/>
      </c>
      <c r="AE6" s="39" t="str">
        <f t="array" ref="AE6">IF(OR($A4="",AE$5=""),"",IFNA(INDEX(DATA_LOG!$C:$C,MATCH(1,(DATA_LOG!$A:$A=$A4)*(TEXT(DATA_LOG!$B:$B,"yyyy-MM-dd")=TEXT(DATE($P$3,MONTH(1&amp;$N$3),VALUE(LEFT(AE$5,2))),"yyyy-MM-dd")),0)),""))</f>
        <v/>
      </c>
      <c r="AF6" s="39" t="str">
        <f t="array" ref="AF6">IF(OR($A4="",AF$5=""),"",IFNA(INDEX(DATA_LOG!$C:$C,MATCH(1,(DATA_LOG!$A:$A=$A4)*(TEXT(DATA_LOG!$B:$B,"yyyy-MM-dd")=TEXT(DATE($P$3,MONTH(1&amp;$N$3),VALUE(LEFT(AF$5,2))),"yyyy-MM-dd")),0)),""))</f>
        <v/>
      </c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</row>
    <row r="7" ht="23.25" customHeight="1">
      <c r="A7" s="37" t="str">
        <f>IF($A4="", "", "OUT")</f>
        <v>OUT</v>
      </c>
      <c r="B7" s="38" t="str">
        <f t="array" ref="B7">IF(OR($A4="",B$5=""),"",IFNA(INDEX(DATA_LOG!$D:$D,MATCH(1,(DATA_LOG!$A:$A=$A4)*(TEXT(DATA_LOG!$B:$B,"yyyy-MM-dd")=TEXT(DATE($P$3,MONTH(1&amp;$N$3),VALUE(LEFT(B$5,2))),"yyyy-MM-dd")),0)),""))</f>
        <v/>
      </c>
      <c r="C7" s="38" t="str">
        <f t="array" ref="C7">IF(OR($A4="",C$5=""),"",IFNA(INDEX(DATA_LOG!$D:$D,MATCH(1,(DATA_LOG!$A:$A=$A4)*(TEXT(DATA_LOG!$B:$B,"yyyy-MM-dd")=TEXT(DATE($P$3,MONTH(1&amp;$N$3),VALUE(LEFT(C$5,2))),"yyyy-MM-dd")),0)),""))</f>
        <v/>
      </c>
      <c r="D7" s="38" t="str">
        <f t="array" ref="D7">IF(OR($A4="",D$5=""),"",IFNA(INDEX(DATA_LOG!$D:$D,MATCH(1,(DATA_LOG!$A:$A=$A4)*(TEXT(DATA_LOG!$B:$B,"yyyy-MM-dd")=TEXT(DATE($P$3,MONTH(1&amp;$N$3),VALUE(LEFT(D$5,2))),"yyyy-MM-dd")),0)),""))</f>
        <v/>
      </c>
      <c r="E7" s="38" t="str">
        <f t="array" ref="E7">IF(OR($A4="",E$5=""),"",IFNA(INDEX(DATA_LOG!$D:$D,MATCH(1,(DATA_LOG!$A:$A=$A4)*(TEXT(DATA_LOG!$B:$B,"yyyy-MM-dd")=TEXT(DATE($P$3,MONTH(1&amp;$N$3),VALUE(LEFT(E$5,2))),"yyyy-MM-dd")),0)),""))</f>
        <v/>
      </c>
      <c r="F7" s="39" t="str">
        <f t="array" ref="F7">IF(OR($A4="",F$5=""),"",IFNA(INDEX(DATA_LOG!$D:$D,MATCH(1,(DATA_LOG!$A:$A=$A4)*(TEXT(DATA_LOG!$B:$B,"yyyy-MM-dd")=TEXT(DATE($P$3,MONTH(1&amp;$N$3),VALUE(LEFT(F$5,2))),"yyyy-MM-dd")),0)),""))</f>
        <v/>
      </c>
      <c r="G7" s="39" t="str">
        <f t="array" ref="G7">IF(OR($A4="",G$5=""),"",IFNA(INDEX(DATA_LOG!$D:$D,MATCH(1,(DATA_LOG!$A:$A=$A4)*(TEXT(DATA_LOG!$B:$B,"yyyy-MM-dd")=TEXT(DATE($P$3,MONTH(1&amp;$N$3),VALUE(LEFT(G$5,2))),"yyyy-MM-dd")),0)),""))</f>
        <v/>
      </c>
      <c r="H7" s="39" t="str">
        <f t="array" ref="H7">IF(OR($A4="",H$5=""),"",IFNA(INDEX(DATA_LOG!$D:$D,MATCH(1,(DATA_LOG!$A:$A=$A4)*(TEXT(DATA_LOG!$B:$B,"yyyy-MM-dd")=TEXT(DATE($P$3,MONTH(1&amp;$N$3),VALUE(LEFT(H$5,2))),"yyyy-MM-dd")),0)),""))</f>
        <v/>
      </c>
      <c r="I7" s="39" t="str">
        <f t="array" ref="I7">IF(OR($A4="",I$5=""),"",IFNA(INDEX(DATA_LOG!$D:$D,MATCH(1,(DATA_LOG!$A:$A=$A4)*(TEXT(DATA_LOG!$B:$B,"yyyy-MM-dd")=TEXT(DATE($P$3,MONTH(1&amp;$N$3),VALUE(LEFT(I$5,2))),"yyyy-MM-dd")),0)),""))</f>
        <v/>
      </c>
      <c r="J7" s="39" t="str">
        <f t="array" ref="J7">IF(OR($A4="",J$5=""),"",IFNA(INDEX(DATA_LOG!$D:$D,MATCH(1,(DATA_LOG!$A:$A=$A4)*(TEXT(DATA_LOG!$B:$B,"yyyy-MM-dd")=TEXT(DATE($P$3,MONTH(1&amp;$N$3),VALUE(LEFT(J$5,2))),"yyyy-MM-dd")),0)),""))</f>
        <v/>
      </c>
      <c r="K7" s="39" t="str">
        <f t="array" ref="K7">IF(OR($A4="",K$5=""),"",IFNA(INDEX(DATA_LOG!$D:$D,MATCH(1,(DATA_LOG!$A:$A=$A4)*(TEXT(DATA_LOG!$B:$B,"yyyy-MM-dd")=TEXT(DATE($P$3,MONTH(1&amp;$N$3),VALUE(LEFT(K$5,2))),"yyyy-MM-dd")),0)),""))</f>
        <v/>
      </c>
      <c r="L7" s="39" t="str">
        <f t="array" ref="L7">IF(OR($A4="",L$5=""),"",IFNA(INDEX(DATA_LOG!$D:$D,MATCH(1,(DATA_LOG!$A:$A=$A4)*(TEXT(DATA_LOG!$B:$B,"yyyy-MM-dd")=TEXT(DATE($P$3,MONTH(1&amp;$N$3),VALUE(LEFT(L$5,2))),"yyyy-MM-dd")),0)),""))</f>
        <v/>
      </c>
      <c r="M7" s="39" t="str">
        <f t="array" ref="M7">IF(OR($A4="",M$5=""),"",IFNA(INDEX(DATA_LOG!$D:$D,MATCH(1,(DATA_LOG!$A:$A=$A4)*(TEXT(DATA_LOG!$B:$B,"yyyy-MM-dd")=TEXT(DATE($P$3,MONTH(1&amp;$N$3),VALUE(LEFT(M$5,2))),"yyyy-MM-dd")),0)),""))</f>
        <v/>
      </c>
      <c r="N7" s="39" t="str">
        <f t="array" ref="N7">IF(OR($A4="",N$5=""),"",IFNA(INDEX(DATA_LOG!$D:$D,MATCH(1,(DATA_LOG!$A:$A=$A4)*(TEXT(DATA_LOG!$B:$B,"yyyy-MM-dd")=TEXT(DATE($P$3,MONTH(1&amp;$N$3),VALUE(LEFT(N$5,2))),"yyyy-MM-dd")),0)),""))</f>
        <v/>
      </c>
      <c r="O7" s="39" t="str">
        <f t="array" ref="O7">IF(OR($A4="",O$5=""),"",IFNA(INDEX(DATA_LOG!$D:$D,MATCH(1,(DATA_LOG!$A:$A=$A4)*(TEXT(DATA_LOG!$B:$B,"yyyy-MM-dd")=TEXT(DATE($P$3,MONTH(1&amp;$N$3),VALUE(LEFT(O$5,2))),"yyyy-MM-dd")),0)),""))</f>
        <v/>
      </c>
      <c r="P7" s="39" t="str">
        <f t="array" ref="P7">IF(OR($A4="",P$5=""),"",IFNA(INDEX(DATA_LOG!$D:$D,MATCH(1,(DATA_LOG!$A:$A=$A4)*(TEXT(DATA_LOG!$B:$B,"yyyy-MM-dd")=TEXT(DATE($P$3,MONTH(1&amp;$N$3),VALUE(LEFT(P$5,2))),"yyyy-MM-dd")),0)),""))</f>
        <v/>
      </c>
      <c r="Q7" s="39" t="str">
        <f t="array" ref="Q7">IF(OR($A4="",Q$5=""),"",IFNA(INDEX(DATA_LOG!$D:$D,MATCH(1,(DATA_LOG!$A:$A=$A4)*(TEXT(DATA_LOG!$B:$B,"yyyy-MM-dd")=TEXT(DATE($P$3,MONTH(1&amp;$N$3),VALUE(LEFT(Q$5,2))),"yyyy-MM-dd")),0)),""))</f>
        <v/>
      </c>
      <c r="R7" s="39" t="str">
        <f t="array" ref="R7">IF(OR($A4="",R$5=""),"",IFNA(INDEX(DATA_LOG!$D:$D,MATCH(1,(DATA_LOG!$A:$A=$A4)*(TEXT(DATA_LOG!$B:$B,"yyyy-MM-dd")=TEXT(DATE($P$3,MONTH(1&amp;$N$3),VALUE(LEFT(R$5,2))),"yyyy-MM-dd")),0)),""))</f>
        <v/>
      </c>
      <c r="S7" s="39" t="str">
        <f t="array" ref="S7">IF(OR($A4="",S$5=""),"",IFNA(INDEX(DATA_LOG!$D:$D,MATCH(1,(DATA_LOG!$A:$A=$A4)*(TEXT(DATA_LOG!$B:$B,"yyyy-MM-dd")=TEXT(DATE($P$3,MONTH(1&amp;$N$3),VALUE(LEFT(S$5,2))),"yyyy-MM-dd")),0)),""))</f>
        <v/>
      </c>
      <c r="T7" s="39" t="str">
        <f t="array" ref="T7">IF(OR($A4="",T$5=""),"",IFNA(INDEX(DATA_LOG!$D:$D,MATCH(1,(DATA_LOG!$A:$A=$A4)*(TEXT(DATA_LOG!$B:$B,"yyyy-MM-dd")=TEXT(DATE($P$3,MONTH(1&amp;$N$3),VALUE(LEFT(T$5,2))),"yyyy-MM-dd")),0)),""))</f>
        <v/>
      </c>
      <c r="U7" s="39" t="str">
        <f t="array" ref="U7">IF(OR($A4="",U$5=""),"",IFNA(INDEX(DATA_LOG!$D:$D,MATCH(1,(DATA_LOG!$A:$A=$A4)*(TEXT(DATA_LOG!$B:$B,"yyyy-MM-dd")=TEXT(DATE($P$3,MONTH(1&amp;$N$3),VALUE(LEFT(U$5,2))),"yyyy-MM-dd")),0)),""))</f>
        <v/>
      </c>
      <c r="V7" s="39" t="str">
        <f t="array" ref="V7">IF(OR($A4="",V$5=""),"",IFNA(INDEX(DATA_LOG!$D:$D,MATCH(1,(DATA_LOG!$A:$A=$A4)*(TEXT(DATA_LOG!$B:$B,"yyyy-MM-dd")=TEXT(DATE($P$3,MONTH(1&amp;$N$3),VALUE(LEFT(V$5,2))),"yyyy-MM-dd")),0)),""))</f>
        <v/>
      </c>
      <c r="W7" s="39" t="str">
        <f t="array" ref="W7">IF(OR($A4="",W$5=""),"",IFNA(INDEX(DATA_LOG!$D:$D,MATCH(1,(DATA_LOG!$A:$A=$A4)*(TEXT(DATA_LOG!$B:$B,"yyyy-MM-dd")=TEXT(DATE($P$3,MONTH(1&amp;$N$3),VALUE(LEFT(W$5,2))),"yyyy-MM-dd")),0)),""))</f>
        <v/>
      </c>
      <c r="X7" s="39" t="str">
        <f t="array" ref="X7">IF(OR($A4="",X$5=""),"",IFNA(INDEX(DATA_LOG!$D:$D,MATCH(1,(DATA_LOG!$A:$A=$A4)*(TEXT(DATA_LOG!$B:$B,"yyyy-MM-dd")=TEXT(DATE($P$3,MONTH(1&amp;$N$3),VALUE(LEFT(X$5,2))),"yyyy-MM-dd")),0)),""))</f>
        <v/>
      </c>
      <c r="Y7" s="39" t="str">
        <f t="array" ref="Y7">IF(OR($A4="",Y$5=""),"",IFNA(INDEX(DATA_LOG!$D:$D,MATCH(1,(DATA_LOG!$A:$A=$A4)*(TEXT(DATA_LOG!$B:$B,"yyyy-MM-dd")=TEXT(DATE($P$3,MONTH(1&amp;$N$3),VALUE(LEFT(Y$5,2))),"yyyy-MM-dd")),0)),""))</f>
        <v/>
      </c>
      <c r="Z7" s="39" t="str">
        <f t="array" ref="Z7">IF(OR($A4="",Z$5=""),"",IFNA(INDEX(DATA_LOG!$D:$D,MATCH(1,(DATA_LOG!$A:$A=$A4)*(TEXT(DATA_LOG!$B:$B,"yyyy-MM-dd")=TEXT(DATE($P$3,MONTH(1&amp;$N$3),VALUE(LEFT(Z$5,2))),"yyyy-MM-dd")),0)),""))</f>
        <v/>
      </c>
      <c r="AA7" s="39" t="str">
        <f t="array" ref="AA7">IF(OR($A4="",AA$5=""),"",IFNA(INDEX(DATA_LOG!$D:$D,MATCH(1,(DATA_LOG!$A:$A=$A4)*(TEXT(DATA_LOG!$B:$B,"yyyy-MM-dd")=TEXT(DATE($P$3,MONTH(1&amp;$N$3),VALUE(LEFT(AA$5,2))),"yyyy-MM-dd")),0)),""))</f>
        <v/>
      </c>
      <c r="AB7" s="39" t="str">
        <f t="array" ref="AB7">IF(OR($A4="",AB$5=""),"",IFNA(INDEX(DATA_LOG!$D:$D,MATCH(1,(DATA_LOG!$A:$A=$A4)*(TEXT(DATA_LOG!$B:$B,"yyyy-MM-dd")=TEXT(DATE($P$3,MONTH(1&amp;$N$3),VALUE(LEFT(AB$5,2))),"yyyy-MM-dd")),0)),""))</f>
        <v/>
      </c>
      <c r="AC7" s="39" t="str">
        <f t="array" ref="AC7">IF(OR($A4="",AC$5=""),"",IFNA(INDEX(DATA_LOG!$D:$D,MATCH(1,(DATA_LOG!$A:$A=$A4)*(TEXT(DATA_LOG!$B:$B,"yyyy-MM-dd")=TEXT(DATE($P$3,MONTH(1&amp;$N$3),VALUE(LEFT(AC$5,2))),"yyyy-MM-dd")),0)),""))</f>
        <v/>
      </c>
      <c r="AD7" s="39" t="str">
        <f t="array" ref="AD7">IF(OR($A4="",AD$5=""),"",IFNA(INDEX(DATA_LOG!$D:$D,MATCH(1,(DATA_LOG!$A:$A=$A4)*(TEXT(DATA_LOG!$B:$B,"yyyy-MM-dd")=TEXT(DATE($P$3,MONTH(1&amp;$N$3),VALUE(LEFT(AD$5,2))),"yyyy-MM-dd")),0)),""))</f>
        <v/>
      </c>
      <c r="AE7" s="39" t="str">
        <f t="array" ref="AE7">IF(OR($A4="",AE$5=""),"",IFNA(INDEX(DATA_LOG!$D:$D,MATCH(1,(DATA_LOG!$A:$A=$A4)*(TEXT(DATA_LOG!$B:$B,"yyyy-MM-dd")=TEXT(DATE($P$3,MONTH(1&amp;$N$3),VALUE(LEFT(AE$5,2))),"yyyy-MM-dd")),0)),""))</f>
        <v/>
      </c>
      <c r="AF7" s="39" t="str">
        <f t="array" ref="AF7">IF(OR($A4="",AF$5=""),"",IFNA(INDEX(DATA_LOG!$D:$D,MATCH(1,(DATA_LOG!$A:$A=$A4)*(TEXT(DATA_LOG!$B:$B,"yyyy-MM-dd")=TEXT(DATE($P$3,MONTH(1&amp;$N$3),VALUE(LEFT(AF$5,2))),"yyyy-MM-dd")),0)),""))</f>
        <v/>
      </c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</row>
    <row r="8" ht="24.0" customHeight="1">
      <c r="A8" s="40" t="str">
        <f>IF($A4="", "", "TOTAL")</f>
        <v>TOTAL</v>
      </c>
      <c r="B8" s="41" t="str">
        <f t="shared" ref="B8:AF8" si="1">IF(AND(B62&lt;&gt;"",B63&lt;&gt;""),TEXT(MOD(B63-B62,1),"hh:mm"),"")</f>
        <v/>
      </c>
      <c r="C8" s="41" t="str">
        <f t="shared" si="1"/>
        <v/>
      </c>
      <c r="D8" s="41" t="str">
        <f t="shared" si="1"/>
        <v/>
      </c>
      <c r="E8" s="41" t="str">
        <f t="shared" si="1"/>
        <v/>
      </c>
      <c r="F8" s="41" t="str">
        <f t="shared" si="1"/>
        <v/>
      </c>
      <c r="G8" s="41" t="str">
        <f t="shared" si="1"/>
        <v/>
      </c>
      <c r="H8" s="41" t="str">
        <f t="shared" si="1"/>
        <v/>
      </c>
      <c r="I8" s="41" t="str">
        <f t="shared" si="1"/>
        <v/>
      </c>
      <c r="J8" s="41" t="str">
        <f t="shared" si="1"/>
        <v/>
      </c>
      <c r="K8" s="41" t="str">
        <f t="shared" si="1"/>
        <v/>
      </c>
      <c r="L8" s="41" t="str">
        <f t="shared" si="1"/>
        <v/>
      </c>
      <c r="M8" s="41" t="str">
        <f t="shared" si="1"/>
        <v/>
      </c>
      <c r="N8" s="41" t="str">
        <f t="shared" si="1"/>
        <v/>
      </c>
      <c r="O8" s="41" t="str">
        <f t="shared" si="1"/>
        <v/>
      </c>
      <c r="P8" s="41" t="str">
        <f t="shared" si="1"/>
        <v/>
      </c>
      <c r="Q8" s="41" t="str">
        <f t="shared" si="1"/>
        <v/>
      </c>
      <c r="R8" s="41" t="str">
        <f t="shared" si="1"/>
        <v/>
      </c>
      <c r="S8" s="41" t="str">
        <f t="shared" si="1"/>
        <v/>
      </c>
      <c r="T8" s="41" t="str">
        <f t="shared" si="1"/>
        <v/>
      </c>
      <c r="U8" s="41" t="str">
        <f t="shared" si="1"/>
        <v/>
      </c>
      <c r="V8" s="41" t="str">
        <f t="shared" si="1"/>
        <v/>
      </c>
      <c r="W8" s="41" t="str">
        <f t="shared" si="1"/>
        <v/>
      </c>
      <c r="X8" s="41" t="str">
        <f t="shared" si="1"/>
        <v/>
      </c>
      <c r="Y8" s="41" t="str">
        <f t="shared" si="1"/>
        <v/>
      </c>
      <c r="Z8" s="41" t="str">
        <f t="shared" si="1"/>
        <v/>
      </c>
      <c r="AA8" s="41" t="str">
        <f t="shared" si="1"/>
        <v/>
      </c>
      <c r="AB8" s="41" t="str">
        <f t="shared" si="1"/>
        <v/>
      </c>
      <c r="AC8" s="41" t="str">
        <f t="shared" si="1"/>
        <v/>
      </c>
      <c r="AD8" s="41" t="str">
        <f t="shared" si="1"/>
        <v/>
      </c>
      <c r="AE8" s="41" t="str">
        <f t="shared" si="1"/>
        <v/>
      </c>
      <c r="AF8" s="41" t="str">
        <f t="shared" si="1"/>
        <v/>
      </c>
    </row>
    <row r="9">
      <c r="A9" s="42" t="str">
        <f>IF($A4="", "", "STATUS")</f>
        <v>STATUS</v>
      </c>
      <c r="B9" s="43" t="str">
        <f>IFERROR(__xludf.DUMMYFUNCTION("IF($A4="""","""",IF(B$5="""","""",LET(logStatus,IFNA(INDEX(DATA_LOG!$E:$E,MATCH(1,(DATA_LOG!$A:$A=$A4)*(TEXT(DATA_LOG!$B:$B,""yyyy-MM-dd"")=TEXT(DATE($P$3,MONTH(1&amp;$N$3),VALUE(LEFT(B$5,2))),""yyyy-MM-dd"")),0)),""""),selectedDate,DATE($P$3,MONTH(1&amp;$N$3),VA"&amp;"LUE(LEFT(B$5,2))),IF(logStatus&lt;&gt;"""",UPPER(logStatus),IF(selectedDate&gt;TODAY(),""-"",IF(REGEXMATCH(B$5,""SUN""),""WO"",IF(B$8&lt;&gt;"""",IF(VALUE(B$8)&gt;=9/24,""FD"",""HD""),""A"")))))))"),"A")</f>
        <v>A</v>
      </c>
      <c r="C9" s="43" t="str">
        <f>IFERROR(__xludf.DUMMYFUNCTION("IF($A4="""","""",IF(C$5="""","""",LET(logStatus,IFNA(INDEX(DATA_LOG!$E:$E,MATCH(1,(DATA_LOG!$A:$A=$A4)*(TEXT(DATA_LOG!$B:$B,""yyyy-MM-dd"")=TEXT(DATE($P$3,MONTH(1&amp;$N$3),VALUE(LEFT(C$5,2))),""yyyy-MM-dd"")),0)),""""),selectedDate,DATE($P$3,MONTH(1&amp;$N$3),VA"&amp;"LUE(LEFT(C$5,2))),IF(logStatus&lt;&gt;"""",UPPER(logStatus),IF(selectedDate&gt;TODAY(),""-"",IF(REGEXMATCH(C$5,""SUN""),""WO"",IF(C$8&lt;&gt;"""",IF(VALUE(C$8)&gt;=9/24,""FD"",""HD""),""A"")))))))"),"A")</f>
        <v>A</v>
      </c>
      <c r="D9" s="43" t="str">
        <f>IFERROR(__xludf.DUMMYFUNCTION("IF($A4="""","""",IF(D$5="""","""",LET(logStatus,IFNA(INDEX(DATA_LOG!$E:$E,MATCH(1,(DATA_LOG!$A:$A=$A4)*(TEXT(DATA_LOG!$B:$B,""yyyy-MM-dd"")=TEXT(DATE($P$3,MONTH(1&amp;$N$3),VALUE(LEFT(D$5,2))),""yyyy-MM-dd"")),0)),""""),selectedDate,DATE($P$3,MONTH(1&amp;$N$3),VA"&amp;"LUE(LEFT(D$5,2))),IF(logStatus&lt;&gt;"""",UPPER(logStatus),IF(selectedDate&gt;TODAY(),""-"",IF(REGEXMATCH(D$5,""SUN""),""WO"",IF(D$8&lt;&gt;"""",IF(VALUE(D$8)&gt;=9/24,""FD"",""HD""),""A"")))))))"),"A")</f>
        <v>A</v>
      </c>
      <c r="E9" s="43" t="str">
        <f>IFERROR(__xludf.DUMMYFUNCTION("IF($A4="""","""",IF(E$5="""","""",LET(logStatus,IFNA(INDEX(DATA_LOG!$E:$E,MATCH(1,(DATA_LOG!$A:$A=$A4)*(TEXT(DATA_LOG!$B:$B,""yyyy-MM-dd"")=TEXT(DATE($P$3,MONTH(1&amp;$N$3),VALUE(LEFT(E$5,2))),""yyyy-MM-dd"")),0)),""""),selectedDate,DATE($P$3,MONTH(1&amp;$N$3),VA"&amp;"LUE(LEFT(E$5,2))),IF(logStatus&lt;&gt;"""",UPPER(logStatus),IF(selectedDate&gt;TODAY(),""-"",IF(REGEXMATCH(E$5,""SUN""),""WO"",IF(E$8&lt;&gt;"""",IF(VALUE(E$8)&gt;=9/24,""FD"",""HD""),""A"")))))))"),"A")</f>
        <v>A</v>
      </c>
      <c r="F9" s="43" t="str">
        <f>IFERROR(__xludf.DUMMYFUNCTION("IF($A4="""","""",IF(F$5="""","""",LET(logStatus,IFNA(INDEX(DATA_LOG!$E:$E,MATCH(1,(DATA_LOG!$A:$A=$A4)*(TEXT(DATA_LOG!$B:$B,""yyyy-MM-dd"")=TEXT(DATE($P$3,MONTH(1&amp;$N$3),VALUE(LEFT(F$5,2))),""yyyy-MM-dd"")),0)),""""),selectedDate,DATE($P$3,MONTH(1&amp;$N$3),VA"&amp;"LUE(LEFT(F$5,2))),IF(logStatus&lt;&gt;"""",UPPER(logStatus),IF(selectedDate&gt;TODAY(),""-"",IF(REGEXMATCH(F$5,""SUN""),""WO"",IF(F$8&lt;&gt;"""",IF(VALUE(F$8)&gt;=9/24,""FD"",""HD""),""A"")))))))"),"A")</f>
        <v>A</v>
      </c>
      <c r="G9" s="43" t="str">
        <f>IFERROR(__xludf.DUMMYFUNCTION("IF($A4="""","""",IF(G$5="""","""",LET(logStatus,IFNA(INDEX(DATA_LOG!$E:$E,MATCH(1,(DATA_LOG!$A:$A=$A4)*(TEXT(DATA_LOG!$B:$B,""yyyy-MM-dd"")=TEXT(DATE($P$3,MONTH(1&amp;$N$3),VALUE(LEFT(G$5,2))),""yyyy-MM-dd"")),0)),""""),selectedDate,DATE($P$3,MONTH(1&amp;$N$3),VA"&amp;"LUE(LEFT(G$5,2))),IF(logStatus&lt;&gt;"""",UPPER(logStatus),IF(selectedDate&gt;TODAY(),""-"",IF(REGEXMATCH(G$5,""SUN""),""WO"",IF(G$8&lt;&gt;"""",IF(VALUE(G$8)&gt;=9/24,""FD"",""HD""),""A"")))))))"),"WO")</f>
        <v>WO</v>
      </c>
      <c r="H9" s="43" t="str">
        <f>IFERROR(__xludf.DUMMYFUNCTION("IF($A4="""","""",IF(H$5="""","""",LET(logStatus,IFNA(INDEX(DATA_LOG!$E:$E,MATCH(1,(DATA_LOG!$A:$A=$A4)*(TEXT(DATA_LOG!$B:$B,""yyyy-MM-dd"")=TEXT(DATE($P$3,MONTH(1&amp;$N$3),VALUE(LEFT(H$5,2))),""yyyy-MM-dd"")),0)),""""),selectedDate,DATE($P$3,MONTH(1&amp;$N$3),VA"&amp;"LUE(LEFT(H$5,2))),IF(logStatus&lt;&gt;"""",UPPER(logStatus),IF(selectedDate&gt;TODAY(),""-"",IF(REGEXMATCH(H$5,""SUN""),""WO"",IF(H$8&lt;&gt;"""",IF(VALUE(H$8)&gt;=9/24,""FD"",""HD""),""A"")))))))"),"A")</f>
        <v>A</v>
      </c>
      <c r="I9" s="43" t="str">
        <f>IFERROR(__xludf.DUMMYFUNCTION("IF($A4="""","""",IF(I$5="""","""",LET(logStatus,IFNA(INDEX(DATA_LOG!$E:$E,MATCH(1,(DATA_LOG!$A:$A=$A4)*(TEXT(DATA_LOG!$B:$B,""yyyy-MM-dd"")=TEXT(DATE($P$3,MONTH(1&amp;$N$3),VALUE(LEFT(I$5,2))),""yyyy-MM-dd"")),0)),""""),selectedDate,DATE($P$3,MONTH(1&amp;$N$3),VA"&amp;"LUE(LEFT(I$5,2))),IF(logStatus&lt;&gt;"""",UPPER(logStatus),IF(selectedDate&gt;TODAY(),""-"",IF(REGEXMATCH(I$5,""SUN""),""WO"",IF(I$8&lt;&gt;"""",IF(VALUE(I$8)&gt;=9/24,""FD"",""HD""),""A"")))))))"),"A")</f>
        <v>A</v>
      </c>
      <c r="J9" s="43" t="str">
        <f>IFERROR(__xludf.DUMMYFUNCTION("IF($A4="""","""",IF(J$5="""","""",LET(logStatus,IFNA(INDEX(DATA_LOG!$E:$E,MATCH(1,(DATA_LOG!$A:$A=$A4)*(TEXT(DATA_LOG!$B:$B,""yyyy-MM-dd"")=TEXT(DATE($P$3,MONTH(1&amp;$N$3),VALUE(LEFT(J$5,2))),""yyyy-MM-dd"")),0)),""""),selectedDate,DATE($P$3,MONTH(1&amp;$N$3),VA"&amp;"LUE(LEFT(J$5,2))),IF(logStatus&lt;&gt;"""",UPPER(logStatus),IF(selectedDate&gt;TODAY(),""-"",IF(REGEXMATCH(J$5,""SUN""),""WO"",IF(J$8&lt;&gt;"""",IF(VALUE(J$8)&gt;=9/24,""FD"",""HD""),""A"")))))))"),"A")</f>
        <v>A</v>
      </c>
      <c r="K9" s="43" t="str">
        <f>IFERROR(__xludf.DUMMYFUNCTION("IF($A4="""","""",IF(K$5="""","""",LET(logStatus,IFNA(INDEX(DATA_LOG!$E:$E,MATCH(1,(DATA_LOG!$A:$A=$A4)*(TEXT(DATA_LOG!$B:$B,""yyyy-MM-dd"")=TEXT(DATE($P$3,MONTH(1&amp;$N$3),VALUE(LEFT(K$5,2))),""yyyy-MM-dd"")),0)),""""),selectedDate,DATE($P$3,MONTH(1&amp;$N$3),VA"&amp;"LUE(LEFT(K$5,2))),IF(logStatus&lt;&gt;"""",UPPER(logStatus),IF(selectedDate&gt;TODAY(),""-"",IF(REGEXMATCH(K$5,""SUN""),""WO"",IF(K$8&lt;&gt;"""",IF(VALUE(K$8)&gt;=9/24,""FD"",""HD""),""A"")))))))"),"A")</f>
        <v>A</v>
      </c>
      <c r="L9" s="43" t="str">
        <f>IFERROR(__xludf.DUMMYFUNCTION("IF($A4="""","""",IF(L$5="""","""",LET(logStatus,IFNA(INDEX(DATA_LOG!$E:$E,MATCH(1,(DATA_LOG!$A:$A=$A4)*(TEXT(DATA_LOG!$B:$B,""yyyy-MM-dd"")=TEXT(DATE($P$3,MONTH(1&amp;$N$3),VALUE(LEFT(L$5,2))),""yyyy-MM-dd"")),0)),""""),selectedDate,DATE($P$3,MONTH(1&amp;$N$3),VA"&amp;"LUE(LEFT(L$5,2))),IF(logStatus&lt;&gt;"""",UPPER(logStatus),IF(selectedDate&gt;TODAY(),""-"",IF(REGEXMATCH(L$5,""SUN""),""WO"",IF(L$8&lt;&gt;"""",IF(VALUE(L$8)&gt;=9/24,""FD"",""HD""),""A"")))))))"),"A")</f>
        <v>A</v>
      </c>
      <c r="M9" s="43" t="str">
        <f>IFERROR(__xludf.DUMMYFUNCTION("IF($A4="""","""",IF(M$5="""","""",LET(logStatus,IFNA(INDEX(DATA_LOG!$E:$E,MATCH(1,(DATA_LOG!$A:$A=$A4)*(TEXT(DATA_LOG!$B:$B,""yyyy-MM-dd"")=TEXT(DATE($P$3,MONTH(1&amp;$N$3),VALUE(LEFT(M$5,2))),""yyyy-MM-dd"")),0)),""""),selectedDate,DATE($P$3,MONTH(1&amp;$N$3),VA"&amp;"LUE(LEFT(M$5,2))),IF(logStatus&lt;&gt;"""",UPPER(logStatus),IF(selectedDate&gt;TODAY(),""-"",IF(REGEXMATCH(M$5,""SUN""),""WO"",IF(M$8&lt;&gt;"""",IF(VALUE(M$8)&gt;=9/24,""FD"",""HD""),""A"")))))))"),"-")</f>
        <v>-</v>
      </c>
      <c r="N9" s="43" t="str">
        <f>IFERROR(__xludf.DUMMYFUNCTION("IF($A4="""","""",IF(N$5="""","""",LET(logStatus,IFNA(INDEX(DATA_LOG!$E:$E,MATCH(1,(DATA_LOG!$A:$A=$A4)*(TEXT(DATA_LOG!$B:$B,""yyyy-MM-dd"")=TEXT(DATE($P$3,MONTH(1&amp;$N$3),VALUE(LEFT(N$5,2))),""yyyy-MM-dd"")),0)),""""),selectedDate,DATE($P$3,MONTH(1&amp;$N$3),VA"&amp;"LUE(LEFT(N$5,2))),IF(logStatus&lt;&gt;"""",UPPER(logStatus),IF(selectedDate&gt;TODAY(),""-"",IF(REGEXMATCH(N$5,""SUN""),""WO"",IF(N$8&lt;&gt;"""",IF(VALUE(N$8)&gt;=9/24,""FD"",""HD""),""A"")))))))"),"-")</f>
        <v>-</v>
      </c>
      <c r="O9" s="43" t="str">
        <f>IFERROR(__xludf.DUMMYFUNCTION("IF($A4="""","""",IF(O$5="""","""",LET(logStatus,IFNA(INDEX(DATA_LOG!$E:$E,MATCH(1,(DATA_LOG!$A:$A=$A4)*(TEXT(DATA_LOG!$B:$B,""yyyy-MM-dd"")=TEXT(DATE($P$3,MONTH(1&amp;$N$3),VALUE(LEFT(O$5,2))),""yyyy-MM-dd"")),0)),""""),selectedDate,DATE($P$3,MONTH(1&amp;$N$3),VA"&amp;"LUE(LEFT(O$5,2))),IF(logStatus&lt;&gt;"""",UPPER(logStatus),IF(selectedDate&gt;TODAY(),""-"",IF(REGEXMATCH(O$5,""SUN""),""WO"",IF(O$8&lt;&gt;"""",IF(VALUE(O$8)&gt;=9/24,""FD"",""HD""),""A"")))))))"),"-")</f>
        <v>-</v>
      </c>
      <c r="P9" s="43" t="str">
        <f>IFERROR(__xludf.DUMMYFUNCTION("IF($A4="""","""",IF(P$5="""","""",LET(logStatus,IFNA(INDEX(DATA_LOG!$E:$E,MATCH(1,(DATA_LOG!$A:$A=$A4)*(TEXT(DATA_LOG!$B:$B,""yyyy-MM-dd"")=TEXT(DATE($P$3,MONTH(1&amp;$N$3),VALUE(LEFT(P$5,2))),""yyyy-MM-dd"")),0)),""""),selectedDate,DATE($P$3,MONTH(1&amp;$N$3),VA"&amp;"LUE(LEFT(P$5,2))),IF(logStatus&lt;&gt;"""",UPPER(logStatus),IF(selectedDate&gt;TODAY(),""-"",IF(REGEXMATCH(P$5,""SUN""),""WO"",IF(P$8&lt;&gt;"""",IF(VALUE(P$8)&gt;=9/24,""FD"",""HD""),""A"")))))))"),"-")</f>
        <v>-</v>
      </c>
      <c r="Q9" s="43" t="str">
        <f>IFERROR(__xludf.DUMMYFUNCTION("IF($A4="""","""",IF(Q$5="""","""",LET(logStatus,IFNA(INDEX(DATA_LOG!$E:$E,MATCH(1,(DATA_LOG!$A:$A=$A4)*(TEXT(DATA_LOG!$B:$B,""yyyy-MM-dd"")=TEXT(DATE($P$3,MONTH(1&amp;$N$3),VALUE(LEFT(Q$5,2))),""yyyy-MM-dd"")),0)),""""),selectedDate,DATE($P$3,MONTH(1&amp;$N$3),VA"&amp;"LUE(LEFT(Q$5,2))),IF(logStatus&lt;&gt;"""",UPPER(logStatus),IF(selectedDate&gt;TODAY(),""-"",IF(REGEXMATCH(Q$5,""SUN""),""WO"",IF(Q$8&lt;&gt;"""",IF(VALUE(Q$8)&gt;=9/24,""FD"",""HD""),""A"")))))))"),"-")</f>
        <v>-</v>
      </c>
      <c r="R9" s="43" t="str">
        <f>IFERROR(__xludf.DUMMYFUNCTION("IF($A4="""","""",IF(R$5="""","""",LET(logStatus,IFNA(INDEX(DATA_LOG!$E:$E,MATCH(1,(DATA_LOG!$A:$A=$A4)*(TEXT(DATA_LOG!$B:$B,""yyyy-MM-dd"")=TEXT(DATE($P$3,MONTH(1&amp;$N$3),VALUE(LEFT(R$5,2))),""yyyy-MM-dd"")),0)),""""),selectedDate,DATE($P$3,MONTH(1&amp;$N$3),VA"&amp;"LUE(LEFT(R$5,2))),IF(logStatus&lt;&gt;"""",UPPER(logStatus),IF(selectedDate&gt;TODAY(),""-"",IF(REGEXMATCH(R$5,""SUN""),""WO"",IF(R$8&lt;&gt;"""",IF(VALUE(R$8)&gt;=9/24,""FD"",""HD""),""A"")))))))"),"-")</f>
        <v>-</v>
      </c>
      <c r="S9" s="43" t="str">
        <f>IFERROR(__xludf.DUMMYFUNCTION("IF($A4="""","""",IF(S$5="""","""",LET(logStatus,IFNA(INDEX(DATA_LOG!$E:$E,MATCH(1,(DATA_LOG!$A:$A=$A4)*(TEXT(DATA_LOG!$B:$B,""yyyy-MM-dd"")=TEXT(DATE($P$3,MONTH(1&amp;$N$3),VALUE(LEFT(S$5,2))),""yyyy-MM-dd"")),0)),""""),selectedDate,DATE($P$3,MONTH(1&amp;$N$3),VA"&amp;"LUE(LEFT(S$5,2))),IF(logStatus&lt;&gt;"""",UPPER(logStatus),IF(selectedDate&gt;TODAY(),""-"",IF(REGEXMATCH(S$5,""SUN""),""WO"",IF(S$8&lt;&gt;"""",IF(VALUE(S$8)&gt;=9/24,""FD"",""HD""),""A"")))))))"),"-")</f>
        <v>-</v>
      </c>
      <c r="T9" s="43" t="str">
        <f>IFERROR(__xludf.DUMMYFUNCTION("IF($A4="""","""",IF(T$5="""","""",LET(logStatus,IFNA(INDEX(DATA_LOG!$E:$E,MATCH(1,(DATA_LOG!$A:$A=$A4)*(TEXT(DATA_LOG!$B:$B,""yyyy-MM-dd"")=TEXT(DATE($P$3,MONTH(1&amp;$N$3),VALUE(LEFT(T$5,2))),""yyyy-MM-dd"")),0)),""""),selectedDate,DATE($P$3,MONTH(1&amp;$N$3),VA"&amp;"LUE(LEFT(T$5,2))),IF(logStatus&lt;&gt;"""",UPPER(logStatus),IF(selectedDate&gt;TODAY(),""-"",IF(REGEXMATCH(T$5,""SUN""),""WO"",IF(T$8&lt;&gt;"""",IF(VALUE(T$8)&gt;=9/24,""FD"",""HD""),""A"")))))))"),"-")</f>
        <v>-</v>
      </c>
      <c r="U9" s="43" t="str">
        <f>IFERROR(__xludf.DUMMYFUNCTION("IF($A4="""","""",IF(U$5="""","""",LET(logStatus,IFNA(INDEX(DATA_LOG!$E:$E,MATCH(1,(DATA_LOG!$A:$A=$A4)*(TEXT(DATA_LOG!$B:$B,""yyyy-MM-dd"")=TEXT(DATE($P$3,MONTH(1&amp;$N$3),VALUE(LEFT(U$5,2))),""yyyy-MM-dd"")),0)),""""),selectedDate,DATE($P$3,MONTH(1&amp;$N$3),VA"&amp;"LUE(LEFT(U$5,2))),IF(logStatus&lt;&gt;"""",UPPER(logStatus),IF(selectedDate&gt;TODAY(),""-"",IF(REGEXMATCH(U$5,""SUN""),""WO"",IF(U$8&lt;&gt;"""",IF(VALUE(U$8)&gt;=9/24,""FD"",""HD""),""A"")))))))"),"-")</f>
        <v>-</v>
      </c>
      <c r="V9" s="43" t="str">
        <f>IFERROR(__xludf.DUMMYFUNCTION("IF($A4="""","""",IF(V$5="""","""",LET(logStatus,IFNA(INDEX(DATA_LOG!$E:$E,MATCH(1,(DATA_LOG!$A:$A=$A4)*(TEXT(DATA_LOG!$B:$B,""yyyy-MM-dd"")=TEXT(DATE($P$3,MONTH(1&amp;$N$3),VALUE(LEFT(V$5,2))),""yyyy-MM-dd"")),0)),""""),selectedDate,DATE($P$3,MONTH(1&amp;$N$3),VA"&amp;"LUE(LEFT(V$5,2))),IF(logStatus&lt;&gt;"""",UPPER(logStatus),IF(selectedDate&gt;TODAY(),""-"",IF(REGEXMATCH(V$5,""SUN""),""WO"",IF(V$8&lt;&gt;"""",IF(VALUE(V$8)&gt;=9/24,""FD"",""HD""),""A"")))))))"),"-")</f>
        <v>-</v>
      </c>
      <c r="W9" s="43" t="str">
        <f>IFERROR(__xludf.DUMMYFUNCTION("IF($A4="""","""",IF(W$5="""","""",LET(logStatus,IFNA(INDEX(DATA_LOG!$E:$E,MATCH(1,(DATA_LOG!$A:$A=$A4)*(TEXT(DATA_LOG!$B:$B,""yyyy-MM-dd"")=TEXT(DATE($P$3,MONTH(1&amp;$N$3),VALUE(LEFT(W$5,2))),""yyyy-MM-dd"")),0)),""""),selectedDate,DATE($P$3,MONTH(1&amp;$N$3),VA"&amp;"LUE(LEFT(W$5,2))),IF(logStatus&lt;&gt;"""",UPPER(logStatus),IF(selectedDate&gt;TODAY(),""-"",IF(REGEXMATCH(W$5,""SUN""),""WO"",IF(W$8&lt;&gt;"""",IF(VALUE(W$8)&gt;=9/24,""FD"",""HD""),""A"")))))))"),"-")</f>
        <v>-</v>
      </c>
      <c r="X9" s="43" t="str">
        <f>IFERROR(__xludf.DUMMYFUNCTION("IF($A4="""","""",IF(X$5="""","""",LET(logStatus,IFNA(INDEX(DATA_LOG!$E:$E,MATCH(1,(DATA_LOG!$A:$A=$A4)*(TEXT(DATA_LOG!$B:$B,""yyyy-MM-dd"")=TEXT(DATE($P$3,MONTH(1&amp;$N$3),VALUE(LEFT(X$5,2))),""yyyy-MM-dd"")),0)),""""),selectedDate,DATE($P$3,MONTH(1&amp;$N$3),VA"&amp;"LUE(LEFT(X$5,2))),IF(logStatus&lt;&gt;"""",UPPER(logStatus),IF(selectedDate&gt;TODAY(),""-"",IF(REGEXMATCH(X$5,""SUN""),""WO"",IF(X$8&lt;&gt;"""",IF(VALUE(X$8)&gt;=9/24,""FD"",""HD""),""A"")))))))"),"-")</f>
        <v>-</v>
      </c>
      <c r="Y9" s="43" t="str">
        <f>IFERROR(__xludf.DUMMYFUNCTION("IF($A4="""","""",IF(Y$5="""","""",LET(logStatus,IFNA(INDEX(DATA_LOG!$E:$E,MATCH(1,(DATA_LOG!$A:$A=$A4)*(TEXT(DATA_LOG!$B:$B,""yyyy-MM-dd"")=TEXT(DATE($P$3,MONTH(1&amp;$N$3),VALUE(LEFT(Y$5,2))),""yyyy-MM-dd"")),0)),""""),selectedDate,DATE($P$3,MONTH(1&amp;$N$3),VA"&amp;"LUE(LEFT(Y$5,2))),IF(logStatus&lt;&gt;"""",UPPER(logStatus),IF(selectedDate&gt;TODAY(),""-"",IF(REGEXMATCH(Y$5,""SUN""),""WO"",IF(Y$8&lt;&gt;"""",IF(VALUE(Y$8)&gt;=9/24,""FD"",""HD""),""A"")))))))"),"-")</f>
        <v>-</v>
      </c>
      <c r="Z9" s="43" t="str">
        <f>IFERROR(__xludf.DUMMYFUNCTION("IF($A4="""","""",IF(Z$5="""","""",LET(logStatus,IFNA(INDEX(DATA_LOG!$E:$E,MATCH(1,(DATA_LOG!$A:$A=$A4)*(TEXT(DATA_LOG!$B:$B,""yyyy-MM-dd"")=TEXT(DATE($P$3,MONTH(1&amp;$N$3),VALUE(LEFT(Z$5,2))),""yyyy-MM-dd"")),0)),""""),selectedDate,DATE($P$3,MONTH(1&amp;$N$3),VA"&amp;"LUE(LEFT(Z$5,2))),IF(logStatus&lt;&gt;"""",UPPER(logStatus),IF(selectedDate&gt;TODAY(),""-"",IF(REGEXMATCH(Z$5,""SUN""),""WO"",IF(Z$8&lt;&gt;"""",IF(VALUE(Z$8)&gt;=9/24,""FD"",""HD""),""A"")))))))"),"-")</f>
        <v>-</v>
      </c>
      <c r="AA9" s="43" t="str">
        <f>IFERROR(__xludf.DUMMYFUNCTION("IF($A4="""","""",IF(AA$5="""","""",LET(logStatus,IFNA(INDEX(DATA_LOG!$E:$E,MATCH(1,(DATA_LOG!$A:$A=$A4)*(TEXT(DATA_LOG!$B:$B,""yyyy-MM-dd"")=TEXT(DATE($P$3,MONTH(1&amp;$N$3),VALUE(LEFT(AA$5,2))),""yyyy-MM-dd"")),0)),""""),selectedDate,DATE($P$3,MONTH(1&amp;$N$3),"&amp;"VALUE(LEFT(AA$5,2))),IF(logStatus&lt;&gt;"""",UPPER(logStatus),IF(selectedDate&gt;TODAY(),""-"",IF(REGEXMATCH(AA$5,""SUN""),""WO"",IF(AA$8&lt;&gt;"""",IF(VALUE(AA$8)&gt;=9/24,""FD"",""HD""),""A"")))))))"),"-")</f>
        <v>-</v>
      </c>
      <c r="AB9" s="43" t="str">
        <f>IFERROR(__xludf.DUMMYFUNCTION("IF($A4="""","""",IF(AB$5="""","""",LET(logStatus,IFNA(INDEX(DATA_LOG!$E:$E,MATCH(1,(DATA_LOG!$A:$A=$A4)*(TEXT(DATA_LOG!$B:$B,""yyyy-MM-dd"")=TEXT(DATE($P$3,MONTH(1&amp;$N$3),VALUE(LEFT(AB$5,2))),""yyyy-MM-dd"")),0)),""""),selectedDate,DATE($P$3,MONTH(1&amp;$N$3),"&amp;"VALUE(LEFT(AB$5,2))),IF(logStatus&lt;&gt;"""",UPPER(logStatus),IF(selectedDate&gt;TODAY(),""-"",IF(REGEXMATCH(AB$5,""SUN""),""WO"",IF(AB$8&lt;&gt;"""",IF(VALUE(AB$8)&gt;=9/24,""FD"",""HD""),""A"")))))))"),"-")</f>
        <v>-</v>
      </c>
      <c r="AC9" s="43" t="str">
        <f>IFERROR(__xludf.DUMMYFUNCTION("IF($A4="""","""",IF(AC$5="""","""",LET(logStatus,IFNA(INDEX(DATA_LOG!$E:$E,MATCH(1,(DATA_LOG!$A:$A=$A4)*(TEXT(DATA_LOG!$B:$B,""yyyy-MM-dd"")=TEXT(DATE($P$3,MONTH(1&amp;$N$3),VALUE(LEFT(AC$5,2))),""yyyy-MM-dd"")),0)),""""),selectedDate,DATE($P$3,MONTH(1&amp;$N$3),"&amp;"VALUE(LEFT(AC$5,2))),IF(logStatus&lt;&gt;"""",UPPER(logStatus),IF(selectedDate&gt;TODAY(),""-"",IF(REGEXMATCH(AC$5,""SUN""),""WO"",IF(AC$8&lt;&gt;"""",IF(VALUE(AC$8)&gt;=9/24,""FD"",""HD""),""A"")))))))"),"-")</f>
        <v>-</v>
      </c>
      <c r="AD9" s="43" t="str">
        <f>IFERROR(__xludf.DUMMYFUNCTION("IF($A4="""","""",IF(AD$5="""","""",LET(logStatus,IFNA(INDEX(DATA_LOG!$E:$E,MATCH(1,(DATA_LOG!$A:$A=$A4)*(TEXT(DATA_LOG!$B:$B,""yyyy-MM-dd"")=TEXT(DATE($P$3,MONTH(1&amp;$N$3),VALUE(LEFT(AD$5,2))),""yyyy-MM-dd"")),0)),""""),selectedDate,DATE($P$3,MONTH(1&amp;$N$3),"&amp;"VALUE(LEFT(AD$5,2))),IF(logStatus&lt;&gt;"""",UPPER(logStatus),IF(selectedDate&gt;TODAY(),""-"",IF(REGEXMATCH(AD$5,""SUN""),""WO"",IF(AD$8&lt;&gt;"""",IF(VALUE(AD$8)&gt;=9/24,""FD"",""HD""),""A"")))))))"),"-")</f>
        <v>-</v>
      </c>
      <c r="AE9" s="43" t="str">
        <f>IFERROR(__xludf.DUMMYFUNCTION("IF($A4="""","""",IF(AE$5="""","""",LET(logStatus,IFNA(INDEX(DATA_LOG!$E:$E,MATCH(1,(DATA_LOG!$A:$A=$A4)*(TEXT(DATA_LOG!$B:$B,""yyyy-MM-dd"")=TEXT(DATE($P$3,MONTH(1&amp;$N$3),VALUE(LEFT(AE$5,2))),""yyyy-MM-dd"")),0)),""""),selectedDate,DATE($P$3,MONTH(1&amp;$N$3),"&amp;"VALUE(LEFT(AE$5,2))),IF(logStatus&lt;&gt;"""",UPPER(logStatus),IF(selectedDate&gt;TODAY(),""-"",IF(REGEXMATCH(AE$5,""SUN""),""WO"",IF(AE$8&lt;&gt;"""",IF(VALUE(AE$8)&gt;=9/24,""FD"",""HD""),""A"")))))))"),"-")</f>
        <v>-</v>
      </c>
      <c r="AF9" s="43" t="str">
        <f>IFERROR(__xludf.DUMMYFUNCTION("IF($A4="""","""",IF(AF$5="""","""",LET(logStatus,IFNA(INDEX(DATA_LOG!$E:$E,MATCH(1,(DATA_LOG!$A:$A=$A4)*(TEXT(DATA_LOG!$B:$B,""yyyy-MM-dd"")=TEXT(DATE($P$3,MONTH(1&amp;$N$3),VALUE(LEFT(AF$5,2))),""yyyy-MM-dd"")),0)),""""),selectedDate,DATE($P$3,MONTH(1&amp;$N$3),"&amp;"VALUE(LEFT(AF$5,2))),IF(logStatus&lt;&gt;"""",UPPER(logStatus),IF(selectedDate&gt;TODAY(),""-"",IF(REGEXMATCH(AF$5,""SUN""),""WO"",IF(AF$8&lt;&gt;"""",IF(VALUE(AF$8)&gt;=9/24,""FD"",""HD""),""A"")))))))"),"")</f>
        <v/>
      </c>
    </row>
    <row r="10">
      <c r="A10" s="44"/>
    </row>
    <row r="11">
      <c r="A11" s="25" t="str">
        <f t="array" ref="A11">INDEX(EMPLOYEE_LIST!$A:$A,INT((ROW()-4)/7)+2)</f>
        <v>ARJUN BAHADUR</v>
      </c>
      <c r="B11" s="26"/>
      <c r="C11" s="27"/>
      <c r="D11" s="28" t="str">
        <f>IF(A11="", "", IFERROR(VLOOKUP(A11, EMPLOYEE_LIST!$A:$H, 2, FALSE), ""))</f>
        <v>AYV-88</v>
      </c>
      <c r="E11" s="26"/>
      <c r="F11" s="26"/>
      <c r="G11" s="27"/>
      <c r="H11" s="29" t="str">
        <f>IF(A11="", "", IFERROR(VLOOKUP(A11, EMPLOYEE_LIST!$A:$H, 3, FALSE), ""))</f>
        <v>SUPERVISOR</v>
      </c>
      <c r="I11" s="26"/>
      <c r="J11" s="26"/>
      <c r="K11" s="27"/>
      <c r="L11" s="29" t="str">
        <f>IF(A11="", "", IFERROR(VLOOKUP(A11, EMPLOYEE_LIST!$A:$H, 4, FALSE), ""))</f>
        <v>SUPERVISOR</v>
      </c>
      <c r="M11" s="26"/>
      <c r="N11" s="26"/>
      <c r="O11" s="27"/>
      <c r="P11" s="30" t="str">
        <f>IF($A11="", "", "Full Day: " &amp; COUNTIF(B16:AF16, "FD"))</f>
        <v>Full Day: 0</v>
      </c>
      <c r="Q11" s="26"/>
      <c r="R11" s="27"/>
      <c r="S11" s="31" t="str">
        <f>IF($A11="", "", "HALF Day: " &amp; COUNTIF(B16:AF16, "HD"))</f>
        <v>HALF Day: 0</v>
      </c>
      <c r="T11" s="26"/>
      <c r="U11" s="27"/>
      <c r="V11" s="31" t="str">
        <f>IF($A11="", "", "ABSENT: " &amp; COUNTIF(B16:AF16, "A"))</f>
        <v>ABSENT: 10</v>
      </c>
      <c r="W11" s="26"/>
      <c r="X11" s="27"/>
      <c r="Y11" s="31" t="str">
        <f>IF($A11="", "", "WEEK OFF: " &amp; COUNTIF(B16:AF16, "WO"))</f>
        <v>WEEK OFF: 1</v>
      </c>
      <c r="Z11" s="26"/>
      <c r="AA11" s="27"/>
      <c r="AB11" s="31" t="str">
        <f>IF($A11="", "", "LEAVE: " &amp; COUNTIF(B16:AF16, "L"))</f>
        <v>LEAVE: 0</v>
      </c>
      <c r="AC11" s="27"/>
      <c r="AD11" s="31" t="str">
        <f>IF($A11="", "", "HOLIDAY: " &amp; COUNTIF(B16:AF16, "HL"))</f>
        <v>HOLIDAY: 0</v>
      </c>
      <c r="AE11" s="26"/>
      <c r="AF11" s="27"/>
    </row>
    <row r="12">
      <c r="A12" s="32" t="str">
        <f>IF($A11="", "", "DATE")</f>
        <v>DATE</v>
      </c>
      <c r="B12" s="33" t="str">
        <f t="array" ref="B12:AE12">IF($A11="","",LET(mNum,MONTH(1&amp;$N$3),start,DATE($P$3,mNum,1),days,DAY(EOMONTH(start,0)),MAP(SEQUENCE(1,days,0),LAMBDA(n,UPPER(TEXT(start+n,"dd (ddd)"))))))</f>
        <v>01 (TUE)</v>
      </c>
      <c r="C12" s="34" t="s">
        <v>89</v>
      </c>
      <c r="D12" s="34" t="s">
        <v>90</v>
      </c>
      <c r="E12" s="34" t="s">
        <v>91</v>
      </c>
      <c r="F12" s="34" t="s">
        <v>92</v>
      </c>
      <c r="G12" s="34" t="s">
        <v>93</v>
      </c>
      <c r="H12" s="34" t="s">
        <v>94</v>
      </c>
      <c r="I12" s="34" t="s">
        <v>95</v>
      </c>
      <c r="J12" s="34" t="s">
        <v>96</v>
      </c>
      <c r="K12" s="34" t="s">
        <v>97</v>
      </c>
      <c r="L12" s="34" t="s">
        <v>98</v>
      </c>
      <c r="M12" s="34" t="s">
        <v>99</v>
      </c>
      <c r="N12" s="34" t="s">
        <v>100</v>
      </c>
      <c r="O12" s="34" t="s">
        <v>101</v>
      </c>
      <c r="P12" s="34" t="s">
        <v>102</v>
      </c>
      <c r="Q12" s="34" t="s">
        <v>103</v>
      </c>
      <c r="R12" s="34" t="s">
        <v>104</v>
      </c>
      <c r="S12" s="34" t="s">
        <v>105</v>
      </c>
      <c r="T12" s="34" t="s">
        <v>106</v>
      </c>
      <c r="U12" s="34" t="s">
        <v>107</v>
      </c>
      <c r="V12" s="34" t="s">
        <v>108</v>
      </c>
      <c r="W12" s="34" t="s">
        <v>109</v>
      </c>
      <c r="X12" s="34" t="s">
        <v>110</v>
      </c>
      <c r="Y12" s="34" t="s">
        <v>111</v>
      </c>
      <c r="Z12" s="34" t="s">
        <v>112</v>
      </c>
      <c r="AA12" s="34" t="s">
        <v>113</v>
      </c>
      <c r="AB12" s="34" t="s">
        <v>114</v>
      </c>
      <c r="AC12" s="34" t="s">
        <v>115</v>
      </c>
      <c r="AD12" s="34" t="s">
        <v>116</v>
      </c>
      <c r="AE12" s="34" t="s">
        <v>117</v>
      </c>
      <c r="AF12" s="34"/>
    </row>
    <row r="13">
      <c r="A13" s="37" t="str">
        <f>IF($A11="", "", "IN")</f>
        <v>IN</v>
      </c>
      <c r="B13" s="39" t="str">
        <f t="array" ref="B13">IF(OR($A11="",B$5=""),"",IFNA(INDEX(DATA_LOG!$C:$C,MATCH(1,(DATA_LOG!$A:$A=$A11)*(TEXT(DATA_LOG!$B:$B,"yyyy-MM-dd")=TEXT(DATE($P$3,MONTH(1&amp;$N$3),VALUE(LEFT(B$5,2))),"yyyy-MM-dd")),0)),""))</f>
        <v/>
      </c>
      <c r="C13" s="39" t="str">
        <f t="array" ref="C13">IF(OR($A11="",C$5=""),"",IFNA(INDEX(DATA_LOG!$C:$C,MATCH(1,(DATA_LOG!$A:$A=$A11)*(TEXT(DATA_LOG!$B:$B,"yyyy-MM-dd")=TEXT(DATE($P$3,MONTH(1&amp;$N$3),VALUE(LEFT(C$5,2))),"yyyy-MM-dd")),0)),""))</f>
        <v/>
      </c>
      <c r="D13" s="39" t="str">
        <f t="array" ref="D13">IF(OR($A11="",D$5=""),"",IFNA(INDEX(DATA_LOG!$C:$C,MATCH(1,(DATA_LOG!$A:$A=$A11)*(TEXT(DATA_LOG!$B:$B,"yyyy-MM-dd")=TEXT(DATE($P$3,MONTH(1&amp;$N$3),VALUE(LEFT(D$5,2))),"yyyy-MM-dd")),0)),""))</f>
        <v/>
      </c>
      <c r="E13" s="39" t="str">
        <f t="array" ref="E13">IF(OR($A11="",E$5=""),"",IFNA(INDEX(DATA_LOG!$C:$C,MATCH(1,(DATA_LOG!$A:$A=$A11)*(TEXT(DATA_LOG!$B:$B,"yyyy-MM-dd")=TEXT(DATE($P$3,MONTH(1&amp;$N$3),VALUE(LEFT(E$5,2))),"yyyy-MM-dd")),0)),""))</f>
        <v/>
      </c>
      <c r="F13" s="39" t="str">
        <f t="array" ref="F13">IF(OR($A11="",F$5=""),"",IFNA(INDEX(DATA_LOG!$C:$C,MATCH(1,(DATA_LOG!$A:$A=$A11)*(TEXT(DATA_LOG!$B:$B,"yyyy-MM-dd")=TEXT(DATE($P$3,MONTH(1&amp;$N$3),VALUE(LEFT(F$5,2))),"yyyy-MM-dd")),0)),""))</f>
        <v/>
      </c>
      <c r="G13" s="39" t="str">
        <f t="array" ref="G13">IF(OR($A11="",G$5=""),"",IFNA(INDEX(DATA_LOG!$C:$C,MATCH(1,(DATA_LOG!$A:$A=$A11)*(TEXT(DATA_LOG!$B:$B,"yyyy-MM-dd")=TEXT(DATE($P$3,MONTH(1&amp;$N$3),VALUE(LEFT(G$5,2))),"yyyy-MM-dd")),0)),""))</f>
        <v/>
      </c>
      <c r="H13" s="39" t="str">
        <f t="array" ref="H13">IF(OR($A11="",H$5=""),"",IFNA(INDEX(DATA_LOG!$C:$C,MATCH(1,(DATA_LOG!$A:$A=$A11)*(TEXT(DATA_LOG!$B:$B,"yyyy-MM-dd")=TEXT(DATE($P$3,MONTH(1&amp;$N$3),VALUE(LEFT(H$5,2))),"yyyy-MM-dd")),0)),""))</f>
        <v/>
      </c>
      <c r="I13" s="39" t="str">
        <f t="array" ref="I13">IF(OR($A11="",I$5=""),"",IFNA(INDEX(DATA_LOG!$C:$C,MATCH(1,(DATA_LOG!$A:$A=$A11)*(TEXT(DATA_LOG!$B:$B,"yyyy-MM-dd")=TEXT(DATE($P$3,MONTH(1&amp;$N$3),VALUE(LEFT(I$5,2))),"yyyy-MM-dd")),0)),""))</f>
        <v/>
      </c>
      <c r="J13" s="39" t="str">
        <f t="array" ref="J13">IF(OR($A11="",J$5=""),"",IFNA(INDEX(DATA_LOG!$C:$C,MATCH(1,(DATA_LOG!$A:$A=$A11)*(TEXT(DATA_LOG!$B:$B,"yyyy-MM-dd")=TEXT(DATE($P$3,MONTH(1&amp;$N$3),VALUE(LEFT(J$5,2))),"yyyy-MM-dd")),0)),""))</f>
        <v/>
      </c>
      <c r="K13" s="39" t="str">
        <f t="array" ref="K13">IF(OR($A11="",K$5=""),"",IFNA(INDEX(DATA_LOG!$C:$C,MATCH(1,(DATA_LOG!$A:$A=$A11)*(TEXT(DATA_LOG!$B:$B,"yyyy-MM-dd")=TEXT(DATE($P$3,MONTH(1&amp;$N$3),VALUE(LEFT(K$5,2))),"yyyy-MM-dd")),0)),""))</f>
        <v/>
      </c>
      <c r="L13" s="39" t="str">
        <f t="array" ref="L13">IF(OR($A11="",L$5=""),"",IFNA(INDEX(DATA_LOG!$C:$C,MATCH(1,(DATA_LOG!$A:$A=$A11)*(TEXT(DATA_LOG!$B:$B,"yyyy-MM-dd")=TEXT(DATE($P$3,MONTH(1&amp;$N$3),VALUE(LEFT(L$5,2))),"yyyy-MM-dd")),0)),""))</f>
        <v/>
      </c>
      <c r="M13" s="39" t="str">
        <f t="array" ref="M13">IF(OR($A11="",M$5=""),"",IFNA(INDEX(DATA_LOG!$C:$C,MATCH(1,(DATA_LOG!$A:$A=$A11)*(TEXT(DATA_LOG!$B:$B,"yyyy-MM-dd")=TEXT(DATE($P$3,MONTH(1&amp;$N$3),VALUE(LEFT(M$5,2))),"yyyy-MM-dd")),0)),""))</f>
        <v/>
      </c>
      <c r="N13" s="39" t="str">
        <f t="array" ref="N13">IF(OR($A11="",N$5=""),"",IFNA(INDEX(DATA_LOG!$C:$C,MATCH(1,(DATA_LOG!$A:$A=$A11)*(TEXT(DATA_LOG!$B:$B,"yyyy-MM-dd")=TEXT(DATE($P$3,MONTH(1&amp;$N$3),VALUE(LEFT(N$5,2))),"yyyy-MM-dd")),0)),""))</f>
        <v/>
      </c>
      <c r="O13" s="39" t="str">
        <f t="array" ref="O13">IF(OR($A11="",O$5=""),"",IFNA(INDEX(DATA_LOG!$C:$C,MATCH(1,(DATA_LOG!$A:$A=$A11)*(TEXT(DATA_LOG!$B:$B,"yyyy-MM-dd")=TEXT(DATE($P$3,MONTH(1&amp;$N$3),VALUE(LEFT(O$5,2))),"yyyy-MM-dd")),0)),""))</f>
        <v/>
      </c>
      <c r="P13" s="39" t="str">
        <f t="array" ref="P13">IF(OR($A11="",P$5=""),"",IFNA(INDEX(DATA_LOG!$C:$C,MATCH(1,(DATA_LOG!$A:$A=$A11)*(TEXT(DATA_LOG!$B:$B,"yyyy-MM-dd")=TEXT(DATE($P$3,MONTH(1&amp;$N$3),VALUE(LEFT(P$5,2))),"yyyy-MM-dd")),0)),""))</f>
        <v/>
      </c>
      <c r="Q13" s="39" t="str">
        <f t="array" ref="Q13">IF(OR($A11="",Q$5=""),"",IFNA(INDEX(DATA_LOG!$C:$C,MATCH(1,(DATA_LOG!$A:$A=$A11)*(TEXT(DATA_LOG!$B:$B,"yyyy-MM-dd")=TEXT(DATE($P$3,MONTH(1&amp;$N$3),VALUE(LEFT(Q$5,2))),"yyyy-MM-dd")),0)),""))</f>
        <v/>
      </c>
      <c r="R13" s="39" t="str">
        <f t="array" ref="R13">IF(OR($A11="",R$5=""),"",IFNA(INDEX(DATA_LOG!$C:$C,MATCH(1,(DATA_LOG!$A:$A=$A11)*(TEXT(DATA_LOG!$B:$B,"yyyy-MM-dd")=TEXT(DATE($P$3,MONTH(1&amp;$N$3),VALUE(LEFT(R$5,2))),"yyyy-MM-dd")),0)),""))</f>
        <v/>
      </c>
      <c r="S13" s="39" t="str">
        <f t="array" ref="S13">IF(OR($A11="",S$5=""),"",IFNA(INDEX(DATA_LOG!$C:$C,MATCH(1,(DATA_LOG!$A:$A=$A11)*(TEXT(DATA_LOG!$B:$B,"yyyy-MM-dd")=TEXT(DATE($P$3,MONTH(1&amp;$N$3),VALUE(LEFT(S$5,2))),"yyyy-MM-dd")),0)),""))</f>
        <v/>
      </c>
      <c r="T13" s="39" t="str">
        <f t="array" ref="T13">IF(OR($A11="",T$5=""),"",IFNA(INDEX(DATA_LOG!$C:$C,MATCH(1,(DATA_LOG!$A:$A=$A11)*(TEXT(DATA_LOG!$B:$B,"yyyy-MM-dd")=TEXT(DATE($P$3,MONTH(1&amp;$N$3),VALUE(LEFT(T$5,2))),"yyyy-MM-dd")),0)),""))</f>
        <v/>
      </c>
      <c r="U13" s="39" t="str">
        <f t="array" ref="U13">IF(OR($A11="",U$5=""),"",IFNA(INDEX(DATA_LOG!$C:$C,MATCH(1,(DATA_LOG!$A:$A=$A11)*(TEXT(DATA_LOG!$B:$B,"yyyy-MM-dd")=TEXT(DATE($P$3,MONTH(1&amp;$N$3),VALUE(LEFT(U$5,2))),"yyyy-MM-dd")),0)),""))</f>
        <v/>
      </c>
      <c r="V13" s="39" t="str">
        <f t="array" ref="V13">IF(OR($A11="",V$5=""),"",IFNA(INDEX(DATA_LOG!$C:$C,MATCH(1,(DATA_LOG!$A:$A=$A11)*(TEXT(DATA_LOG!$B:$B,"yyyy-MM-dd")=TEXT(DATE($P$3,MONTH(1&amp;$N$3),VALUE(LEFT(V$5,2))),"yyyy-MM-dd")),0)),""))</f>
        <v/>
      </c>
      <c r="W13" s="39" t="str">
        <f t="array" ref="W13">IF(OR($A11="",W$5=""),"",IFNA(INDEX(DATA_LOG!$C:$C,MATCH(1,(DATA_LOG!$A:$A=$A11)*(TEXT(DATA_LOG!$B:$B,"yyyy-MM-dd")=TEXT(DATE($P$3,MONTH(1&amp;$N$3),VALUE(LEFT(W$5,2))),"yyyy-MM-dd")),0)),""))</f>
        <v/>
      </c>
      <c r="X13" s="39" t="str">
        <f t="array" ref="X13">IF(OR($A11="",X$5=""),"",IFNA(INDEX(DATA_LOG!$C:$C,MATCH(1,(DATA_LOG!$A:$A=$A11)*(TEXT(DATA_LOG!$B:$B,"yyyy-MM-dd")=TEXT(DATE($P$3,MONTH(1&amp;$N$3),VALUE(LEFT(X$5,2))),"yyyy-MM-dd")),0)),""))</f>
        <v/>
      </c>
      <c r="Y13" s="39" t="str">
        <f t="array" ref="Y13">IF(OR($A11="",Y$5=""),"",IFNA(INDEX(DATA_LOG!$C:$C,MATCH(1,(DATA_LOG!$A:$A=$A11)*(TEXT(DATA_LOG!$B:$B,"yyyy-MM-dd")=TEXT(DATE($P$3,MONTH(1&amp;$N$3),VALUE(LEFT(Y$5,2))),"yyyy-MM-dd")),0)),""))</f>
        <v/>
      </c>
      <c r="Z13" s="39" t="str">
        <f t="array" ref="Z13">IF(OR($A11="",Z$5=""),"",IFNA(INDEX(DATA_LOG!$C:$C,MATCH(1,(DATA_LOG!$A:$A=$A11)*(TEXT(DATA_LOG!$B:$B,"yyyy-MM-dd")=TEXT(DATE($P$3,MONTH(1&amp;$N$3),VALUE(LEFT(Z$5,2))),"yyyy-MM-dd")),0)),""))</f>
        <v/>
      </c>
      <c r="AA13" s="39" t="str">
        <f t="array" ref="AA13">IF(OR($A11="",AA$5=""),"",IFNA(INDEX(DATA_LOG!$C:$C,MATCH(1,(DATA_LOG!$A:$A=$A11)*(TEXT(DATA_LOG!$B:$B,"yyyy-MM-dd")=TEXT(DATE($P$3,MONTH(1&amp;$N$3),VALUE(LEFT(AA$5,2))),"yyyy-MM-dd")),0)),""))</f>
        <v/>
      </c>
      <c r="AB13" s="39" t="str">
        <f t="array" ref="AB13">IF(OR($A11="",AB$5=""),"",IFNA(INDEX(DATA_LOG!$C:$C,MATCH(1,(DATA_LOG!$A:$A=$A11)*(TEXT(DATA_LOG!$B:$B,"yyyy-MM-dd")=TEXT(DATE($P$3,MONTH(1&amp;$N$3),VALUE(LEFT(AB$5,2))),"yyyy-MM-dd")),0)),""))</f>
        <v/>
      </c>
      <c r="AC13" s="39" t="str">
        <f t="array" ref="AC13">IF(OR($A11="",AC$5=""),"",IFNA(INDEX(DATA_LOG!$C:$C,MATCH(1,(DATA_LOG!$A:$A=$A11)*(TEXT(DATA_LOG!$B:$B,"yyyy-MM-dd")=TEXT(DATE($P$3,MONTH(1&amp;$N$3),VALUE(LEFT(AC$5,2))),"yyyy-MM-dd")),0)),""))</f>
        <v/>
      </c>
      <c r="AD13" s="39" t="str">
        <f t="array" ref="AD13">IF(OR($A11="",AD$5=""),"",IFNA(INDEX(DATA_LOG!$C:$C,MATCH(1,(DATA_LOG!$A:$A=$A11)*(TEXT(DATA_LOG!$B:$B,"yyyy-MM-dd")=TEXT(DATE($P$3,MONTH(1&amp;$N$3),VALUE(LEFT(AD$5,2))),"yyyy-MM-dd")),0)),""))</f>
        <v/>
      </c>
      <c r="AE13" s="39" t="str">
        <f t="array" ref="AE13">IF(OR($A11="",AE$5=""),"",IFNA(INDEX(DATA_LOG!$C:$C,MATCH(1,(DATA_LOG!$A:$A=$A11)*(TEXT(DATA_LOG!$B:$B,"yyyy-MM-dd")=TEXT(DATE($P$3,MONTH(1&amp;$N$3),VALUE(LEFT(AE$5,2))),"yyyy-MM-dd")),0)),""))</f>
        <v/>
      </c>
      <c r="AF13" s="39" t="str">
        <f t="array" ref="AF13">IF(OR($A11="",AF$5=""),"",IFNA(INDEX(DATA_LOG!$C:$C,MATCH(1,(DATA_LOG!$A:$A=$A11)*(TEXT(DATA_LOG!$B:$B,"yyyy-MM-dd")=TEXT(DATE($P$3,MONTH(1&amp;$N$3),VALUE(LEFT(AF$5,2))),"yyyy-MM-dd")),0)),""))</f>
        <v/>
      </c>
    </row>
    <row r="14">
      <c r="A14" s="37" t="str">
        <f>IF($A11="", "", "OUT")</f>
        <v>OUT</v>
      </c>
      <c r="B14" s="39" t="str">
        <f t="array" ref="B14">IF(OR($A11="",B$5=""),"",IFNA(INDEX(DATA_LOG!$D:$D,MATCH(1,(DATA_LOG!$A:$A=$A11)*(TEXT(DATA_LOG!$B:$B,"yyyy-MM-dd")=TEXT(DATE($P$3,MONTH(1&amp;$N$3),VALUE(LEFT(B$5,2))),"yyyy-MM-dd")),0)),""))</f>
        <v/>
      </c>
      <c r="C14" s="39" t="str">
        <f t="array" ref="C14">IF(OR($A11="",C$5=""),"",IFNA(INDEX(DATA_LOG!$D:$D,MATCH(1,(DATA_LOG!$A:$A=$A11)*(TEXT(DATA_LOG!$B:$B,"yyyy-MM-dd")=TEXT(DATE($P$3,MONTH(1&amp;$N$3),VALUE(LEFT(C$5,2))),"yyyy-MM-dd")),0)),""))</f>
        <v/>
      </c>
      <c r="D14" s="39" t="str">
        <f t="array" ref="D14">IF(OR($A11="",D$5=""),"",IFNA(INDEX(DATA_LOG!$D:$D,MATCH(1,(DATA_LOG!$A:$A=$A11)*(TEXT(DATA_LOG!$B:$B,"yyyy-MM-dd")=TEXT(DATE($P$3,MONTH(1&amp;$N$3),VALUE(LEFT(D$5,2))),"yyyy-MM-dd")),0)),""))</f>
        <v/>
      </c>
      <c r="E14" s="39" t="str">
        <f t="array" ref="E14">IF(OR($A11="",E$5=""),"",IFNA(INDEX(DATA_LOG!$D:$D,MATCH(1,(DATA_LOG!$A:$A=$A11)*(TEXT(DATA_LOG!$B:$B,"yyyy-MM-dd")=TEXT(DATE($P$3,MONTH(1&amp;$N$3),VALUE(LEFT(E$5,2))),"yyyy-MM-dd")),0)),""))</f>
        <v/>
      </c>
      <c r="F14" s="39" t="str">
        <f t="array" ref="F14">IF(OR($A11="",F$5=""),"",IFNA(INDEX(DATA_LOG!$D:$D,MATCH(1,(DATA_LOG!$A:$A=$A11)*(TEXT(DATA_LOG!$B:$B,"yyyy-MM-dd")=TEXT(DATE($P$3,MONTH(1&amp;$N$3),VALUE(LEFT(F$5,2))),"yyyy-MM-dd")),0)),""))</f>
        <v/>
      </c>
      <c r="G14" s="39" t="str">
        <f t="array" ref="G14">IF(OR($A11="",G$5=""),"",IFNA(INDEX(DATA_LOG!$D:$D,MATCH(1,(DATA_LOG!$A:$A=$A11)*(TEXT(DATA_LOG!$B:$B,"yyyy-MM-dd")=TEXT(DATE($P$3,MONTH(1&amp;$N$3),VALUE(LEFT(G$5,2))),"yyyy-MM-dd")),0)),""))</f>
        <v/>
      </c>
      <c r="H14" s="39" t="str">
        <f t="array" ref="H14">IF(OR($A11="",H$5=""),"",IFNA(INDEX(DATA_LOG!$D:$D,MATCH(1,(DATA_LOG!$A:$A=$A11)*(TEXT(DATA_LOG!$B:$B,"yyyy-MM-dd")=TEXT(DATE($P$3,MONTH(1&amp;$N$3),VALUE(LEFT(H$5,2))),"yyyy-MM-dd")),0)),""))</f>
        <v/>
      </c>
      <c r="I14" s="39" t="str">
        <f t="array" ref="I14">IF(OR($A11="",I$5=""),"",IFNA(INDEX(DATA_LOG!$D:$D,MATCH(1,(DATA_LOG!$A:$A=$A11)*(TEXT(DATA_LOG!$B:$B,"yyyy-MM-dd")=TEXT(DATE($P$3,MONTH(1&amp;$N$3),VALUE(LEFT(I$5,2))),"yyyy-MM-dd")),0)),""))</f>
        <v/>
      </c>
      <c r="J14" s="39" t="str">
        <f t="array" ref="J14">IF(OR($A11="",J$5=""),"",IFNA(INDEX(DATA_LOG!$D:$D,MATCH(1,(DATA_LOG!$A:$A=$A11)*(TEXT(DATA_LOG!$B:$B,"yyyy-MM-dd")=TEXT(DATE($P$3,MONTH(1&amp;$N$3),VALUE(LEFT(J$5,2))),"yyyy-MM-dd")),0)),""))</f>
        <v/>
      </c>
      <c r="K14" s="39" t="str">
        <f t="array" ref="K14">IF(OR($A11="",K$5=""),"",IFNA(INDEX(DATA_LOG!$D:$D,MATCH(1,(DATA_LOG!$A:$A=$A11)*(TEXT(DATA_LOG!$B:$B,"yyyy-MM-dd")=TEXT(DATE($P$3,MONTH(1&amp;$N$3),VALUE(LEFT(K$5,2))),"yyyy-MM-dd")),0)),""))</f>
        <v/>
      </c>
      <c r="L14" s="39" t="str">
        <f t="array" ref="L14">IF(OR($A11="",L$5=""),"",IFNA(INDEX(DATA_LOG!$D:$D,MATCH(1,(DATA_LOG!$A:$A=$A11)*(TEXT(DATA_LOG!$B:$B,"yyyy-MM-dd")=TEXT(DATE($P$3,MONTH(1&amp;$N$3),VALUE(LEFT(L$5,2))),"yyyy-MM-dd")),0)),""))</f>
        <v/>
      </c>
      <c r="M14" s="39" t="str">
        <f t="array" ref="M14">IF(OR($A11="",M$5=""),"",IFNA(INDEX(DATA_LOG!$D:$D,MATCH(1,(DATA_LOG!$A:$A=$A11)*(TEXT(DATA_LOG!$B:$B,"yyyy-MM-dd")=TEXT(DATE($P$3,MONTH(1&amp;$N$3),VALUE(LEFT(M$5,2))),"yyyy-MM-dd")),0)),""))</f>
        <v/>
      </c>
      <c r="N14" s="39" t="str">
        <f t="array" ref="N14">IF(OR($A11="",N$5=""),"",IFNA(INDEX(DATA_LOG!$D:$D,MATCH(1,(DATA_LOG!$A:$A=$A11)*(TEXT(DATA_LOG!$B:$B,"yyyy-MM-dd")=TEXT(DATE($P$3,MONTH(1&amp;$N$3),VALUE(LEFT(N$5,2))),"yyyy-MM-dd")),0)),""))</f>
        <v/>
      </c>
      <c r="O14" s="39" t="str">
        <f t="array" ref="O14">IF(OR($A11="",O$5=""),"",IFNA(INDEX(DATA_LOG!$D:$D,MATCH(1,(DATA_LOG!$A:$A=$A11)*(TEXT(DATA_LOG!$B:$B,"yyyy-MM-dd")=TEXT(DATE($P$3,MONTH(1&amp;$N$3),VALUE(LEFT(O$5,2))),"yyyy-MM-dd")),0)),""))</f>
        <v/>
      </c>
      <c r="P14" s="39" t="str">
        <f t="array" ref="P14">IF(OR($A11="",P$5=""),"",IFNA(INDEX(DATA_LOG!$D:$D,MATCH(1,(DATA_LOG!$A:$A=$A11)*(TEXT(DATA_LOG!$B:$B,"yyyy-MM-dd")=TEXT(DATE($P$3,MONTH(1&amp;$N$3),VALUE(LEFT(P$5,2))),"yyyy-MM-dd")),0)),""))</f>
        <v/>
      </c>
      <c r="Q14" s="39" t="str">
        <f t="array" ref="Q14">IF(OR($A11="",Q$5=""),"",IFNA(INDEX(DATA_LOG!$D:$D,MATCH(1,(DATA_LOG!$A:$A=$A11)*(TEXT(DATA_LOG!$B:$B,"yyyy-MM-dd")=TEXT(DATE($P$3,MONTH(1&amp;$N$3),VALUE(LEFT(Q$5,2))),"yyyy-MM-dd")),0)),""))</f>
        <v/>
      </c>
      <c r="R14" s="39" t="str">
        <f t="array" ref="R14">IF(OR($A11="",R$5=""),"",IFNA(INDEX(DATA_LOG!$D:$D,MATCH(1,(DATA_LOG!$A:$A=$A11)*(TEXT(DATA_LOG!$B:$B,"yyyy-MM-dd")=TEXT(DATE($P$3,MONTH(1&amp;$N$3),VALUE(LEFT(R$5,2))),"yyyy-MM-dd")),0)),""))</f>
        <v/>
      </c>
      <c r="S14" s="39" t="str">
        <f t="array" ref="S14">IF(OR($A11="",S$5=""),"",IFNA(INDEX(DATA_LOG!$D:$D,MATCH(1,(DATA_LOG!$A:$A=$A11)*(TEXT(DATA_LOG!$B:$B,"yyyy-MM-dd")=TEXT(DATE($P$3,MONTH(1&amp;$N$3),VALUE(LEFT(S$5,2))),"yyyy-MM-dd")),0)),""))</f>
        <v/>
      </c>
      <c r="T14" s="39" t="str">
        <f t="array" ref="T14">IF(OR($A11="",T$5=""),"",IFNA(INDEX(DATA_LOG!$D:$D,MATCH(1,(DATA_LOG!$A:$A=$A11)*(TEXT(DATA_LOG!$B:$B,"yyyy-MM-dd")=TEXT(DATE($P$3,MONTH(1&amp;$N$3),VALUE(LEFT(T$5,2))),"yyyy-MM-dd")),0)),""))</f>
        <v/>
      </c>
      <c r="U14" s="39" t="str">
        <f t="array" ref="U14">IF(OR($A11="",U$5=""),"",IFNA(INDEX(DATA_LOG!$D:$D,MATCH(1,(DATA_LOG!$A:$A=$A11)*(TEXT(DATA_LOG!$B:$B,"yyyy-MM-dd")=TEXT(DATE($P$3,MONTH(1&amp;$N$3),VALUE(LEFT(U$5,2))),"yyyy-MM-dd")),0)),""))</f>
        <v/>
      </c>
      <c r="V14" s="39" t="str">
        <f t="array" ref="V14">IF(OR($A11="",V$5=""),"",IFNA(INDEX(DATA_LOG!$D:$D,MATCH(1,(DATA_LOG!$A:$A=$A11)*(TEXT(DATA_LOG!$B:$B,"yyyy-MM-dd")=TEXT(DATE($P$3,MONTH(1&amp;$N$3),VALUE(LEFT(V$5,2))),"yyyy-MM-dd")),0)),""))</f>
        <v/>
      </c>
      <c r="W14" s="39" t="str">
        <f t="array" ref="W14">IF(OR($A11="",W$5=""),"",IFNA(INDEX(DATA_LOG!$D:$D,MATCH(1,(DATA_LOG!$A:$A=$A11)*(TEXT(DATA_LOG!$B:$B,"yyyy-MM-dd")=TEXT(DATE($P$3,MONTH(1&amp;$N$3),VALUE(LEFT(W$5,2))),"yyyy-MM-dd")),0)),""))</f>
        <v/>
      </c>
      <c r="X14" s="39" t="str">
        <f t="array" ref="X14">IF(OR($A11="",X$5=""),"",IFNA(INDEX(DATA_LOG!$D:$D,MATCH(1,(DATA_LOG!$A:$A=$A11)*(TEXT(DATA_LOG!$B:$B,"yyyy-MM-dd")=TEXT(DATE($P$3,MONTH(1&amp;$N$3),VALUE(LEFT(X$5,2))),"yyyy-MM-dd")),0)),""))</f>
        <v/>
      </c>
      <c r="Y14" s="39" t="str">
        <f t="array" ref="Y14">IF(OR($A11="",Y$5=""),"",IFNA(INDEX(DATA_LOG!$D:$D,MATCH(1,(DATA_LOG!$A:$A=$A11)*(TEXT(DATA_LOG!$B:$B,"yyyy-MM-dd")=TEXT(DATE($P$3,MONTH(1&amp;$N$3),VALUE(LEFT(Y$5,2))),"yyyy-MM-dd")),0)),""))</f>
        <v/>
      </c>
      <c r="Z14" s="39" t="str">
        <f t="array" ref="Z14">IF(OR($A11="",Z$5=""),"",IFNA(INDEX(DATA_LOG!$D:$D,MATCH(1,(DATA_LOG!$A:$A=$A11)*(TEXT(DATA_LOG!$B:$B,"yyyy-MM-dd")=TEXT(DATE($P$3,MONTH(1&amp;$N$3),VALUE(LEFT(Z$5,2))),"yyyy-MM-dd")),0)),""))</f>
        <v/>
      </c>
      <c r="AA14" s="39" t="str">
        <f t="array" ref="AA14">IF(OR($A11="",AA$5=""),"",IFNA(INDEX(DATA_LOG!$D:$D,MATCH(1,(DATA_LOG!$A:$A=$A11)*(TEXT(DATA_LOG!$B:$B,"yyyy-MM-dd")=TEXT(DATE($P$3,MONTH(1&amp;$N$3),VALUE(LEFT(AA$5,2))),"yyyy-MM-dd")),0)),""))</f>
        <v/>
      </c>
      <c r="AB14" s="39" t="str">
        <f t="array" ref="AB14">IF(OR($A11="",AB$5=""),"",IFNA(INDEX(DATA_LOG!$D:$D,MATCH(1,(DATA_LOG!$A:$A=$A11)*(TEXT(DATA_LOG!$B:$B,"yyyy-MM-dd")=TEXT(DATE($P$3,MONTH(1&amp;$N$3),VALUE(LEFT(AB$5,2))),"yyyy-MM-dd")),0)),""))</f>
        <v/>
      </c>
      <c r="AC14" s="39" t="str">
        <f t="array" ref="AC14">IF(OR($A11="",AC$5=""),"",IFNA(INDEX(DATA_LOG!$D:$D,MATCH(1,(DATA_LOG!$A:$A=$A11)*(TEXT(DATA_LOG!$B:$B,"yyyy-MM-dd")=TEXT(DATE($P$3,MONTH(1&amp;$N$3),VALUE(LEFT(AC$5,2))),"yyyy-MM-dd")),0)),""))</f>
        <v/>
      </c>
      <c r="AD14" s="39" t="str">
        <f t="array" ref="AD14">IF(OR($A11="",AD$5=""),"",IFNA(INDEX(DATA_LOG!$D:$D,MATCH(1,(DATA_LOG!$A:$A=$A11)*(TEXT(DATA_LOG!$B:$B,"yyyy-MM-dd")=TEXT(DATE($P$3,MONTH(1&amp;$N$3),VALUE(LEFT(AD$5,2))),"yyyy-MM-dd")),0)),""))</f>
        <v/>
      </c>
      <c r="AE14" s="39" t="str">
        <f t="array" ref="AE14">IF(OR($A11="",AE$5=""),"",IFNA(INDEX(DATA_LOG!$D:$D,MATCH(1,(DATA_LOG!$A:$A=$A11)*(TEXT(DATA_LOG!$B:$B,"yyyy-MM-dd")=TEXT(DATE($P$3,MONTH(1&amp;$N$3),VALUE(LEFT(AE$5,2))),"yyyy-MM-dd")),0)),""))</f>
        <v/>
      </c>
      <c r="AF14" s="39" t="str">
        <f t="array" ref="AF14">IF(OR($A11="",AF$5=""),"",IFNA(INDEX(DATA_LOG!$D:$D,MATCH(1,(DATA_LOG!$A:$A=$A11)*(TEXT(DATA_LOG!$B:$B,"yyyy-MM-dd")=TEXT(DATE($P$3,MONTH(1&amp;$N$3),VALUE(LEFT(AF$5,2))),"yyyy-MM-dd")),0)),""))</f>
        <v/>
      </c>
    </row>
    <row r="15">
      <c r="A15" s="40" t="str">
        <f>IF($A11="", "", "TOTAL")</f>
        <v>TOTAL</v>
      </c>
      <c r="B15" s="41" t="str">
        <f t="shared" ref="B15:AF15" si="2">IF(OR(B13="",B14=""),"",B14-B13)</f>
        <v/>
      </c>
      <c r="C15" s="34" t="str">
        <f t="shared" si="2"/>
        <v/>
      </c>
      <c r="D15" s="34" t="str">
        <f t="shared" si="2"/>
        <v/>
      </c>
      <c r="E15" s="34" t="str">
        <f t="shared" si="2"/>
        <v/>
      </c>
      <c r="F15" s="34" t="str">
        <f t="shared" si="2"/>
        <v/>
      </c>
      <c r="G15" s="34" t="str">
        <f t="shared" si="2"/>
        <v/>
      </c>
      <c r="H15" s="34" t="str">
        <f t="shared" si="2"/>
        <v/>
      </c>
      <c r="I15" s="34" t="str">
        <f t="shared" si="2"/>
        <v/>
      </c>
      <c r="J15" s="34" t="str">
        <f t="shared" si="2"/>
        <v/>
      </c>
      <c r="K15" s="34" t="str">
        <f t="shared" si="2"/>
        <v/>
      </c>
      <c r="L15" s="34" t="str">
        <f t="shared" si="2"/>
        <v/>
      </c>
      <c r="M15" s="34" t="str">
        <f t="shared" si="2"/>
        <v/>
      </c>
      <c r="N15" s="34" t="str">
        <f t="shared" si="2"/>
        <v/>
      </c>
      <c r="O15" s="34" t="str">
        <f t="shared" si="2"/>
        <v/>
      </c>
      <c r="P15" s="34" t="str">
        <f t="shared" si="2"/>
        <v/>
      </c>
      <c r="Q15" s="34" t="str">
        <f t="shared" si="2"/>
        <v/>
      </c>
      <c r="R15" s="34" t="str">
        <f t="shared" si="2"/>
        <v/>
      </c>
      <c r="S15" s="34" t="str">
        <f t="shared" si="2"/>
        <v/>
      </c>
      <c r="T15" s="34" t="str">
        <f t="shared" si="2"/>
        <v/>
      </c>
      <c r="U15" s="34" t="str">
        <f t="shared" si="2"/>
        <v/>
      </c>
      <c r="V15" s="34" t="str">
        <f t="shared" si="2"/>
        <v/>
      </c>
      <c r="W15" s="34" t="str">
        <f t="shared" si="2"/>
        <v/>
      </c>
      <c r="X15" s="34" t="str">
        <f t="shared" si="2"/>
        <v/>
      </c>
      <c r="Y15" s="34" t="str">
        <f t="shared" si="2"/>
        <v/>
      </c>
      <c r="Z15" s="34" t="str">
        <f t="shared" si="2"/>
        <v/>
      </c>
      <c r="AA15" s="34" t="str">
        <f t="shared" si="2"/>
        <v/>
      </c>
      <c r="AB15" s="34" t="str">
        <f t="shared" si="2"/>
        <v/>
      </c>
      <c r="AC15" s="34" t="str">
        <f t="shared" si="2"/>
        <v/>
      </c>
      <c r="AD15" s="34" t="str">
        <f t="shared" si="2"/>
        <v/>
      </c>
      <c r="AE15" s="34" t="str">
        <f t="shared" si="2"/>
        <v/>
      </c>
      <c r="AF15" s="34" t="str">
        <f t="shared" si="2"/>
        <v/>
      </c>
    </row>
    <row r="16">
      <c r="A16" s="42" t="str">
        <f>IF($A11="", "", "STATUS")</f>
        <v>STATUS</v>
      </c>
      <c r="B16" s="43" t="str">
        <f>IFERROR(__xludf.DUMMYFUNCTION("IF($A11="""","""",IF(B$12="""","""",LET(logStatus,IFNA(INDEX(DATA_LOG!$E:$E,MATCH(1,(DATA_LOG!$A:$A=$A11)*(TEXT(DATA_LOG!$B:$B,""yyyy-MM-dd"")=TEXT(DATE($P$3,MONTH(1&amp;$N$3),VALUE(LEFT(B$12,2))),""yyyy-MM-dd"")),0)),""""),selectedDate,DATE($P$3,MONTH(1&amp;$N$3"&amp;"),VALUE(LEFT(B$12,2))),IF(logStatus&lt;&gt;"""",UPPER(logStatus),IF(selectedDate&gt;TODAY(),""-"",IF(REGEXMATCH(B$12,""SUN""),""WO"",IF(B$15&lt;&gt;"""",IF(VALUE(B$15)&gt;=9/24,""FD"",""HD""),""A"")))))))"),"A")</f>
        <v>A</v>
      </c>
      <c r="C16" s="43" t="str">
        <f>IFERROR(__xludf.DUMMYFUNCTION("IF($A11="""","""",IF(C$12="""","""",LET(logStatus,IFNA(INDEX(DATA_LOG!$E:$E,MATCH(1,(DATA_LOG!$A:$A=$A11)*(TEXT(DATA_LOG!$B:$B,""yyyy-MM-dd"")=TEXT(DATE($P$3,MONTH(1&amp;$N$3),VALUE(LEFT(C$12,2))),""yyyy-MM-dd"")),0)),""""),selectedDate,DATE($P$3,MONTH(1&amp;$N$3"&amp;"),VALUE(LEFT(C$12,2))),IF(logStatus&lt;&gt;"""",UPPER(logStatus),IF(selectedDate&gt;TODAY(),""-"",IF(REGEXMATCH(C$12,""SUN""),""WO"",IF(C$15&lt;&gt;"""",IF(VALUE(C$15)&gt;=9/24,""FD"",""HD""),""A"")))))))"),"A")</f>
        <v>A</v>
      </c>
      <c r="D16" s="43" t="str">
        <f>IFERROR(__xludf.DUMMYFUNCTION("IF($A11="""","""",IF(D$12="""","""",LET(logStatus,IFNA(INDEX(DATA_LOG!$E:$E,MATCH(1,(DATA_LOG!$A:$A=$A11)*(TEXT(DATA_LOG!$B:$B,""yyyy-MM-dd"")=TEXT(DATE($P$3,MONTH(1&amp;$N$3),VALUE(LEFT(D$12,2))),""yyyy-MM-dd"")),0)),""""),selectedDate,DATE($P$3,MONTH(1&amp;$N$3"&amp;"),VALUE(LEFT(D$12,2))),IF(logStatus&lt;&gt;"""",UPPER(logStatus),IF(selectedDate&gt;TODAY(),""-"",IF(REGEXMATCH(D$12,""SUN""),""WO"",IF(D$15&lt;&gt;"""",IF(VALUE(D$15)&gt;=9/24,""FD"",""HD""),""A"")))))))"),"A")</f>
        <v>A</v>
      </c>
      <c r="E16" s="43" t="str">
        <f>IFERROR(__xludf.DUMMYFUNCTION("IF($A11="""","""",IF(E$12="""","""",LET(logStatus,IFNA(INDEX(DATA_LOG!$E:$E,MATCH(1,(DATA_LOG!$A:$A=$A11)*(TEXT(DATA_LOG!$B:$B,""yyyy-MM-dd"")=TEXT(DATE($P$3,MONTH(1&amp;$N$3),VALUE(LEFT(E$12,2))),""yyyy-MM-dd"")),0)),""""),selectedDate,DATE($P$3,MONTH(1&amp;$N$3"&amp;"),VALUE(LEFT(E$12,2))),IF(logStatus&lt;&gt;"""",UPPER(logStatus),IF(selectedDate&gt;TODAY(),""-"",IF(REGEXMATCH(E$12,""SUN""),""WO"",IF(E$15&lt;&gt;"""",IF(VALUE(E$15)&gt;=9/24,""FD"",""HD""),""A"")))))))"),"A")</f>
        <v>A</v>
      </c>
      <c r="F16" s="43" t="str">
        <f>IFERROR(__xludf.DUMMYFUNCTION("IF($A11="""","""",IF(F$12="""","""",LET(logStatus,IFNA(INDEX(DATA_LOG!$E:$E,MATCH(1,(DATA_LOG!$A:$A=$A11)*(TEXT(DATA_LOG!$B:$B,""yyyy-MM-dd"")=TEXT(DATE($P$3,MONTH(1&amp;$N$3),VALUE(LEFT(F$12,2))),""yyyy-MM-dd"")),0)),""""),selectedDate,DATE($P$3,MONTH(1&amp;$N$3"&amp;"),VALUE(LEFT(F$12,2))),IF(logStatus&lt;&gt;"""",UPPER(logStatus),IF(selectedDate&gt;TODAY(),""-"",IF(REGEXMATCH(F$12,""SUN""),""WO"",IF(F$15&lt;&gt;"""",IF(VALUE(F$15)&gt;=9/24,""FD"",""HD""),""A"")))))))"),"A")</f>
        <v>A</v>
      </c>
      <c r="G16" s="43" t="str">
        <f>IFERROR(__xludf.DUMMYFUNCTION("IF($A11="""","""",IF(G$12="""","""",LET(logStatus,IFNA(INDEX(DATA_LOG!$E:$E,MATCH(1,(DATA_LOG!$A:$A=$A11)*(TEXT(DATA_LOG!$B:$B,""yyyy-MM-dd"")=TEXT(DATE($P$3,MONTH(1&amp;$N$3),VALUE(LEFT(G$12,2))),""yyyy-MM-dd"")),0)),""""),selectedDate,DATE($P$3,MONTH(1&amp;$N$3"&amp;"),VALUE(LEFT(G$12,2))),IF(logStatus&lt;&gt;"""",UPPER(logStatus),IF(selectedDate&gt;TODAY(),""-"",IF(REGEXMATCH(G$12,""SUN""),""WO"",IF(G$15&lt;&gt;"""",IF(VALUE(G$15)&gt;=9/24,""FD"",""HD""),""A"")))))))"),"WO")</f>
        <v>WO</v>
      </c>
      <c r="H16" s="43" t="str">
        <f>IFERROR(__xludf.DUMMYFUNCTION("IF($A11="""","""",IF(H$12="""","""",LET(logStatus,IFNA(INDEX(DATA_LOG!$E:$E,MATCH(1,(DATA_LOG!$A:$A=$A11)*(TEXT(DATA_LOG!$B:$B,""yyyy-MM-dd"")=TEXT(DATE($P$3,MONTH(1&amp;$N$3),VALUE(LEFT(H$12,2))),""yyyy-MM-dd"")),0)),""""),selectedDate,DATE($P$3,MONTH(1&amp;$N$3"&amp;"),VALUE(LEFT(H$12,2))),IF(logStatus&lt;&gt;"""",UPPER(logStatus),IF(selectedDate&gt;TODAY(),""-"",IF(REGEXMATCH(H$12,""SUN""),""WO"",IF(H$15&lt;&gt;"""",IF(VALUE(H$15)&gt;=9/24,""FD"",""HD""),""A"")))))))"),"A")</f>
        <v>A</v>
      </c>
      <c r="I16" s="43" t="str">
        <f>IFERROR(__xludf.DUMMYFUNCTION("IF($A11="""","""",IF(I$12="""","""",LET(logStatus,IFNA(INDEX(DATA_LOG!$E:$E,MATCH(1,(DATA_LOG!$A:$A=$A11)*(TEXT(DATA_LOG!$B:$B,""yyyy-MM-dd"")=TEXT(DATE($P$3,MONTH(1&amp;$N$3),VALUE(LEFT(I$12,2))),""yyyy-MM-dd"")),0)),""""),selectedDate,DATE($P$3,MONTH(1&amp;$N$3"&amp;"),VALUE(LEFT(I$12,2))),IF(logStatus&lt;&gt;"""",UPPER(logStatus),IF(selectedDate&gt;TODAY(),""-"",IF(REGEXMATCH(I$12,""SUN""),""WO"",IF(I$15&lt;&gt;"""",IF(VALUE(I$15)&gt;=9/24,""FD"",""HD""),""A"")))))))"),"A")</f>
        <v>A</v>
      </c>
      <c r="J16" s="43" t="str">
        <f>IFERROR(__xludf.DUMMYFUNCTION("IF($A11="""","""",IF(J$12="""","""",LET(logStatus,IFNA(INDEX(DATA_LOG!$E:$E,MATCH(1,(DATA_LOG!$A:$A=$A11)*(TEXT(DATA_LOG!$B:$B,""yyyy-MM-dd"")=TEXT(DATE($P$3,MONTH(1&amp;$N$3),VALUE(LEFT(J$12,2))),""yyyy-MM-dd"")),0)),""""),selectedDate,DATE($P$3,MONTH(1&amp;$N$3"&amp;"),VALUE(LEFT(J$12,2))),IF(logStatus&lt;&gt;"""",UPPER(logStatus),IF(selectedDate&gt;TODAY(),""-"",IF(REGEXMATCH(J$12,""SUN""),""WO"",IF(J$15&lt;&gt;"""",IF(VALUE(J$15)&gt;=9/24,""FD"",""HD""),""A"")))))))"),"A")</f>
        <v>A</v>
      </c>
      <c r="K16" s="43" t="str">
        <f>IFERROR(__xludf.DUMMYFUNCTION("IF($A11="""","""",IF(K$12="""","""",LET(logStatus,IFNA(INDEX(DATA_LOG!$E:$E,MATCH(1,(DATA_LOG!$A:$A=$A11)*(TEXT(DATA_LOG!$B:$B,""yyyy-MM-dd"")=TEXT(DATE($P$3,MONTH(1&amp;$N$3),VALUE(LEFT(K$12,2))),""yyyy-MM-dd"")),0)),""""),selectedDate,DATE($P$3,MONTH(1&amp;$N$3"&amp;"),VALUE(LEFT(K$12,2))),IF(logStatus&lt;&gt;"""",UPPER(logStatus),IF(selectedDate&gt;TODAY(),""-"",IF(REGEXMATCH(K$12,""SUN""),""WO"",IF(K$15&lt;&gt;"""",IF(VALUE(K$15)&gt;=9/24,""FD"",""HD""),""A"")))))))"),"A")</f>
        <v>A</v>
      </c>
      <c r="L16" s="43" t="str">
        <f>IFERROR(__xludf.DUMMYFUNCTION("IF($A11="""","""",IF(L$12="""","""",LET(logStatus,IFNA(INDEX(DATA_LOG!$E:$E,MATCH(1,(DATA_LOG!$A:$A=$A11)*(TEXT(DATA_LOG!$B:$B,""yyyy-MM-dd"")=TEXT(DATE($P$3,MONTH(1&amp;$N$3),VALUE(LEFT(L$12,2))),""yyyy-MM-dd"")),0)),""""),selectedDate,DATE($P$3,MONTH(1&amp;$N$3"&amp;"),VALUE(LEFT(L$12,2))),IF(logStatus&lt;&gt;"""",UPPER(logStatus),IF(selectedDate&gt;TODAY(),""-"",IF(REGEXMATCH(L$12,""SUN""),""WO"",IF(L$15&lt;&gt;"""",IF(VALUE(L$15)&gt;=9/24,""FD"",""HD""),""A"")))))))"),"A")</f>
        <v>A</v>
      </c>
      <c r="M16" s="43" t="str">
        <f>IFERROR(__xludf.DUMMYFUNCTION("IF($A11="""","""",IF(M$12="""","""",LET(logStatus,IFNA(INDEX(DATA_LOG!$E:$E,MATCH(1,(DATA_LOG!$A:$A=$A11)*(TEXT(DATA_LOG!$B:$B,""yyyy-MM-dd"")=TEXT(DATE($P$3,MONTH(1&amp;$N$3),VALUE(LEFT(M$12,2))),""yyyy-MM-dd"")),0)),""""),selectedDate,DATE($P$3,MONTH(1&amp;$N$3"&amp;"),VALUE(LEFT(M$12,2))),IF(logStatus&lt;&gt;"""",UPPER(logStatus),IF(selectedDate&gt;TODAY(),""-"",IF(REGEXMATCH(M$12,""SUN""),""WO"",IF(M$15&lt;&gt;"""",IF(VALUE(M$15)&gt;=9/24,""FD"",""HD""),""A"")))))))"),"-")</f>
        <v>-</v>
      </c>
      <c r="N16" s="43" t="str">
        <f>IFERROR(__xludf.DUMMYFUNCTION("IF($A11="""","""",IF(N$12="""","""",LET(logStatus,IFNA(INDEX(DATA_LOG!$E:$E,MATCH(1,(DATA_LOG!$A:$A=$A11)*(TEXT(DATA_LOG!$B:$B,""yyyy-MM-dd"")=TEXT(DATE($P$3,MONTH(1&amp;$N$3),VALUE(LEFT(N$12,2))),""yyyy-MM-dd"")),0)),""""),selectedDate,DATE($P$3,MONTH(1&amp;$N$3"&amp;"),VALUE(LEFT(N$12,2))),IF(logStatus&lt;&gt;"""",UPPER(logStatus),IF(selectedDate&gt;TODAY(),""-"",IF(REGEXMATCH(N$12,""SUN""),""WO"",IF(N$15&lt;&gt;"""",IF(VALUE(N$15)&gt;=9/24,""FD"",""HD""),""A"")))))))"),"-")</f>
        <v>-</v>
      </c>
      <c r="O16" s="43" t="str">
        <f>IFERROR(__xludf.DUMMYFUNCTION("IF($A11="""","""",IF(O$12="""","""",LET(logStatus,IFNA(INDEX(DATA_LOG!$E:$E,MATCH(1,(DATA_LOG!$A:$A=$A11)*(TEXT(DATA_LOG!$B:$B,""yyyy-MM-dd"")=TEXT(DATE($P$3,MONTH(1&amp;$N$3),VALUE(LEFT(O$12,2))),""yyyy-MM-dd"")),0)),""""),selectedDate,DATE($P$3,MONTH(1&amp;$N$3"&amp;"),VALUE(LEFT(O$12,2))),IF(logStatus&lt;&gt;"""",UPPER(logStatus),IF(selectedDate&gt;TODAY(),""-"",IF(REGEXMATCH(O$12,""SUN""),""WO"",IF(O$15&lt;&gt;"""",IF(VALUE(O$15)&gt;=9/24,""FD"",""HD""),""A"")))))))"),"-")</f>
        <v>-</v>
      </c>
      <c r="P16" s="43" t="str">
        <f>IFERROR(__xludf.DUMMYFUNCTION("IF($A11="""","""",IF(P$12="""","""",LET(logStatus,IFNA(INDEX(DATA_LOG!$E:$E,MATCH(1,(DATA_LOG!$A:$A=$A11)*(TEXT(DATA_LOG!$B:$B,""yyyy-MM-dd"")=TEXT(DATE($P$3,MONTH(1&amp;$N$3),VALUE(LEFT(P$12,2))),""yyyy-MM-dd"")),0)),""""),selectedDate,DATE($P$3,MONTH(1&amp;$N$3"&amp;"),VALUE(LEFT(P$12,2))),IF(logStatus&lt;&gt;"""",UPPER(logStatus),IF(selectedDate&gt;TODAY(),""-"",IF(REGEXMATCH(P$12,""SUN""),""WO"",IF(P$15&lt;&gt;"""",IF(VALUE(P$15)&gt;=9/24,""FD"",""HD""),""A"")))))))"),"-")</f>
        <v>-</v>
      </c>
      <c r="Q16" s="43" t="str">
        <f>IFERROR(__xludf.DUMMYFUNCTION("IF($A11="""","""",IF(Q$12="""","""",LET(logStatus,IFNA(INDEX(DATA_LOG!$E:$E,MATCH(1,(DATA_LOG!$A:$A=$A11)*(TEXT(DATA_LOG!$B:$B,""yyyy-MM-dd"")=TEXT(DATE($P$3,MONTH(1&amp;$N$3),VALUE(LEFT(Q$12,2))),""yyyy-MM-dd"")),0)),""""),selectedDate,DATE($P$3,MONTH(1&amp;$N$3"&amp;"),VALUE(LEFT(Q$12,2))),IF(logStatus&lt;&gt;"""",UPPER(logStatus),IF(selectedDate&gt;TODAY(),""-"",IF(REGEXMATCH(Q$12,""SUN""),""WO"",IF(Q$15&lt;&gt;"""",IF(VALUE(Q$15)&gt;=9/24,""FD"",""HD""),""A"")))))))"),"-")</f>
        <v>-</v>
      </c>
      <c r="R16" s="43" t="str">
        <f>IFERROR(__xludf.DUMMYFUNCTION("IF($A11="""","""",IF(R$12="""","""",LET(logStatus,IFNA(INDEX(DATA_LOG!$E:$E,MATCH(1,(DATA_LOG!$A:$A=$A11)*(TEXT(DATA_LOG!$B:$B,""yyyy-MM-dd"")=TEXT(DATE($P$3,MONTH(1&amp;$N$3),VALUE(LEFT(R$12,2))),""yyyy-MM-dd"")),0)),""""),selectedDate,DATE($P$3,MONTH(1&amp;$N$3"&amp;"),VALUE(LEFT(R$12,2))),IF(logStatus&lt;&gt;"""",UPPER(logStatus),IF(selectedDate&gt;TODAY(),""-"",IF(REGEXMATCH(R$12,""SUN""),""WO"",IF(R$15&lt;&gt;"""",IF(VALUE(R$15)&gt;=9/24,""FD"",""HD""),""A"")))))))"),"-")</f>
        <v>-</v>
      </c>
      <c r="S16" s="43" t="str">
        <f>IFERROR(__xludf.DUMMYFUNCTION("IF($A11="""","""",IF(S$12="""","""",LET(logStatus,IFNA(INDEX(DATA_LOG!$E:$E,MATCH(1,(DATA_LOG!$A:$A=$A11)*(TEXT(DATA_LOG!$B:$B,""yyyy-MM-dd"")=TEXT(DATE($P$3,MONTH(1&amp;$N$3),VALUE(LEFT(S$12,2))),""yyyy-MM-dd"")),0)),""""),selectedDate,DATE($P$3,MONTH(1&amp;$N$3"&amp;"),VALUE(LEFT(S$12,2))),IF(logStatus&lt;&gt;"""",UPPER(logStatus),IF(selectedDate&gt;TODAY(),""-"",IF(REGEXMATCH(S$12,""SUN""),""WO"",IF(S$15&lt;&gt;"""",IF(VALUE(S$15)&gt;=9/24,""FD"",""HD""),""A"")))))))"),"-")</f>
        <v>-</v>
      </c>
      <c r="T16" s="43" t="str">
        <f>IFERROR(__xludf.DUMMYFUNCTION("IF($A11="""","""",IF(T$12="""","""",LET(logStatus,IFNA(INDEX(DATA_LOG!$E:$E,MATCH(1,(DATA_LOG!$A:$A=$A11)*(TEXT(DATA_LOG!$B:$B,""yyyy-MM-dd"")=TEXT(DATE($P$3,MONTH(1&amp;$N$3),VALUE(LEFT(T$12,2))),""yyyy-MM-dd"")),0)),""""),selectedDate,DATE($P$3,MONTH(1&amp;$N$3"&amp;"),VALUE(LEFT(T$12,2))),IF(logStatus&lt;&gt;"""",UPPER(logStatus),IF(selectedDate&gt;TODAY(),""-"",IF(REGEXMATCH(T$12,""SUN""),""WO"",IF(T$15&lt;&gt;"""",IF(VALUE(T$15)&gt;=9/24,""FD"",""HD""),""A"")))))))"),"-")</f>
        <v>-</v>
      </c>
      <c r="U16" s="43" t="str">
        <f>IFERROR(__xludf.DUMMYFUNCTION("IF($A11="""","""",IF(U$12="""","""",LET(logStatus,IFNA(INDEX(DATA_LOG!$E:$E,MATCH(1,(DATA_LOG!$A:$A=$A11)*(TEXT(DATA_LOG!$B:$B,""yyyy-MM-dd"")=TEXT(DATE($P$3,MONTH(1&amp;$N$3),VALUE(LEFT(U$12,2))),""yyyy-MM-dd"")),0)),""""),selectedDate,DATE($P$3,MONTH(1&amp;$N$3"&amp;"),VALUE(LEFT(U$12,2))),IF(logStatus&lt;&gt;"""",UPPER(logStatus),IF(selectedDate&gt;TODAY(),""-"",IF(REGEXMATCH(U$12,""SUN""),""WO"",IF(U$15&lt;&gt;"""",IF(VALUE(U$15)&gt;=9/24,""FD"",""HD""),""A"")))))))"),"-")</f>
        <v>-</v>
      </c>
      <c r="V16" s="43" t="str">
        <f>IFERROR(__xludf.DUMMYFUNCTION("IF($A11="""","""",IF(V$12="""","""",LET(logStatus,IFNA(INDEX(DATA_LOG!$E:$E,MATCH(1,(DATA_LOG!$A:$A=$A11)*(TEXT(DATA_LOG!$B:$B,""yyyy-MM-dd"")=TEXT(DATE($P$3,MONTH(1&amp;$N$3),VALUE(LEFT(V$12,2))),""yyyy-MM-dd"")),0)),""""),selectedDate,DATE($P$3,MONTH(1&amp;$N$3"&amp;"),VALUE(LEFT(V$12,2))),IF(logStatus&lt;&gt;"""",UPPER(logStatus),IF(selectedDate&gt;TODAY(),""-"",IF(REGEXMATCH(V$12,""SUN""),""WO"",IF(V$15&lt;&gt;"""",IF(VALUE(V$15)&gt;=9/24,""FD"",""HD""),""A"")))))))"),"-")</f>
        <v>-</v>
      </c>
      <c r="W16" s="43" t="str">
        <f>IFERROR(__xludf.DUMMYFUNCTION("IF($A11="""","""",IF(W$12="""","""",LET(logStatus,IFNA(INDEX(DATA_LOG!$E:$E,MATCH(1,(DATA_LOG!$A:$A=$A11)*(TEXT(DATA_LOG!$B:$B,""yyyy-MM-dd"")=TEXT(DATE($P$3,MONTH(1&amp;$N$3),VALUE(LEFT(W$12,2))),""yyyy-MM-dd"")),0)),""""),selectedDate,DATE($P$3,MONTH(1&amp;$N$3"&amp;"),VALUE(LEFT(W$12,2))),IF(logStatus&lt;&gt;"""",UPPER(logStatus),IF(selectedDate&gt;TODAY(),""-"",IF(REGEXMATCH(W$12,""SUN""),""WO"",IF(W$15&lt;&gt;"""",IF(VALUE(W$15)&gt;=9/24,""FD"",""HD""),""A"")))))))"),"-")</f>
        <v>-</v>
      </c>
      <c r="X16" s="43" t="str">
        <f>IFERROR(__xludf.DUMMYFUNCTION("IF($A11="""","""",IF(X$12="""","""",LET(logStatus,IFNA(INDEX(DATA_LOG!$E:$E,MATCH(1,(DATA_LOG!$A:$A=$A11)*(TEXT(DATA_LOG!$B:$B,""yyyy-MM-dd"")=TEXT(DATE($P$3,MONTH(1&amp;$N$3),VALUE(LEFT(X$12,2))),""yyyy-MM-dd"")),0)),""""),selectedDate,DATE($P$3,MONTH(1&amp;$N$3"&amp;"),VALUE(LEFT(X$12,2))),IF(logStatus&lt;&gt;"""",UPPER(logStatus),IF(selectedDate&gt;TODAY(),""-"",IF(REGEXMATCH(X$12,""SUN""),""WO"",IF(X$15&lt;&gt;"""",IF(VALUE(X$15)&gt;=9/24,""FD"",""HD""),""A"")))))))"),"-")</f>
        <v>-</v>
      </c>
      <c r="Y16" s="43" t="str">
        <f>IFERROR(__xludf.DUMMYFUNCTION("IF($A11="""","""",IF(Y$12="""","""",LET(logStatus,IFNA(INDEX(DATA_LOG!$E:$E,MATCH(1,(DATA_LOG!$A:$A=$A11)*(TEXT(DATA_LOG!$B:$B,""yyyy-MM-dd"")=TEXT(DATE($P$3,MONTH(1&amp;$N$3),VALUE(LEFT(Y$12,2))),""yyyy-MM-dd"")),0)),""""),selectedDate,DATE($P$3,MONTH(1&amp;$N$3"&amp;"),VALUE(LEFT(Y$12,2))),IF(logStatus&lt;&gt;"""",UPPER(logStatus),IF(selectedDate&gt;TODAY(),""-"",IF(REGEXMATCH(Y$12,""SUN""),""WO"",IF(Y$15&lt;&gt;"""",IF(VALUE(Y$15)&gt;=9/24,""FD"",""HD""),""A"")))))))"),"-")</f>
        <v>-</v>
      </c>
      <c r="Z16" s="43" t="str">
        <f>IFERROR(__xludf.DUMMYFUNCTION("IF($A11="""","""",IF(Z$12="""","""",LET(logStatus,IFNA(INDEX(DATA_LOG!$E:$E,MATCH(1,(DATA_LOG!$A:$A=$A11)*(TEXT(DATA_LOG!$B:$B,""yyyy-MM-dd"")=TEXT(DATE($P$3,MONTH(1&amp;$N$3),VALUE(LEFT(Z$12,2))),""yyyy-MM-dd"")),0)),""""),selectedDate,DATE($P$3,MONTH(1&amp;$N$3"&amp;"),VALUE(LEFT(Z$12,2))),IF(logStatus&lt;&gt;"""",UPPER(logStatus),IF(selectedDate&gt;TODAY(),""-"",IF(REGEXMATCH(Z$12,""SUN""),""WO"",IF(Z$15&lt;&gt;"""",IF(VALUE(Z$15)&gt;=9/24,""FD"",""HD""),""A"")))))))"),"-")</f>
        <v>-</v>
      </c>
      <c r="AA16" s="43" t="str">
        <f>IFERROR(__xludf.DUMMYFUNCTION("IF($A11="""","""",IF(AA$12="""","""",LET(logStatus,IFNA(INDEX(DATA_LOG!$E:$E,MATCH(1,(DATA_LOG!$A:$A=$A11)*(TEXT(DATA_LOG!$B:$B,""yyyy-MM-dd"")=TEXT(DATE($P$3,MONTH(1&amp;$N$3),VALUE(LEFT(AA$12,2))),""yyyy-MM-dd"")),0)),""""),selectedDate,DATE($P$3,MONTH(1&amp;$N"&amp;"$3),VALUE(LEFT(AA$12,2))),IF(logStatus&lt;&gt;"""",UPPER(logStatus),IF(selectedDate&gt;TODAY(),""-"",IF(REGEXMATCH(AA$12,""SUN""),""WO"",IF(AA$15&lt;&gt;"""",IF(VALUE(AA$15)&gt;=9/24,""FD"",""HD""),""A"")))))))"),"-")</f>
        <v>-</v>
      </c>
      <c r="AB16" s="43" t="str">
        <f>IFERROR(__xludf.DUMMYFUNCTION("IF($A11="""","""",IF(AB$12="""","""",LET(logStatus,IFNA(INDEX(DATA_LOG!$E:$E,MATCH(1,(DATA_LOG!$A:$A=$A11)*(TEXT(DATA_LOG!$B:$B,""yyyy-MM-dd"")=TEXT(DATE($P$3,MONTH(1&amp;$N$3),VALUE(LEFT(AB$12,2))),""yyyy-MM-dd"")),0)),""""),selectedDate,DATE($P$3,MONTH(1&amp;$N"&amp;"$3),VALUE(LEFT(AB$12,2))),IF(logStatus&lt;&gt;"""",UPPER(logStatus),IF(selectedDate&gt;TODAY(),""-"",IF(REGEXMATCH(AB$12,""SUN""),""WO"",IF(AB$15&lt;&gt;"""",IF(VALUE(AB$15)&gt;=9/24,""FD"",""HD""),""A"")))))))"),"-")</f>
        <v>-</v>
      </c>
      <c r="AC16" s="43" t="str">
        <f>IFERROR(__xludf.DUMMYFUNCTION("IF($A11="""","""",IF(AC$12="""","""",LET(logStatus,IFNA(INDEX(DATA_LOG!$E:$E,MATCH(1,(DATA_LOG!$A:$A=$A11)*(TEXT(DATA_LOG!$B:$B,""yyyy-MM-dd"")=TEXT(DATE($P$3,MONTH(1&amp;$N$3),VALUE(LEFT(AC$12,2))),""yyyy-MM-dd"")),0)),""""),selectedDate,DATE($P$3,MONTH(1&amp;$N"&amp;"$3),VALUE(LEFT(AC$12,2))),IF(logStatus&lt;&gt;"""",UPPER(logStatus),IF(selectedDate&gt;TODAY(),""-"",IF(REGEXMATCH(AC$12,""SUN""),""WO"",IF(AC$15&lt;&gt;"""",IF(VALUE(AC$15)&gt;=9/24,""FD"",""HD""),""A"")))))))"),"-")</f>
        <v>-</v>
      </c>
      <c r="AD16" s="43" t="str">
        <f>IFERROR(__xludf.DUMMYFUNCTION("IF($A11="""","""",IF(AD$12="""","""",LET(logStatus,IFNA(INDEX(DATA_LOG!$E:$E,MATCH(1,(DATA_LOG!$A:$A=$A11)*(TEXT(DATA_LOG!$B:$B,""yyyy-MM-dd"")=TEXT(DATE($P$3,MONTH(1&amp;$N$3),VALUE(LEFT(AD$12,2))),""yyyy-MM-dd"")),0)),""""),selectedDate,DATE($P$3,MONTH(1&amp;$N"&amp;"$3),VALUE(LEFT(AD$12,2))),IF(logStatus&lt;&gt;"""",UPPER(logStatus),IF(selectedDate&gt;TODAY(),""-"",IF(REGEXMATCH(AD$12,""SUN""),""WO"",IF(AD$15&lt;&gt;"""",IF(VALUE(AD$15)&gt;=9/24,""FD"",""HD""),""A"")))))))"),"-")</f>
        <v>-</v>
      </c>
      <c r="AE16" s="43" t="str">
        <f>IFERROR(__xludf.DUMMYFUNCTION("IF($A11="""","""",IF(AE$12="""","""",LET(logStatus,IFNA(INDEX(DATA_LOG!$E:$E,MATCH(1,(DATA_LOG!$A:$A=$A11)*(TEXT(DATA_LOG!$B:$B,""yyyy-MM-dd"")=TEXT(DATE($P$3,MONTH(1&amp;$N$3),VALUE(LEFT(AE$12,2))),""yyyy-MM-dd"")),0)),""""),selectedDate,DATE($P$3,MONTH(1&amp;$N"&amp;"$3),VALUE(LEFT(AE$12,2))),IF(logStatus&lt;&gt;"""",UPPER(logStatus),IF(selectedDate&gt;TODAY(),""-"",IF(REGEXMATCH(AE$12,""SUN""),""WO"",IF(AE$15&lt;&gt;"""",IF(VALUE(AE$15)&gt;=9/24,""FD"",""HD""),""A"")))))))"),"-")</f>
        <v>-</v>
      </c>
      <c r="AF16" s="43" t="str">
        <f>IFERROR(__xludf.DUMMYFUNCTION("IF($A11="""","""",IF(AF$12="""","""",LET(logStatus,IFNA(INDEX(DATA_LOG!$E:$E,MATCH(1,(DATA_LOG!$A:$A=$A11)*(TEXT(DATA_LOG!$B:$B,""yyyy-MM-dd"")=TEXT(DATE($P$3,MONTH(1&amp;$N$3),VALUE(LEFT(AF$12,2))),""yyyy-MM-dd"")),0)),""""),selectedDate,DATE($P$3,MONTH(1&amp;$N"&amp;"$3),VALUE(LEFT(AF$12,2))),IF(logStatus&lt;&gt;"""",UPPER(logStatus),IF(selectedDate&gt;TODAY(),""-"",IF(REGEXMATCH(AF$12,""SUN""),""WO"",IF(AF$15&lt;&gt;"""",IF(VALUE(AF$15)&gt;=9/24,""FD"",""HD""),""A"")))))))"),"")</f>
        <v/>
      </c>
    </row>
    <row r="17">
      <c r="A17" s="44"/>
    </row>
    <row r="18">
      <c r="A18" s="25" t="str">
        <f t="array" ref="A18">INDEX(EMPLOYEE_LIST!$A:$A,INT((ROW()-4)/7)+2)</f>
        <v>ARYAN CHANDRAKAR</v>
      </c>
      <c r="B18" s="26"/>
      <c r="C18" s="27"/>
      <c r="D18" s="28" t="str">
        <f>IF(A18="", "", IFERROR(VLOOKUP(A18, EMPLOYEE_LIST!$A:$H, 2, FALSE), ""))</f>
        <v>AYV-71</v>
      </c>
      <c r="E18" s="26"/>
      <c r="F18" s="26"/>
      <c r="G18" s="27"/>
      <c r="H18" s="29" t="str">
        <f>IF(A18="", "", IFERROR(VLOOKUP(A18, EMPLOYEE_LIST!$A:$H, 3, FALSE), ""))</f>
        <v>ENGINEERING</v>
      </c>
      <c r="I18" s="26"/>
      <c r="J18" s="26"/>
      <c r="K18" s="27"/>
      <c r="L18" s="29" t="str">
        <f>IF(A18="", "", IFERROR(VLOOKUP(A18, EMPLOYEE_LIST!$A:$H, 4, FALSE), ""))</f>
        <v>SITE ENGINEER</v>
      </c>
      <c r="M18" s="26"/>
      <c r="N18" s="26"/>
      <c r="O18" s="27"/>
      <c r="P18" s="30" t="str">
        <f>IF($A18="", "", "Full Day: " &amp; COUNTIF(B23:AF23, "FD"))</f>
        <v>Full Day: 0</v>
      </c>
      <c r="Q18" s="26"/>
      <c r="R18" s="27"/>
      <c r="S18" s="31" t="str">
        <f>IF($A18="", "", "HALF Day: " &amp; COUNTIF(B23:AF23, "HD"))</f>
        <v>HALF Day: 0</v>
      </c>
      <c r="T18" s="26"/>
      <c r="U18" s="27"/>
      <c r="V18" s="31" t="str">
        <f>IF($A18="", "", "ABSENT: " &amp; COUNTIF(B23:AF23, "A"))</f>
        <v>ABSENT: 10</v>
      </c>
      <c r="W18" s="26"/>
      <c r="X18" s="27"/>
      <c r="Y18" s="31" t="str">
        <f>IF($A18="", "", "WEEK OFF: " &amp; COUNTIF(B23:AF23, "WO"))</f>
        <v>WEEK OFF: 1</v>
      </c>
      <c r="Z18" s="26"/>
      <c r="AA18" s="27"/>
      <c r="AB18" s="31" t="str">
        <f>IF($A18="", "", "LEAVE: " &amp; COUNTIF(B23:AF23, "L"))</f>
        <v>LEAVE: 0</v>
      </c>
      <c r="AC18" s="27"/>
      <c r="AD18" s="31" t="str">
        <f>IF($A18="", "", "HOLIDAY: " &amp; COUNTIF(B23:AF23, "HL"))</f>
        <v>HOLIDAY: 0</v>
      </c>
      <c r="AE18" s="26"/>
      <c r="AF18" s="27"/>
    </row>
    <row r="19">
      <c r="A19" s="32" t="str">
        <f>IF($A18="", "", "DATE")</f>
        <v>DATE</v>
      </c>
      <c r="B19" s="33" t="str">
        <f t="array" ref="B19:AE19">IF($A18="","",LET(mNum,MONTH(1&amp;$N$3),start,DATE($P$3,mNum,1),days,DAY(EOMONTH(start,0)),MAP(SEQUENCE(1,days,0),LAMBDA(n,UPPER(TEXT(start+n,"dd (ddd)"))))))</f>
        <v>01 (TUE)</v>
      </c>
      <c r="C19" s="34" t="s">
        <v>89</v>
      </c>
      <c r="D19" s="34" t="s">
        <v>90</v>
      </c>
      <c r="E19" s="34" t="s">
        <v>91</v>
      </c>
      <c r="F19" s="34" t="s">
        <v>92</v>
      </c>
      <c r="G19" s="34" t="s">
        <v>93</v>
      </c>
      <c r="H19" s="34" t="s">
        <v>94</v>
      </c>
      <c r="I19" s="34" t="s">
        <v>95</v>
      </c>
      <c r="J19" s="34" t="s">
        <v>96</v>
      </c>
      <c r="K19" s="34" t="s">
        <v>97</v>
      </c>
      <c r="L19" s="34" t="s">
        <v>98</v>
      </c>
      <c r="M19" s="34" t="s">
        <v>99</v>
      </c>
      <c r="N19" s="34" t="s">
        <v>100</v>
      </c>
      <c r="O19" s="34" t="s">
        <v>101</v>
      </c>
      <c r="P19" s="34" t="s">
        <v>102</v>
      </c>
      <c r="Q19" s="34" t="s">
        <v>103</v>
      </c>
      <c r="R19" s="34" t="s">
        <v>104</v>
      </c>
      <c r="S19" s="34" t="s">
        <v>105</v>
      </c>
      <c r="T19" s="34" t="s">
        <v>106</v>
      </c>
      <c r="U19" s="34" t="s">
        <v>107</v>
      </c>
      <c r="V19" s="34" t="s">
        <v>108</v>
      </c>
      <c r="W19" s="34" t="s">
        <v>109</v>
      </c>
      <c r="X19" s="34" t="s">
        <v>110</v>
      </c>
      <c r="Y19" s="34" t="s">
        <v>111</v>
      </c>
      <c r="Z19" s="34" t="s">
        <v>112</v>
      </c>
      <c r="AA19" s="34" t="s">
        <v>113</v>
      </c>
      <c r="AB19" s="34" t="s">
        <v>114</v>
      </c>
      <c r="AC19" s="34" t="s">
        <v>115</v>
      </c>
      <c r="AD19" s="34" t="s">
        <v>116</v>
      </c>
      <c r="AE19" s="34" t="s">
        <v>117</v>
      </c>
      <c r="AF19" s="34"/>
    </row>
    <row r="20">
      <c r="A20" s="37" t="str">
        <f>IF($A18="", "", "IN")</f>
        <v>IN</v>
      </c>
      <c r="B20" s="39" t="str">
        <f t="array" ref="B20">IF(OR($A18="",B$5=""),"",IFNA(INDEX(DATA_LOG!$C:$C,MATCH(1,(DATA_LOG!$A:$A=$A18)*(TEXT(DATA_LOG!$B:$B,"yyyy-MM-dd")=TEXT(DATE($P$3,MONTH(1&amp;$N$3),VALUE(LEFT(B$5,2))),"yyyy-MM-dd")),0)),""))</f>
        <v/>
      </c>
      <c r="C20" s="39" t="str">
        <f t="array" ref="C20">IF(OR($A18="",C$5=""),"",IFNA(INDEX(DATA_LOG!$C:$C,MATCH(1,(DATA_LOG!$A:$A=$A18)*(TEXT(DATA_LOG!$B:$B,"yyyy-MM-dd")=TEXT(DATE($P$3,MONTH(1&amp;$N$3),VALUE(LEFT(C$5,2))),"yyyy-MM-dd")),0)),""))</f>
        <v/>
      </c>
      <c r="D20" s="39" t="str">
        <f t="array" ref="D20">IF(OR($A18="",D$5=""),"",IFNA(INDEX(DATA_LOG!$C:$C,MATCH(1,(DATA_LOG!$A:$A=$A18)*(TEXT(DATA_LOG!$B:$B,"yyyy-MM-dd")=TEXT(DATE($P$3,MONTH(1&amp;$N$3),VALUE(LEFT(D$5,2))),"yyyy-MM-dd")),0)),""))</f>
        <v/>
      </c>
      <c r="E20" s="39" t="str">
        <f t="array" ref="E20">IF(OR($A18="",E$5=""),"",IFNA(INDEX(DATA_LOG!$C:$C,MATCH(1,(DATA_LOG!$A:$A=$A18)*(TEXT(DATA_LOG!$B:$B,"yyyy-MM-dd")=TEXT(DATE($P$3,MONTH(1&amp;$N$3),VALUE(LEFT(E$5,2))),"yyyy-MM-dd")),0)),""))</f>
        <v/>
      </c>
      <c r="F20" s="39" t="str">
        <f t="array" ref="F20">IF(OR($A18="",F$5=""),"",IFNA(INDEX(DATA_LOG!$C:$C,MATCH(1,(DATA_LOG!$A:$A=$A18)*(TEXT(DATA_LOG!$B:$B,"yyyy-MM-dd")=TEXT(DATE($P$3,MONTH(1&amp;$N$3),VALUE(LEFT(F$5,2))),"yyyy-MM-dd")),0)),""))</f>
        <v/>
      </c>
      <c r="G20" s="39" t="str">
        <f t="array" ref="G20">IF(OR($A18="",G$5=""),"",IFNA(INDEX(DATA_LOG!$C:$C,MATCH(1,(DATA_LOG!$A:$A=$A18)*(TEXT(DATA_LOG!$B:$B,"yyyy-MM-dd")=TEXT(DATE($P$3,MONTH(1&amp;$N$3),VALUE(LEFT(G$5,2))),"yyyy-MM-dd")),0)),""))</f>
        <v/>
      </c>
      <c r="H20" s="39" t="str">
        <f t="array" ref="H20">IF(OR($A18="",H$5=""),"",IFNA(INDEX(DATA_LOG!$C:$C,MATCH(1,(DATA_LOG!$A:$A=$A18)*(TEXT(DATA_LOG!$B:$B,"yyyy-MM-dd")=TEXT(DATE($P$3,MONTH(1&amp;$N$3),VALUE(LEFT(H$5,2))),"yyyy-MM-dd")),0)),""))</f>
        <v/>
      </c>
      <c r="I20" s="39" t="str">
        <f t="array" ref="I20">IF(OR($A18="",I$5=""),"",IFNA(INDEX(DATA_LOG!$C:$C,MATCH(1,(DATA_LOG!$A:$A=$A18)*(TEXT(DATA_LOG!$B:$B,"yyyy-MM-dd")=TEXT(DATE($P$3,MONTH(1&amp;$N$3),VALUE(LEFT(I$5,2))),"yyyy-MM-dd")),0)),""))</f>
        <v/>
      </c>
      <c r="J20" s="39" t="str">
        <f t="array" ref="J20">IF(OR($A18="",J$5=""),"",IFNA(INDEX(DATA_LOG!$C:$C,MATCH(1,(DATA_LOG!$A:$A=$A18)*(TEXT(DATA_LOG!$B:$B,"yyyy-MM-dd")=TEXT(DATE($P$3,MONTH(1&amp;$N$3),VALUE(LEFT(J$5,2))),"yyyy-MM-dd")),0)),""))</f>
        <v/>
      </c>
      <c r="K20" s="39" t="str">
        <f t="array" ref="K20">IF(OR($A18="",K$5=""),"",IFNA(INDEX(DATA_LOG!$C:$C,MATCH(1,(DATA_LOG!$A:$A=$A18)*(TEXT(DATA_LOG!$B:$B,"yyyy-MM-dd")=TEXT(DATE($P$3,MONTH(1&amp;$N$3),VALUE(LEFT(K$5,2))),"yyyy-MM-dd")),0)),""))</f>
        <v/>
      </c>
      <c r="L20" s="39" t="str">
        <f t="array" ref="L20">IF(OR($A18="",L$5=""),"",IFNA(INDEX(DATA_LOG!$C:$C,MATCH(1,(DATA_LOG!$A:$A=$A18)*(TEXT(DATA_LOG!$B:$B,"yyyy-MM-dd")=TEXT(DATE($P$3,MONTH(1&amp;$N$3),VALUE(LEFT(L$5,2))),"yyyy-MM-dd")),0)),""))</f>
        <v/>
      </c>
      <c r="M20" s="39" t="str">
        <f t="array" ref="M20">IF(OR($A18="",M$5=""),"",IFNA(INDEX(DATA_LOG!$C:$C,MATCH(1,(DATA_LOG!$A:$A=$A18)*(TEXT(DATA_LOG!$B:$B,"yyyy-MM-dd")=TEXT(DATE($P$3,MONTH(1&amp;$N$3),VALUE(LEFT(M$5,2))),"yyyy-MM-dd")),0)),""))</f>
        <v/>
      </c>
      <c r="N20" s="39" t="str">
        <f t="array" ref="N20">IF(OR($A18="",N$5=""),"",IFNA(INDEX(DATA_LOG!$C:$C,MATCH(1,(DATA_LOG!$A:$A=$A18)*(TEXT(DATA_LOG!$B:$B,"yyyy-MM-dd")=TEXT(DATE($P$3,MONTH(1&amp;$N$3),VALUE(LEFT(N$5,2))),"yyyy-MM-dd")),0)),""))</f>
        <v/>
      </c>
      <c r="O20" s="39" t="str">
        <f t="array" ref="O20">IF(OR($A18="",O$5=""),"",IFNA(INDEX(DATA_LOG!$C:$C,MATCH(1,(DATA_LOG!$A:$A=$A18)*(TEXT(DATA_LOG!$B:$B,"yyyy-MM-dd")=TEXT(DATE($P$3,MONTH(1&amp;$N$3),VALUE(LEFT(O$5,2))),"yyyy-MM-dd")),0)),""))</f>
        <v/>
      </c>
      <c r="P20" s="39" t="str">
        <f t="array" ref="P20">IF(OR($A18="",P$5=""),"",IFNA(INDEX(DATA_LOG!$C:$C,MATCH(1,(DATA_LOG!$A:$A=$A18)*(TEXT(DATA_LOG!$B:$B,"yyyy-MM-dd")=TEXT(DATE($P$3,MONTH(1&amp;$N$3),VALUE(LEFT(P$5,2))),"yyyy-MM-dd")),0)),""))</f>
        <v/>
      </c>
      <c r="Q20" s="39" t="str">
        <f t="array" ref="Q20">IF(OR($A18="",Q$5=""),"",IFNA(INDEX(DATA_LOG!$C:$C,MATCH(1,(DATA_LOG!$A:$A=$A18)*(TEXT(DATA_LOG!$B:$B,"yyyy-MM-dd")=TEXT(DATE($P$3,MONTH(1&amp;$N$3),VALUE(LEFT(Q$5,2))),"yyyy-MM-dd")),0)),""))</f>
        <v/>
      </c>
      <c r="R20" s="39" t="str">
        <f t="array" ref="R20">IF(OR($A18="",R$5=""),"",IFNA(INDEX(DATA_LOG!$C:$C,MATCH(1,(DATA_LOG!$A:$A=$A18)*(TEXT(DATA_LOG!$B:$B,"yyyy-MM-dd")=TEXT(DATE($P$3,MONTH(1&amp;$N$3),VALUE(LEFT(R$5,2))),"yyyy-MM-dd")),0)),""))</f>
        <v/>
      </c>
      <c r="S20" s="39" t="str">
        <f t="array" ref="S20">IF(OR($A18="",S$5=""),"",IFNA(INDEX(DATA_LOG!$C:$C,MATCH(1,(DATA_LOG!$A:$A=$A18)*(TEXT(DATA_LOG!$B:$B,"yyyy-MM-dd")=TEXT(DATE($P$3,MONTH(1&amp;$N$3),VALUE(LEFT(S$5,2))),"yyyy-MM-dd")),0)),""))</f>
        <v/>
      </c>
      <c r="T20" s="39" t="str">
        <f t="array" ref="T20">IF(OR($A18="",T$5=""),"",IFNA(INDEX(DATA_LOG!$C:$C,MATCH(1,(DATA_LOG!$A:$A=$A18)*(TEXT(DATA_LOG!$B:$B,"yyyy-MM-dd")=TEXT(DATE($P$3,MONTH(1&amp;$N$3),VALUE(LEFT(T$5,2))),"yyyy-MM-dd")),0)),""))</f>
        <v/>
      </c>
      <c r="U20" s="39" t="str">
        <f t="array" ref="U20">IF(OR($A18="",U$5=""),"",IFNA(INDEX(DATA_LOG!$C:$C,MATCH(1,(DATA_LOG!$A:$A=$A18)*(TEXT(DATA_LOG!$B:$B,"yyyy-MM-dd")=TEXT(DATE($P$3,MONTH(1&amp;$N$3),VALUE(LEFT(U$5,2))),"yyyy-MM-dd")),0)),""))</f>
        <v/>
      </c>
      <c r="V20" s="39" t="str">
        <f t="array" ref="V20">IF(OR($A18="",V$5=""),"",IFNA(INDEX(DATA_LOG!$C:$C,MATCH(1,(DATA_LOG!$A:$A=$A18)*(TEXT(DATA_LOG!$B:$B,"yyyy-MM-dd")=TEXT(DATE($P$3,MONTH(1&amp;$N$3),VALUE(LEFT(V$5,2))),"yyyy-MM-dd")),0)),""))</f>
        <v/>
      </c>
      <c r="W20" s="39" t="str">
        <f t="array" ref="W20">IF(OR($A18="",W$5=""),"",IFNA(INDEX(DATA_LOG!$C:$C,MATCH(1,(DATA_LOG!$A:$A=$A18)*(TEXT(DATA_LOG!$B:$B,"yyyy-MM-dd")=TEXT(DATE($P$3,MONTH(1&amp;$N$3),VALUE(LEFT(W$5,2))),"yyyy-MM-dd")),0)),""))</f>
        <v/>
      </c>
      <c r="X20" s="39" t="str">
        <f t="array" ref="X20">IF(OR($A18="",X$5=""),"",IFNA(INDEX(DATA_LOG!$C:$C,MATCH(1,(DATA_LOG!$A:$A=$A18)*(TEXT(DATA_LOG!$B:$B,"yyyy-MM-dd")=TEXT(DATE($P$3,MONTH(1&amp;$N$3),VALUE(LEFT(X$5,2))),"yyyy-MM-dd")),0)),""))</f>
        <v/>
      </c>
      <c r="Y20" s="39" t="str">
        <f t="array" ref="Y20">IF(OR($A18="",Y$5=""),"",IFNA(INDEX(DATA_LOG!$C:$C,MATCH(1,(DATA_LOG!$A:$A=$A18)*(TEXT(DATA_LOG!$B:$B,"yyyy-MM-dd")=TEXT(DATE($P$3,MONTH(1&amp;$N$3),VALUE(LEFT(Y$5,2))),"yyyy-MM-dd")),0)),""))</f>
        <v/>
      </c>
      <c r="Z20" s="39" t="str">
        <f t="array" ref="Z20">IF(OR($A18="",Z$5=""),"",IFNA(INDEX(DATA_LOG!$C:$C,MATCH(1,(DATA_LOG!$A:$A=$A18)*(TEXT(DATA_LOG!$B:$B,"yyyy-MM-dd")=TEXT(DATE($P$3,MONTH(1&amp;$N$3),VALUE(LEFT(Z$5,2))),"yyyy-MM-dd")),0)),""))</f>
        <v/>
      </c>
      <c r="AA20" s="39" t="str">
        <f t="array" ref="AA20">IF(OR($A18="",AA$5=""),"",IFNA(INDEX(DATA_LOG!$C:$C,MATCH(1,(DATA_LOG!$A:$A=$A18)*(TEXT(DATA_LOG!$B:$B,"yyyy-MM-dd")=TEXT(DATE($P$3,MONTH(1&amp;$N$3),VALUE(LEFT(AA$5,2))),"yyyy-MM-dd")),0)),""))</f>
        <v/>
      </c>
      <c r="AB20" s="39" t="str">
        <f t="array" ref="AB20">IF(OR($A18="",AB$5=""),"",IFNA(INDEX(DATA_LOG!$C:$C,MATCH(1,(DATA_LOG!$A:$A=$A18)*(TEXT(DATA_LOG!$B:$B,"yyyy-MM-dd")=TEXT(DATE($P$3,MONTH(1&amp;$N$3),VALUE(LEFT(AB$5,2))),"yyyy-MM-dd")),0)),""))</f>
        <v/>
      </c>
      <c r="AC20" s="39" t="str">
        <f t="array" ref="AC20">IF(OR($A18="",AC$5=""),"",IFNA(INDEX(DATA_LOG!$C:$C,MATCH(1,(DATA_LOG!$A:$A=$A18)*(TEXT(DATA_LOG!$B:$B,"yyyy-MM-dd")=TEXT(DATE($P$3,MONTH(1&amp;$N$3),VALUE(LEFT(AC$5,2))),"yyyy-MM-dd")),0)),""))</f>
        <v/>
      </c>
      <c r="AD20" s="39" t="str">
        <f t="array" ref="AD20">IF(OR($A18="",AD$5=""),"",IFNA(INDEX(DATA_LOG!$C:$C,MATCH(1,(DATA_LOG!$A:$A=$A18)*(TEXT(DATA_LOG!$B:$B,"yyyy-MM-dd")=TEXT(DATE($P$3,MONTH(1&amp;$N$3),VALUE(LEFT(AD$5,2))),"yyyy-MM-dd")),0)),""))</f>
        <v/>
      </c>
      <c r="AE20" s="39" t="str">
        <f t="array" ref="AE20">IF(OR($A18="",AE$5=""),"",IFNA(INDEX(DATA_LOG!$C:$C,MATCH(1,(DATA_LOG!$A:$A=$A18)*(TEXT(DATA_LOG!$B:$B,"yyyy-MM-dd")=TEXT(DATE($P$3,MONTH(1&amp;$N$3),VALUE(LEFT(AE$5,2))),"yyyy-MM-dd")),0)),""))</f>
        <v/>
      </c>
      <c r="AF20" s="39" t="str">
        <f t="array" ref="AF20">IF(OR($A18="",AF$5=""),"",IFNA(INDEX(DATA_LOG!$C:$C,MATCH(1,(DATA_LOG!$A:$A=$A18)*(TEXT(DATA_LOG!$B:$B,"yyyy-MM-dd")=TEXT(DATE($P$3,MONTH(1&amp;$N$3),VALUE(LEFT(AF$5,2))),"yyyy-MM-dd")),0)),""))</f>
        <v/>
      </c>
    </row>
    <row r="21">
      <c r="A21" s="37" t="str">
        <f>IF($A18="", "", "OUT")</f>
        <v>OUT</v>
      </c>
      <c r="B21" s="39" t="str">
        <f t="array" ref="B21">IF(OR($A18="",B$5=""),"",IFNA(INDEX(DATA_LOG!$D:$D,MATCH(1,(DATA_LOG!$A:$A=$A18)*(TEXT(DATA_LOG!$B:$B,"yyyy-MM-dd")=TEXT(DATE($P$3,MONTH(1&amp;$N$3),VALUE(LEFT(B$5,2))),"yyyy-MM-dd")),0)),""))</f>
        <v/>
      </c>
      <c r="C21" s="39" t="str">
        <f t="array" ref="C21">IF(OR($A18="",C$5=""),"",IFNA(INDEX(DATA_LOG!$D:$D,MATCH(1,(DATA_LOG!$A:$A=$A18)*(TEXT(DATA_LOG!$B:$B,"yyyy-MM-dd")=TEXT(DATE($P$3,MONTH(1&amp;$N$3),VALUE(LEFT(C$5,2))),"yyyy-MM-dd")),0)),""))</f>
        <v/>
      </c>
      <c r="D21" s="39" t="str">
        <f t="array" ref="D21">IF(OR($A18="",D$5=""),"",IFNA(INDEX(DATA_LOG!$D:$D,MATCH(1,(DATA_LOG!$A:$A=$A18)*(TEXT(DATA_LOG!$B:$B,"yyyy-MM-dd")=TEXT(DATE($P$3,MONTH(1&amp;$N$3),VALUE(LEFT(D$5,2))),"yyyy-MM-dd")),0)),""))</f>
        <v/>
      </c>
      <c r="E21" s="39" t="str">
        <f t="array" ref="E21">IF(OR($A18="",E$5=""),"",IFNA(INDEX(DATA_LOG!$D:$D,MATCH(1,(DATA_LOG!$A:$A=$A18)*(TEXT(DATA_LOG!$B:$B,"yyyy-MM-dd")=TEXT(DATE($P$3,MONTH(1&amp;$N$3),VALUE(LEFT(E$5,2))),"yyyy-MM-dd")),0)),""))</f>
        <v/>
      </c>
      <c r="F21" s="39" t="str">
        <f t="array" ref="F21">IF(OR($A18="",F$5=""),"",IFNA(INDEX(DATA_LOG!$D:$D,MATCH(1,(DATA_LOG!$A:$A=$A18)*(TEXT(DATA_LOG!$B:$B,"yyyy-MM-dd")=TEXT(DATE($P$3,MONTH(1&amp;$N$3),VALUE(LEFT(F$5,2))),"yyyy-MM-dd")),0)),""))</f>
        <v/>
      </c>
      <c r="G21" s="39" t="str">
        <f t="array" ref="G21">IF(OR($A18="",G$5=""),"",IFNA(INDEX(DATA_LOG!$D:$D,MATCH(1,(DATA_LOG!$A:$A=$A18)*(TEXT(DATA_LOG!$B:$B,"yyyy-MM-dd")=TEXT(DATE($P$3,MONTH(1&amp;$N$3),VALUE(LEFT(G$5,2))),"yyyy-MM-dd")),0)),""))</f>
        <v/>
      </c>
      <c r="H21" s="39" t="str">
        <f t="array" ref="H21">IF(OR($A18="",H$5=""),"",IFNA(INDEX(DATA_LOG!$D:$D,MATCH(1,(DATA_LOG!$A:$A=$A18)*(TEXT(DATA_LOG!$B:$B,"yyyy-MM-dd")=TEXT(DATE($P$3,MONTH(1&amp;$N$3),VALUE(LEFT(H$5,2))),"yyyy-MM-dd")),0)),""))</f>
        <v/>
      </c>
      <c r="I21" s="39" t="str">
        <f t="array" ref="I21">IF(OR($A18="",I$5=""),"",IFNA(INDEX(DATA_LOG!$D:$D,MATCH(1,(DATA_LOG!$A:$A=$A18)*(TEXT(DATA_LOG!$B:$B,"yyyy-MM-dd")=TEXT(DATE($P$3,MONTH(1&amp;$N$3),VALUE(LEFT(I$5,2))),"yyyy-MM-dd")),0)),""))</f>
        <v/>
      </c>
      <c r="J21" s="39" t="str">
        <f t="array" ref="J21">IF(OR($A18="",J$5=""),"",IFNA(INDEX(DATA_LOG!$D:$D,MATCH(1,(DATA_LOG!$A:$A=$A18)*(TEXT(DATA_LOG!$B:$B,"yyyy-MM-dd")=TEXT(DATE($P$3,MONTH(1&amp;$N$3),VALUE(LEFT(J$5,2))),"yyyy-MM-dd")),0)),""))</f>
        <v/>
      </c>
      <c r="K21" s="39" t="str">
        <f t="array" ref="K21">IF(OR($A18="",K$5=""),"",IFNA(INDEX(DATA_LOG!$D:$D,MATCH(1,(DATA_LOG!$A:$A=$A18)*(TEXT(DATA_LOG!$B:$B,"yyyy-MM-dd")=TEXT(DATE($P$3,MONTH(1&amp;$N$3),VALUE(LEFT(K$5,2))),"yyyy-MM-dd")),0)),""))</f>
        <v/>
      </c>
      <c r="L21" s="39" t="str">
        <f t="array" ref="L21">IF(OR($A18="",L$5=""),"",IFNA(INDEX(DATA_LOG!$D:$D,MATCH(1,(DATA_LOG!$A:$A=$A18)*(TEXT(DATA_LOG!$B:$B,"yyyy-MM-dd")=TEXT(DATE($P$3,MONTH(1&amp;$N$3),VALUE(LEFT(L$5,2))),"yyyy-MM-dd")),0)),""))</f>
        <v/>
      </c>
      <c r="M21" s="39" t="str">
        <f t="array" ref="M21">IF(OR($A18="",M$5=""),"",IFNA(INDEX(DATA_LOG!$D:$D,MATCH(1,(DATA_LOG!$A:$A=$A18)*(TEXT(DATA_LOG!$B:$B,"yyyy-MM-dd")=TEXT(DATE($P$3,MONTH(1&amp;$N$3),VALUE(LEFT(M$5,2))),"yyyy-MM-dd")),0)),""))</f>
        <v/>
      </c>
      <c r="N21" s="39" t="str">
        <f t="array" ref="N21">IF(OR($A18="",N$5=""),"",IFNA(INDEX(DATA_LOG!$D:$D,MATCH(1,(DATA_LOG!$A:$A=$A18)*(TEXT(DATA_LOG!$B:$B,"yyyy-MM-dd")=TEXT(DATE($P$3,MONTH(1&amp;$N$3),VALUE(LEFT(N$5,2))),"yyyy-MM-dd")),0)),""))</f>
        <v/>
      </c>
      <c r="O21" s="39" t="str">
        <f t="array" ref="O21">IF(OR($A18="",O$5=""),"",IFNA(INDEX(DATA_LOG!$D:$D,MATCH(1,(DATA_LOG!$A:$A=$A18)*(TEXT(DATA_LOG!$B:$B,"yyyy-MM-dd")=TEXT(DATE($P$3,MONTH(1&amp;$N$3),VALUE(LEFT(O$5,2))),"yyyy-MM-dd")),0)),""))</f>
        <v/>
      </c>
      <c r="P21" s="39" t="str">
        <f t="array" ref="P21">IF(OR($A18="",P$5=""),"",IFNA(INDEX(DATA_LOG!$D:$D,MATCH(1,(DATA_LOG!$A:$A=$A18)*(TEXT(DATA_LOG!$B:$B,"yyyy-MM-dd")=TEXT(DATE($P$3,MONTH(1&amp;$N$3),VALUE(LEFT(P$5,2))),"yyyy-MM-dd")),0)),""))</f>
        <v/>
      </c>
      <c r="Q21" s="39" t="str">
        <f t="array" ref="Q21">IF(OR($A18="",Q$5=""),"",IFNA(INDEX(DATA_LOG!$D:$D,MATCH(1,(DATA_LOG!$A:$A=$A18)*(TEXT(DATA_LOG!$B:$B,"yyyy-MM-dd")=TEXT(DATE($P$3,MONTH(1&amp;$N$3),VALUE(LEFT(Q$5,2))),"yyyy-MM-dd")),0)),""))</f>
        <v/>
      </c>
      <c r="R21" s="39" t="str">
        <f t="array" ref="R21">IF(OR($A18="",R$5=""),"",IFNA(INDEX(DATA_LOG!$D:$D,MATCH(1,(DATA_LOG!$A:$A=$A18)*(TEXT(DATA_LOG!$B:$B,"yyyy-MM-dd")=TEXT(DATE($P$3,MONTH(1&amp;$N$3),VALUE(LEFT(R$5,2))),"yyyy-MM-dd")),0)),""))</f>
        <v/>
      </c>
      <c r="S21" s="39" t="str">
        <f t="array" ref="S21">IF(OR($A18="",S$5=""),"",IFNA(INDEX(DATA_LOG!$D:$D,MATCH(1,(DATA_LOG!$A:$A=$A18)*(TEXT(DATA_LOG!$B:$B,"yyyy-MM-dd")=TEXT(DATE($P$3,MONTH(1&amp;$N$3),VALUE(LEFT(S$5,2))),"yyyy-MM-dd")),0)),""))</f>
        <v/>
      </c>
      <c r="T21" s="39" t="str">
        <f t="array" ref="T21">IF(OR($A18="",T$5=""),"",IFNA(INDEX(DATA_LOG!$D:$D,MATCH(1,(DATA_LOG!$A:$A=$A18)*(TEXT(DATA_LOG!$B:$B,"yyyy-MM-dd")=TEXT(DATE($P$3,MONTH(1&amp;$N$3),VALUE(LEFT(T$5,2))),"yyyy-MM-dd")),0)),""))</f>
        <v/>
      </c>
      <c r="U21" s="39" t="str">
        <f t="array" ref="U21">IF(OR($A18="",U$5=""),"",IFNA(INDEX(DATA_LOG!$D:$D,MATCH(1,(DATA_LOG!$A:$A=$A18)*(TEXT(DATA_LOG!$B:$B,"yyyy-MM-dd")=TEXT(DATE($P$3,MONTH(1&amp;$N$3),VALUE(LEFT(U$5,2))),"yyyy-MM-dd")),0)),""))</f>
        <v/>
      </c>
      <c r="V21" s="39" t="str">
        <f t="array" ref="V21">IF(OR($A18="",V$5=""),"",IFNA(INDEX(DATA_LOG!$D:$D,MATCH(1,(DATA_LOG!$A:$A=$A18)*(TEXT(DATA_LOG!$B:$B,"yyyy-MM-dd")=TEXT(DATE($P$3,MONTH(1&amp;$N$3),VALUE(LEFT(V$5,2))),"yyyy-MM-dd")),0)),""))</f>
        <v/>
      </c>
      <c r="W21" s="39" t="str">
        <f t="array" ref="W21">IF(OR($A18="",W$5=""),"",IFNA(INDEX(DATA_LOG!$D:$D,MATCH(1,(DATA_LOG!$A:$A=$A18)*(TEXT(DATA_LOG!$B:$B,"yyyy-MM-dd")=TEXT(DATE($P$3,MONTH(1&amp;$N$3),VALUE(LEFT(W$5,2))),"yyyy-MM-dd")),0)),""))</f>
        <v/>
      </c>
      <c r="X21" s="39" t="str">
        <f t="array" ref="X21">IF(OR($A18="",X$5=""),"",IFNA(INDEX(DATA_LOG!$D:$D,MATCH(1,(DATA_LOG!$A:$A=$A18)*(TEXT(DATA_LOG!$B:$B,"yyyy-MM-dd")=TEXT(DATE($P$3,MONTH(1&amp;$N$3),VALUE(LEFT(X$5,2))),"yyyy-MM-dd")),0)),""))</f>
        <v/>
      </c>
      <c r="Y21" s="39" t="str">
        <f t="array" ref="Y21">IF(OR($A18="",Y$5=""),"",IFNA(INDEX(DATA_LOG!$D:$D,MATCH(1,(DATA_LOG!$A:$A=$A18)*(TEXT(DATA_LOG!$B:$B,"yyyy-MM-dd")=TEXT(DATE($P$3,MONTH(1&amp;$N$3),VALUE(LEFT(Y$5,2))),"yyyy-MM-dd")),0)),""))</f>
        <v/>
      </c>
      <c r="Z21" s="39" t="str">
        <f t="array" ref="Z21">IF(OR($A18="",Z$5=""),"",IFNA(INDEX(DATA_LOG!$D:$D,MATCH(1,(DATA_LOG!$A:$A=$A18)*(TEXT(DATA_LOG!$B:$B,"yyyy-MM-dd")=TEXT(DATE($P$3,MONTH(1&amp;$N$3),VALUE(LEFT(Z$5,2))),"yyyy-MM-dd")),0)),""))</f>
        <v/>
      </c>
      <c r="AA21" s="39" t="str">
        <f t="array" ref="AA21">IF(OR($A18="",AA$5=""),"",IFNA(INDEX(DATA_LOG!$D:$D,MATCH(1,(DATA_LOG!$A:$A=$A18)*(TEXT(DATA_LOG!$B:$B,"yyyy-MM-dd")=TEXT(DATE($P$3,MONTH(1&amp;$N$3),VALUE(LEFT(AA$5,2))),"yyyy-MM-dd")),0)),""))</f>
        <v/>
      </c>
      <c r="AB21" s="39" t="str">
        <f t="array" ref="AB21">IF(OR($A18="",AB$5=""),"",IFNA(INDEX(DATA_LOG!$D:$D,MATCH(1,(DATA_LOG!$A:$A=$A18)*(TEXT(DATA_LOG!$B:$B,"yyyy-MM-dd")=TEXT(DATE($P$3,MONTH(1&amp;$N$3),VALUE(LEFT(AB$5,2))),"yyyy-MM-dd")),0)),""))</f>
        <v/>
      </c>
      <c r="AC21" s="39" t="str">
        <f t="array" ref="AC21">IF(OR($A18="",AC$5=""),"",IFNA(INDEX(DATA_LOG!$D:$D,MATCH(1,(DATA_LOG!$A:$A=$A18)*(TEXT(DATA_LOG!$B:$B,"yyyy-MM-dd")=TEXT(DATE($P$3,MONTH(1&amp;$N$3),VALUE(LEFT(AC$5,2))),"yyyy-MM-dd")),0)),""))</f>
        <v/>
      </c>
      <c r="AD21" s="39" t="str">
        <f t="array" ref="AD21">IF(OR($A18="",AD$5=""),"",IFNA(INDEX(DATA_LOG!$D:$D,MATCH(1,(DATA_LOG!$A:$A=$A18)*(TEXT(DATA_LOG!$B:$B,"yyyy-MM-dd")=TEXT(DATE($P$3,MONTH(1&amp;$N$3),VALUE(LEFT(AD$5,2))),"yyyy-MM-dd")),0)),""))</f>
        <v/>
      </c>
      <c r="AE21" s="39" t="str">
        <f t="array" ref="AE21">IF(OR($A18="",AE$5=""),"",IFNA(INDEX(DATA_LOG!$D:$D,MATCH(1,(DATA_LOG!$A:$A=$A18)*(TEXT(DATA_LOG!$B:$B,"yyyy-MM-dd")=TEXT(DATE($P$3,MONTH(1&amp;$N$3),VALUE(LEFT(AE$5,2))),"yyyy-MM-dd")),0)),""))</f>
        <v/>
      </c>
      <c r="AF21" s="39" t="str">
        <f t="array" ref="AF21">IF(OR($A18="",AF$5=""),"",IFNA(INDEX(DATA_LOG!$D:$D,MATCH(1,(DATA_LOG!$A:$A=$A18)*(TEXT(DATA_LOG!$B:$B,"yyyy-MM-dd")=TEXT(DATE($P$3,MONTH(1&amp;$N$3),VALUE(LEFT(AF$5,2))),"yyyy-MM-dd")),0)),""))</f>
        <v/>
      </c>
    </row>
    <row r="22">
      <c r="A22" s="40" t="str">
        <f>IF($A18="", "", "TOTAL")</f>
        <v>TOTAL</v>
      </c>
      <c r="B22" s="41" t="str">
        <f t="shared" ref="B22:AF22" si="3">IF(OR(B20="",B21=""),"",B21-B20)</f>
        <v/>
      </c>
      <c r="C22" s="34" t="str">
        <f t="shared" si="3"/>
        <v/>
      </c>
      <c r="D22" s="34" t="str">
        <f t="shared" si="3"/>
        <v/>
      </c>
      <c r="E22" s="34" t="str">
        <f t="shared" si="3"/>
        <v/>
      </c>
      <c r="F22" s="34" t="str">
        <f t="shared" si="3"/>
        <v/>
      </c>
      <c r="G22" s="34" t="str">
        <f t="shared" si="3"/>
        <v/>
      </c>
      <c r="H22" s="34" t="str">
        <f t="shared" si="3"/>
        <v/>
      </c>
      <c r="I22" s="34" t="str">
        <f t="shared" si="3"/>
        <v/>
      </c>
      <c r="J22" s="34" t="str">
        <f t="shared" si="3"/>
        <v/>
      </c>
      <c r="K22" s="34" t="str">
        <f t="shared" si="3"/>
        <v/>
      </c>
      <c r="L22" s="34" t="str">
        <f t="shared" si="3"/>
        <v/>
      </c>
      <c r="M22" s="34" t="str">
        <f t="shared" si="3"/>
        <v/>
      </c>
      <c r="N22" s="34" t="str">
        <f t="shared" si="3"/>
        <v/>
      </c>
      <c r="O22" s="34" t="str">
        <f t="shared" si="3"/>
        <v/>
      </c>
      <c r="P22" s="34" t="str">
        <f t="shared" si="3"/>
        <v/>
      </c>
      <c r="Q22" s="34" t="str">
        <f t="shared" si="3"/>
        <v/>
      </c>
      <c r="R22" s="34" t="str">
        <f t="shared" si="3"/>
        <v/>
      </c>
      <c r="S22" s="34" t="str">
        <f t="shared" si="3"/>
        <v/>
      </c>
      <c r="T22" s="34" t="str">
        <f t="shared" si="3"/>
        <v/>
      </c>
      <c r="U22" s="34" t="str">
        <f t="shared" si="3"/>
        <v/>
      </c>
      <c r="V22" s="34" t="str">
        <f t="shared" si="3"/>
        <v/>
      </c>
      <c r="W22" s="34" t="str">
        <f t="shared" si="3"/>
        <v/>
      </c>
      <c r="X22" s="34" t="str">
        <f t="shared" si="3"/>
        <v/>
      </c>
      <c r="Y22" s="34" t="str">
        <f t="shared" si="3"/>
        <v/>
      </c>
      <c r="Z22" s="34" t="str">
        <f t="shared" si="3"/>
        <v/>
      </c>
      <c r="AA22" s="34" t="str">
        <f t="shared" si="3"/>
        <v/>
      </c>
      <c r="AB22" s="34" t="str">
        <f t="shared" si="3"/>
        <v/>
      </c>
      <c r="AC22" s="34" t="str">
        <f t="shared" si="3"/>
        <v/>
      </c>
      <c r="AD22" s="34" t="str">
        <f t="shared" si="3"/>
        <v/>
      </c>
      <c r="AE22" s="34" t="str">
        <f t="shared" si="3"/>
        <v/>
      </c>
      <c r="AF22" s="34" t="str">
        <f t="shared" si="3"/>
        <v/>
      </c>
    </row>
    <row r="23">
      <c r="A23" s="42" t="str">
        <f>IF($A18="", "", "STATUS")</f>
        <v>STATUS</v>
      </c>
      <c r="B23" s="43" t="str">
        <f>IFERROR(__xludf.DUMMYFUNCTION("IF($A18="""","""",IF(B$19="""","""",LET(logStatus,IFNA(INDEX(DATA_LOG!$E:$E,MATCH(1,(DATA_LOG!$A:$A=$A18)*(TEXT(DATA_LOG!$B:$B,""yyyy-MM-dd"")=TEXT(DATE($P$3,MONTH(1&amp;$N$3),VALUE(LEFT(B$19,2))),""yyyy-MM-dd"")),0)),""""),selectedDate,DATE($P$3,MONTH(1&amp;$N$3"&amp;"),VALUE(LEFT(B$19,2))),IF(logStatus&lt;&gt;"""",UPPER(logStatus),IF(selectedDate&gt;TODAY(),""-"",IF(REGEXMATCH(B$19,""SUN""),""WO"",IF(B$22&lt;&gt;"""",IF(VALUE(B$22)&gt;=9/24,""FD"",""HD""),""A"")))))))"),"A")</f>
        <v>A</v>
      </c>
      <c r="C23" s="43" t="str">
        <f>IFERROR(__xludf.DUMMYFUNCTION("IF($A18="""","""",IF(C$19="""","""",LET(logStatus,IFNA(INDEX(DATA_LOG!$E:$E,MATCH(1,(DATA_LOG!$A:$A=$A18)*(TEXT(DATA_LOG!$B:$B,""yyyy-MM-dd"")=TEXT(DATE($P$3,MONTH(1&amp;$N$3),VALUE(LEFT(C$19,2))),""yyyy-MM-dd"")),0)),""""),selectedDate,DATE($P$3,MONTH(1&amp;$N$3"&amp;"),VALUE(LEFT(C$19,2))),IF(logStatus&lt;&gt;"""",UPPER(logStatus),IF(selectedDate&gt;TODAY(),""-"",IF(REGEXMATCH(C$19,""SUN""),""WO"",IF(C$22&lt;&gt;"""",IF(VALUE(C$22)&gt;=9/24,""FD"",""HD""),""A"")))))))"),"A")</f>
        <v>A</v>
      </c>
      <c r="D23" s="43" t="str">
        <f>IFERROR(__xludf.DUMMYFUNCTION("IF($A18="""","""",IF(D$19="""","""",LET(logStatus,IFNA(INDEX(DATA_LOG!$E:$E,MATCH(1,(DATA_LOG!$A:$A=$A18)*(TEXT(DATA_LOG!$B:$B,""yyyy-MM-dd"")=TEXT(DATE($P$3,MONTH(1&amp;$N$3),VALUE(LEFT(D$19,2))),""yyyy-MM-dd"")),0)),""""),selectedDate,DATE($P$3,MONTH(1&amp;$N$3"&amp;"),VALUE(LEFT(D$19,2))),IF(logStatus&lt;&gt;"""",UPPER(logStatus),IF(selectedDate&gt;TODAY(),""-"",IF(REGEXMATCH(D$19,""SUN""),""WO"",IF(D$22&lt;&gt;"""",IF(VALUE(D$22)&gt;=9/24,""FD"",""HD""),""A"")))))))"),"A")</f>
        <v>A</v>
      </c>
      <c r="E23" s="43" t="str">
        <f>IFERROR(__xludf.DUMMYFUNCTION("IF($A18="""","""",IF(E$19="""","""",LET(logStatus,IFNA(INDEX(DATA_LOG!$E:$E,MATCH(1,(DATA_LOG!$A:$A=$A18)*(TEXT(DATA_LOG!$B:$B,""yyyy-MM-dd"")=TEXT(DATE($P$3,MONTH(1&amp;$N$3),VALUE(LEFT(E$19,2))),""yyyy-MM-dd"")),0)),""""),selectedDate,DATE($P$3,MONTH(1&amp;$N$3"&amp;"),VALUE(LEFT(E$19,2))),IF(logStatus&lt;&gt;"""",UPPER(logStatus),IF(selectedDate&gt;TODAY(),""-"",IF(REGEXMATCH(E$19,""SUN""),""WO"",IF(E$22&lt;&gt;"""",IF(VALUE(E$22)&gt;=9/24,""FD"",""HD""),""A"")))))))"),"A")</f>
        <v>A</v>
      </c>
      <c r="F23" s="43" t="str">
        <f>IFERROR(__xludf.DUMMYFUNCTION("IF($A18="""","""",IF(F$19="""","""",LET(logStatus,IFNA(INDEX(DATA_LOG!$E:$E,MATCH(1,(DATA_LOG!$A:$A=$A18)*(TEXT(DATA_LOG!$B:$B,""yyyy-MM-dd"")=TEXT(DATE($P$3,MONTH(1&amp;$N$3),VALUE(LEFT(F$19,2))),""yyyy-MM-dd"")),0)),""""),selectedDate,DATE($P$3,MONTH(1&amp;$N$3"&amp;"),VALUE(LEFT(F$19,2))),IF(logStatus&lt;&gt;"""",UPPER(logStatus),IF(selectedDate&gt;TODAY(),""-"",IF(REGEXMATCH(F$19,""SUN""),""WO"",IF(F$22&lt;&gt;"""",IF(VALUE(F$22)&gt;=9/24,""FD"",""HD""),""A"")))))))"),"A")</f>
        <v>A</v>
      </c>
      <c r="G23" s="43" t="str">
        <f>IFERROR(__xludf.DUMMYFUNCTION("IF($A18="""","""",IF(G$19="""","""",LET(logStatus,IFNA(INDEX(DATA_LOG!$E:$E,MATCH(1,(DATA_LOG!$A:$A=$A18)*(TEXT(DATA_LOG!$B:$B,""yyyy-MM-dd"")=TEXT(DATE($P$3,MONTH(1&amp;$N$3),VALUE(LEFT(G$19,2))),""yyyy-MM-dd"")),0)),""""),selectedDate,DATE($P$3,MONTH(1&amp;$N$3"&amp;"),VALUE(LEFT(G$19,2))),IF(logStatus&lt;&gt;"""",UPPER(logStatus),IF(selectedDate&gt;TODAY(),""-"",IF(REGEXMATCH(G$19,""SUN""),""WO"",IF(G$22&lt;&gt;"""",IF(VALUE(G$22)&gt;=9/24,""FD"",""HD""),""A"")))))))"),"WO")</f>
        <v>WO</v>
      </c>
      <c r="H23" s="43" t="str">
        <f>IFERROR(__xludf.DUMMYFUNCTION("IF($A18="""","""",IF(H$19="""","""",LET(logStatus,IFNA(INDEX(DATA_LOG!$E:$E,MATCH(1,(DATA_LOG!$A:$A=$A18)*(TEXT(DATA_LOG!$B:$B,""yyyy-MM-dd"")=TEXT(DATE($P$3,MONTH(1&amp;$N$3),VALUE(LEFT(H$19,2))),""yyyy-MM-dd"")),0)),""""),selectedDate,DATE($P$3,MONTH(1&amp;$N$3"&amp;"),VALUE(LEFT(H$19,2))),IF(logStatus&lt;&gt;"""",UPPER(logStatus),IF(selectedDate&gt;TODAY(),""-"",IF(REGEXMATCH(H$19,""SUN""),""WO"",IF(H$22&lt;&gt;"""",IF(VALUE(H$22)&gt;=9/24,""FD"",""HD""),""A"")))))))"),"A")</f>
        <v>A</v>
      </c>
      <c r="I23" s="43" t="str">
        <f>IFERROR(__xludf.DUMMYFUNCTION("IF($A18="""","""",IF(I$19="""","""",LET(logStatus,IFNA(INDEX(DATA_LOG!$E:$E,MATCH(1,(DATA_LOG!$A:$A=$A18)*(TEXT(DATA_LOG!$B:$B,""yyyy-MM-dd"")=TEXT(DATE($P$3,MONTH(1&amp;$N$3),VALUE(LEFT(I$19,2))),""yyyy-MM-dd"")),0)),""""),selectedDate,DATE($P$3,MONTH(1&amp;$N$3"&amp;"),VALUE(LEFT(I$19,2))),IF(logStatus&lt;&gt;"""",UPPER(logStatus),IF(selectedDate&gt;TODAY(),""-"",IF(REGEXMATCH(I$19,""SUN""),""WO"",IF(I$22&lt;&gt;"""",IF(VALUE(I$22)&gt;=9/24,""FD"",""HD""),""A"")))))))"),"A")</f>
        <v>A</v>
      </c>
      <c r="J23" s="43" t="str">
        <f>IFERROR(__xludf.DUMMYFUNCTION("IF($A18="""","""",IF(J$19="""","""",LET(logStatus,IFNA(INDEX(DATA_LOG!$E:$E,MATCH(1,(DATA_LOG!$A:$A=$A18)*(TEXT(DATA_LOG!$B:$B,""yyyy-MM-dd"")=TEXT(DATE($P$3,MONTH(1&amp;$N$3),VALUE(LEFT(J$19,2))),""yyyy-MM-dd"")),0)),""""),selectedDate,DATE($P$3,MONTH(1&amp;$N$3"&amp;"),VALUE(LEFT(J$19,2))),IF(logStatus&lt;&gt;"""",UPPER(logStatus),IF(selectedDate&gt;TODAY(),""-"",IF(REGEXMATCH(J$19,""SUN""),""WO"",IF(J$22&lt;&gt;"""",IF(VALUE(J$22)&gt;=9/24,""FD"",""HD""),""A"")))))))"),"A")</f>
        <v>A</v>
      </c>
      <c r="K23" s="43" t="str">
        <f>IFERROR(__xludf.DUMMYFUNCTION("IF($A18="""","""",IF(K$19="""","""",LET(logStatus,IFNA(INDEX(DATA_LOG!$E:$E,MATCH(1,(DATA_LOG!$A:$A=$A18)*(TEXT(DATA_LOG!$B:$B,""yyyy-MM-dd"")=TEXT(DATE($P$3,MONTH(1&amp;$N$3),VALUE(LEFT(K$19,2))),""yyyy-MM-dd"")),0)),""""),selectedDate,DATE($P$3,MONTH(1&amp;$N$3"&amp;"),VALUE(LEFT(K$19,2))),IF(logStatus&lt;&gt;"""",UPPER(logStatus),IF(selectedDate&gt;TODAY(),""-"",IF(REGEXMATCH(K$19,""SUN""),""WO"",IF(K$22&lt;&gt;"""",IF(VALUE(K$22)&gt;=9/24,""FD"",""HD""),""A"")))))))"),"A")</f>
        <v>A</v>
      </c>
      <c r="L23" s="43" t="str">
        <f>IFERROR(__xludf.DUMMYFUNCTION("IF($A18="""","""",IF(L$19="""","""",LET(logStatus,IFNA(INDEX(DATA_LOG!$E:$E,MATCH(1,(DATA_LOG!$A:$A=$A18)*(TEXT(DATA_LOG!$B:$B,""yyyy-MM-dd"")=TEXT(DATE($P$3,MONTH(1&amp;$N$3),VALUE(LEFT(L$19,2))),""yyyy-MM-dd"")),0)),""""),selectedDate,DATE($P$3,MONTH(1&amp;$N$3"&amp;"),VALUE(LEFT(L$19,2))),IF(logStatus&lt;&gt;"""",UPPER(logStatus),IF(selectedDate&gt;TODAY(),""-"",IF(REGEXMATCH(L$19,""SUN""),""WO"",IF(L$22&lt;&gt;"""",IF(VALUE(L$22)&gt;=9/24,""FD"",""HD""),""A"")))))))"),"A")</f>
        <v>A</v>
      </c>
      <c r="M23" s="43" t="str">
        <f>IFERROR(__xludf.DUMMYFUNCTION("IF($A18="""","""",IF(M$19="""","""",LET(logStatus,IFNA(INDEX(DATA_LOG!$E:$E,MATCH(1,(DATA_LOG!$A:$A=$A18)*(TEXT(DATA_LOG!$B:$B,""yyyy-MM-dd"")=TEXT(DATE($P$3,MONTH(1&amp;$N$3),VALUE(LEFT(M$19,2))),""yyyy-MM-dd"")),0)),""""),selectedDate,DATE($P$3,MONTH(1&amp;$N$3"&amp;"),VALUE(LEFT(M$19,2))),IF(logStatus&lt;&gt;"""",UPPER(logStatus),IF(selectedDate&gt;TODAY(),""-"",IF(REGEXMATCH(M$19,""SUN""),""WO"",IF(M$22&lt;&gt;"""",IF(VALUE(M$22)&gt;=9/24,""FD"",""HD""),""A"")))))))"),"-")</f>
        <v>-</v>
      </c>
      <c r="N23" s="43" t="str">
        <f>IFERROR(__xludf.DUMMYFUNCTION("IF($A18="""","""",IF(N$19="""","""",LET(logStatus,IFNA(INDEX(DATA_LOG!$E:$E,MATCH(1,(DATA_LOG!$A:$A=$A18)*(TEXT(DATA_LOG!$B:$B,""yyyy-MM-dd"")=TEXT(DATE($P$3,MONTH(1&amp;$N$3),VALUE(LEFT(N$19,2))),""yyyy-MM-dd"")),0)),""""),selectedDate,DATE($P$3,MONTH(1&amp;$N$3"&amp;"),VALUE(LEFT(N$19,2))),IF(logStatus&lt;&gt;"""",UPPER(logStatus),IF(selectedDate&gt;TODAY(),""-"",IF(REGEXMATCH(N$19,""SUN""),""WO"",IF(N$22&lt;&gt;"""",IF(VALUE(N$22)&gt;=9/24,""FD"",""HD""),""A"")))))))"),"-")</f>
        <v>-</v>
      </c>
      <c r="O23" s="43" t="str">
        <f>IFERROR(__xludf.DUMMYFUNCTION("IF($A18="""","""",IF(O$19="""","""",LET(logStatus,IFNA(INDEX(DATA_LOG!$E:$E,MATCH(1,(DATA_LOG!$A:$A=$A18)*(TEXT(DATA_LOG!$B:$B,""yyyy-MM-dd"")=TEXT(DATE($P$3,MONTH(1&amp;$N$3),VALUE(LEFT(O$19,2))),""yyyy-MM-dd"")),0)),""""),selectedDate,DATE($P$3,MONTH(1&amp;$N$3"&amp;"),VALUE(LEFT(O$19,2))),IF(logStatus&lt;&gt;"""",UPPER(logStatus),IF(selectedDate&gt;TODAY(),""-"",IF(REGEXMATCH(O$19,""SUN""),""WO"",IF(O$22&lt;&gt;"""",IF(VALUE(O$22)&gt;=9/24,""FD"",""HD""),""A"")))))))"),"-")</f>
        <v>-</v>
      </c>
      <c r="P23" s="43" t="str">
        <f>IFERROR(__xludf.DUMMYFUNCTION("IF($A18="""","""",IF(P$19="""","""",LET(logStatus,IFNA(INDEX(DATA_LOG!$E:$E,MATCH(1,(DATA_LOG!$A:$A=$A18)*(TEXT(DATA_LOG!$B:$B,""yyyy-MM-dd"")=TEXT(DATE($P$3,MONTH(1&amp;$N$3),VALUE(LEFT(P$19,2))),""yyyy-MM-dd"")),0)),""""),selectedDate,DATE($P$3,MONTH(1&amp;$N$3"&amp;"),VALUE(LEFT(P$19,2))),IF(logStatus&lt;&gt;"""",UPPER(logStatus),IF(selectedDate&gt;TODAY(),""-"",IF(REGEXMATCH(P$19,""SUN""),""WO"",IF(P$22&lt;&gt;"""",IF(VALUE(P$22)&gt;=9/24,""FD"",""HD""),""A"")))))))"),"-")</f>
        <v>-</v>
      </c>
      <c r="Q23" s="43" t="str">
        <f>IFERROR(__xludf.DUMMYFUNCTION("IF($A18="""","""",IF(Q$19="""","""",LET(logStatus,IFNA(INDEX(DATA_LOG!$E:$E,MATCH(1,(DATA_LOG!$A:$A=$A18)*(TEXT(DATA_LOG!$B:$B,""yyyy-MM-dd"")=TEXT(DATE($P$3,MONTH(1&amp;$N$3),VALUE(LEFT(Q$19,2))),""yyyy-MM-dd"")),0)),""""),selectedDate,DATE($P$3,MONTH(1&amp;$N$3"&amp;"),VALUE(LEFT(Q$19,2))),IF(logStatus&lt;&gt;"""",UPPER(logStatus),IF(selectedDate&gt;TODAY(),""-"",IF(REGEXMATCH(Q$19,""SUN""),""WO"",IF(Q$22&lt;&gt;"""",IF(VALUE(Q$22)&gt;=9/24,""FD"",""HD""),""A"")))))))"),"-")</f>
        <v>-</v>
      </c>
      <c r="R23" s="43" t="str">
        <f>IFERROR(__xludf.DUMMYFUNCTION("IF($A18="""","""",IF(R$19="""","""",LET(logStatus,IFNA(INDEX(DATA_LOG!$E:$E,MATCH(1,(DATA_LOG!$A:$A=$A18)*(TEXT(DATA_LOG!$B:$B,""yyyy-MM-dd"")=TEXT(DATE($P$3,MONTH(1&amp;$N$3),VALUE(LEFT(R$19,2))),""yyyy-MM-dd"")),0)),""""),selectedDate,DATE($P$3,MONTH(1&amp;$N$3"&amp;"),VALUE(LEFT(R$19,2))),IF(logStatus&lt;&gt;"""",UPPER(logStatus),IF(selectedDate&gt;TODAY(),""-"",IF(REGEXMATCH(R$19,""SUN""),""WO"",IF(R$22&lt;&gt;"""",IF(VALUE(R$22)&gt;=9/24,""FD"",""HD""),""A"")))))))"),"-")</f>
        <v>-</v>
      </c>
      <c r="S23" s="43" t="str">
        <f>IFERROR(__xludf.DUMMYFUNCTION("IF($A18="""","""",IF(S$19="""","""",LET(logStatus,IFNA(INDEX(DATA_LOG!$E:$E,MATCH(1,(DATA_LOG!$A:$A=$A18)*(TEXT(DATA_LOG!$B:$B,""yyyy-MM-dd"")=TEXT(DATE($P$3,MONTH(1&amp;$N$3),VALUE(LEFT(S$19,2))),""yyyy-MM-dd"")),0)),""""),selectedDate,DATE($P$3,MONTH(1&amp;$N$3"&amp;"),VALUE(LEFT(S$19,2))),IF(logStatus&lt;&gt;"""",UPPER(logStatus),IF(selectedDate&gt;TODAY(),""-"",IF(REGEXMATCH(S$19,""SUN""),""WO"",IF(S$22&lt;&gt;"""",IF(VALUE(S$22)&gt;=9/24,""FD"",""HD""),""A"")))))))"),"-")</f>
        <v>-</v>
      </c>
      <c r="T23" s="43" t="str">
        <f>IFERROR(__xludf.DUMMYFUNCTION("IF($A18="""","""",IF(T$19="""","""",LET(logStatus,IFNA(INDEX(DATA_LOG!$E:$E,MATCH(1,(DATA_LOG!$A:$A=$A18)*(TEXT(DATA_LOG!$B:$B,""yyyy-MM-dd"")=TEXT(DATE($P$3,MONTH(1&amp;$N$3),VALUE(LEFT(T$19,2))),""yyyy-MM-dd"")),0)),""""),selectedDate,DATE($P$3,MONTH(1&amp;$N$3"&amp;"),VALUE(LEFT(T$19,2))),IF(logStatus&lt;&gt;"""",UPPER(logStatus),IF(selectedDate&gt;TODAY(),""-"",IF(REGEXMATCH(T$19,""SUN""),""WO"",IF(T$22&lt;&gt;"""",IF(VALUE(T$22)&gt;=9/24,""FD"",""HD""),""A"")))))))"),"-")</f>
        <v>-</v>
      </c>
      <c r="U23" s="43" t="str">
        <f>IFERROR(__xludf.DUMMYFUNCTION("IF($A18="""","""",IF(U$19="""","""",LET(logStatus,IFNA(INDEX(DATA_LOG!$E:$E,MATCH(1,(DATA_LOG!$A:$A=$A18)*(TEXT(DATA_LOG!$B:$B,""yyyy-MM-dd"")=TEXT(DATE($P$3,MONTH(1&amp;$N$3),VALUE(LEFT(U$19,2))),""yyyy-MM-dd"")),0)),""""),selectedDate,DATE($P$3,MONTH(1&amp;$N$3"&amp;"),VALUE(LEFT(U$19,2))),IF(logStatus&lt;&gt;"""",UPPER(logStatus),IF(selectedDate&gt;TODAY(),""-"",IF(REGEXMATCH(U$19,""SUN""),""WO"",IF(U$22&lt;&gt;"""",IF(VALUE(U$22)&gt;=9/24,""FD"",""HD""),""A"")))))))"),"-")</f>
        <v>-</v>
      </c>
      <c r="V23" s="43" t="str">
        <f>IFERROR(__xludf.DUMMYFUNCTION("IF($A18="""","""",IF(V$19="""","""",LET(logStatus,IFNA(INDEX(DATA_LOG!$E:$E,MATCH(1,(DATA_LOG!$A:$A=$A18)*(TEXT(DATA_LOG!$B:$B,""yyyy-MM-dd"")=TEXT(DATE($P$3,MONTH(1&amp;$N$3),VALUE(LEFT(V$19,2))),""yyyy-MM-dd"")),0)),""""),selectedDate,DATE($P$3,MONTH(1&amp;$N$3"&amp;"),VALUE(LEFT(V$19,2))),IF(logStatus&lt;&gt;"""",UPPER(logStatus),IF(selectedDate&gt;TODAY(),""-"",IF(REGEXMATCH(V$19,""SUN""),""WO"",IF(V$22&lt;&gt;"""",IF(VALUE(V$22)&gt;=9/24,""FD"",""HD""),""A"")))))))"),"-")</f>
        <v>-</v>
      </c>
      <c r="W23" s="43" t="str">
        <f>IFERROR(__xludf.DUMMYFUNCTION("IF($A18="""","""",IF(W$19="""","""",LET(logStatus,IFNA(INDEX(DATA_LOG!$E:$E,MATCH(1,(DATA_LOG!$A:$A=$A18)*(TEXT(DATA_LOG!$B:$B,""yyyy-MM-dd"")=TEXT(DATE($P$3,MONTH(1&amp;$N$3),VALUE(LEFT(W$19,2))),""yyyy-MM-dd"")),0)),""""),selectedDate,DATE($P$3,MONTH(1&amp;$N$3"&amp;"),VALUE(LEFT(W$19,2))),IF(logStatus&lt;&gt;"""",UPPER(logStatus),IF(selectedDate&gt;TODAY(),""-"",IF(REGEXMATCH(W$19,""SUN""),""WO"",IF(W$22&lt;&gt;"""",IF(VALUE(W$22)&gt;=9/24,""FD"",""HD""),""A"")))))))"),"-")</f>
        <v>-</v>
      </c>
      <c r="X23" s="43" t="str">
        <f>IFERROR(__xludf.DUMMYFUNCTION("IF($A18="""","""",IF(X$19="""","""",LET(logStatus,IFNA(INDEX(DATA_LOG!$E:$E,MATCH(1,(DATA_LOG!$A:$A=$A18)*(TEXT(DATA_LOG!$B:$B,""yyyy-MM-dd"")=TEXT(DATE($P$3,MONTH(1&amp;$N$3),VALUE(LEFT(X$19,2))),""yyyy-MM-dd"")),0)),""""),selectedDate,DATE($P$3,MONTH(1&amp;$N$3"&amp;"),VALUE(LEFT(X$19,2))),IF(logStatus&lt;&gt;"""",UPPER(logStatus),IF(selectedDate&gt;TODAY(),""-"",IF(REGEXMATCH(X$19,""SUN""),""WO"",IF(X$22&lt;&gt;"""",IF(VALUE(X$22)&gt;=9/24,""FD"",""HD""),""A"")))))))"),"-")</f>
        <v>-</v>
      </c>
      <c r="Y23" s="43" t="str">
        <f>IFERROR(__xludf.DUMMYFUNCTION("IF($A18="""","""",IF(Y$19="""","""",LET(logStatus,IFNA(INDEX(DATA_LOG!$E:$E,MATCH(1,(DATA_LOG!$A:$A=$A18)*(TEXT(DATA_LOG!$B:$B,""yyyy-MM-dd"")=TEXT(DATE($P$3,MONTH(1&amp;$N$3),VALUE(LEFT(Y$19,2))),""yyyy-MM-dd"")),0)),""""),selectedDate,DATE($P$3,MONTH(1&amp;$N$3"&amp;"),VALUE(LEFT(Y$19,2))),IF(logStatus&lt;&gt;"""",UPPER(logStatus),IF(selectedDate&gt;TODAY(),""-"",IF(REGEXMATCH(Y$19,""SUN""),""WO"",IF(Y$22&lt;&gt;"""",IF(VALUE(Y$22)&gt;=9/24,""FD"",""HD""),""A"")))))))"),"-")</f>
        <v>-</v>
      </c>
      <c r="Z23" s="43" t="str">
        <f>IFERROR(__xludf.DUMMYFUNCTION("IF($A18="""","""",IF(Z$19="""","""",LET(logStatus,IFNA(INDEX(DATA_LOG!$E:$E,MATCH(1,(DATA_LOG!$A:$A=$A18)*(TEXT(DATA_LOG!$B:$B,""yyyy-MM-dd"")=TEXT(DATE($P$3,MONTH(1&amp;$N$3),VALUE(LEFT(Z$19,2))),""yyyy-MM-dd"")),0)),""""),selectedDate,DATE($P$3,MONTH(1&amp;$N$3"&amp;"),VALUE(LEFT(Z$19,2))),IF(logStatus&lt;&gt;"""",UPPER(logStatus),IF(selectedDate&gt;TODAY(),""-"",IF(REGEXMATCH(Z$19,""SUN""),""WO"",IF(Z$22&lt;&gt;"""",IF(VALUE(Z$22)&gt;=9/24,""FD"",""HD""),""A"")))))))"),"-")</f>
        <v>-</v>
      </c>
      <c r="AA23" s="43" t="str">
        <f>IFERROR(__xludf.DUMMYFUNCTION("IF($A18="""","""",IF(AA$19="""","""",LET(logStatus,IFNA(INDEX(DATA_LOG!$E:$E,MATCH(1,(DATA_LOG!$A:$A=$A18)*(TEXT(DATA_LOG!$B:$B,""yyyy-MM-dd"")=TEXT(DATE($P$3,MONTH(1&amp;$N$3),VALUE(LEFT(AA$19,2))),""yyyy-MM-dd"")),0)),""""),selectedDate,DATE($P$3,MONTH(1&amp;$N"&amp;"$3),VALUE(LEFT(AA$19,2))),IF(logStatus&lt;&gt;"""",UPPER(logStatus),IF(selectedDate&gt;TODAY(),""-"",IF(REGEXMATCH(AA$19,""SUN""),""WO"",IF(AA$22&lt;&gt;"""",IF(VALUE(AA$22)&gt;=9/24,""FD"",""HD""),""A"")))))))"),"-")</f>
        <v>-</v>
      </c>
      <c r="AB23" s="43" t="str">
        <f>IFERROR(__xludf.DUMMYFUNCTION("IF($A18="""","""",IF(AB$19="""","""",LET(logStatus,IFNA(INDEX(DATA_LOG!$E:$E,MATCH(1,(DATA_LOG!$A:$A=$A18)*(TEXT(DATA_LOG!$B:$B,""yyyy-MM-dd"")=TEXT(DATE($P$3,MONTH(1&amp;$N$3),VALUE(LEFT(AB$19,2))),""yyyy-MM-dd"")),0)),""""),selectedDate,DATE($P$3,MONTH(1&amp;$N"&amp;"$3),VALUE(LEFT(AB$19,2))),IF(logStatus&lt;&gt;"""",UPPER(logStatus),IF(selectedDate&gt;TODAY(),""-"",IF(REGEXMATCH(AB$19,""SUN""),""WO"",IF(AB$22&lt;&gt;"""",IF(VALUE(AB$22)&gt;=9/24,""FD"",""HD""),""A"")))))))"),"-")</f>
        <v>-</v>
      </c>
      <c r="AC23" s="43" t="str">
        <f>IFERROR(__xludf.DUMMYFUNCTION("IF($A18="""","""",IF(AC$19="""","""",LET(logStatus,IFNA(INDEX(DATA_LOG!$E:$E,MATCH(1,(DATA_LOG!$A:$A=$A18)*(TEXT(DATA_LOG!$B:$B,""yyyy-MM-dd"")=TEXT(DATE($P$3,MONTH(1&amp;$N$3),VALUE(LEFT(AC$19,2))),""yyyy-MM-dd"")),0)),""""),selectedDate,DATE($P$3,MONTH(1&amp;$N"&amp;"$3),VALUE(LEFT(AC$19,2))),IF(logStatus&lt;&gt;"""",UPPER(logStatus),IF(selectedDate&gt;TODAY(),""-"",IF(REGEXMATCH(AC$19,""SUN""),""WO"",IF(AC$22&lt;&gt;"""",IF(VALUE(AC$22)&gt;=9/24,""FD"",""HD""),""A"")))))))"),"-")</f>
        <v>-</v>
      </c>
      <c r="AD23" s="43" t="str">
        <f>IFERROR(__xludf.DUMMYFUNCTION("IF($A18="""","""",IF(AD$19="""","""",LET(logStatus,IFNA(INDEX(DATA_LOG!$E:$E,MATCH(1,(DATA_LOG!$A:$A=$A18)*(TEXT(DATA_LOG!$B:$B,""yyyy-MM-dd"")=TEXT(DATE($P$3,MONTH(1&amp;$N$3),VALUE(LEFT(AD$19,2))),""yyyy-MM-dd"")),0)),""""),selectedDate,DATE($P$3,MONTH(1&amp;$N"&amp;"$3),VALUE(LEFT(AD$19,2))),IF(logStatus&lt;&gt;"""",UPPER(logStatus),IF(selectedDate&gt;TODAY(),""-"",IF(REGEXMATCH(AD$19,""SUN""),""WO"",IF(AD$22&lt;&gt;"""",IF(VALUE(AD$22)&gt;=9/24,""FD"",""HD""),""A"")))))))"),"-")</f>
        <v>-</v>
      </c>
      <c r="AE23" s="43" t="str">
        <f>IFERROR(__xludf.DUMMYFUNCTION("IF($A18="""","""",IF(AE$19="""","""",LET(logStatus,IFNA(INDEX(DATA_LOG!$E:$E,MATCH(1,(DATA_LOG!$A:$A=$A18)*(TEXT(DATA_LOG!$B:$B,""yyyy-MM-dd"")=TEXT(DATE($P$3,MONTH(1&amp;$N$3),VALUE(LEFT(AE$19,2))),""yyyy-MM-dd"")),0)),""""),selectedDate,DATE($P$3,MONTH(1&amp;$N"&amp;"$3),VALUE(LEFT(AE$19,2))),IF(logStatus&lt;&gt;"""",UPPER(logStatus),IF(selectedDate&gt;TODAY(),""-"",IF(REGEXMATCH(AE$19,""SUN""),""WO"",IF(AE$22&lt;&gt;"""",IF(VALUE(AE$22)&gt;=9/24,""FD"",""HD""),""A"")))))))"),"-")</f>
        <v>-</v>
      </c>
      <c r="AF23" s="43" t="str">
        <f>IFERROR(__xludf.DUMMYFUNCTION("IF($A18="""","""",IF(AF$19="""","""",LET(logStatus,IFNA(INDEX(DATA_LOG!$E:$E,MATCH(1,(DATA_LOG!$A:$A=$A18)*(TEXT(DATA_LOG!$B:$B,""yyyy-MM-dd"")=TEXT(DATE($P$3,MONTH(1&amp;$N$3),VALUE(LEFT(AF$19,2))),""yyyy-MM-dd"")),0)),""""),selectedDate,DATE($P$3,MONTH(1&amp;$N"&amp;"$3),VALUE(LEFT(AF$19,2))),IF(logStatus&lt;&gt;"""",UPPER(logStatus),IF(selectedDate&gt;TODAY(),""-"",IF(REGEXMATCH(AF$19,""SUN""),""WO"",IF(AF$22&lt;&gt;"""",IF(VALUE(AF$22)&gt;=9/24,""FD"",""HD""),""A"")))))))"),"")</f>
        <v/>
      </c>
    </row>
    <row r="24">
      <c r="A24" s="44"/>
    </row>
    <row r="25">
      <c r="A25" s="25" t="str">
        <f t="array" ref="A25">INDEX(EMPLOYEE_LIST!$A:$A,INT((ROW()-4)/7)+2)</f>
        <v>ASHOK PAVAR</v>
      </c>
      <c r="B25" s="26"/>
      <c r="C25" s="27"/>
      <c r="D25" s="28" t="str">
        <f>IF(A25="", "", IFERROR(VLOOKUP(A25, EMPLOYEE_LIST!$A:$H, 2, FALSE), ""))</f>
        <v>AYV-32</v>
      </c>
      <c r="E25" s="26"/>
      <c r="F25" s="26"/>
      <c r="G25" s="27"/>
      <c r="H25" s="29" t="str">
        <f>IF(A25="", "", IFERROR(VLOOKUP(A25, EMPLOYEE_LIST!$A:$H, 3, FALSE), ""))</f>
        <v>ENGINEERING</v>
      </c>
      <c r="I25" s="26"/>
      <c r="J25" s="26"/>
      <c r="K25" s="27"/>
      <c r="L25" s="29" t="str">
        <f>IF(A25="", "", IFERROR(VLOOKUP(A25, EMPLOYEE_LIST!$A:$H, 4, FALSE), ""))</f>
        <v>SITE ENGINEER</v>
      </c>
      <c r="M25" s="26"/>
      <c r="N25" s="26"/>
      <c r="O25" s="27"/>
      <c r="P25" s="30" t="str">
        <f>IF($A25="", "", "Full Day: " &amp; COUNTIF(B30:AF30, "FD"))</f>
        <v>Full Day: 0</v>
      </c>
      <c r="Q25" s="26"/>
      <c r="R25" s="27"/>
      <c r="S25" s="31" t="str">
        <f>IF($A25="", "", "HALF Day: " &amp; COUNTIF(B30:AF30, "HD"))</f>
        <v>HALF Day: 0</v>
      </c>
      <c r="T25" s="26"/>
      <c r="U25" s="27"/>
      <c r="V25" s="31" t="str">
        <f>IF($A25="", "", "ABSENT: " &amp; COUNTIF(B30:AF30, "A"))</f>
        <v>ABSENT: 10</v>
      </c>
      <c r="W25" s="26"/>
      <c r="X25" s="27"/>
      <c r="Y25" s="31" t="str">
        <f>IF($A25="", "", "WEEK OFF: " &amp; COUNTIF(B30:AF30, "WO"))</f>
        <v>WEEK OFF: 1</v>
      </c>
      <c r="Z25" s="26"/>
      <c r="AA25" s="27"/>
      <c r="AB25" s="31" t="str">
        <f>IF($A25="", "", "LEAVE: " &amp; COUNTIF(B30:AF30, "L"))</f>
        <v>LEAVE: 0</v>
      </c>
      <c r="AC25" s="27"/>
      <c r="AD25" s="31" t="str">
        <f>IF($A25="", "", "HOLIDAY: " &amp; COUNTIF(B30:AF30, "HL"))</f>
        <v>HOLIDAY: 0</v>
      </c>
      <c r="AE25" s="26"/>
      <c r="AF25" s="27"/>
    </row>
    <row r="26">
      <c r="A26" s="32" t="str">
        <f>IF($A25="", "", "DATE")</f>
        <v>DATE</v>
      </c>
      <c r="B26" s="33" t="str">
        <f t="array" ref="B26:AE26">IF($A25="","",LET(mNum,MONTH(1&amp;$N$3),start,DATE($P$3,mNum,1),days,DAY(EOMONTH(start,0)),MAP(SEQUENCE(1,days,0),LAMBDA(n,UPPER(TEXT(start+n,"dd (ddd)"))))))</f>
        <v>01 (TUE)</v>
      </c>
      <c r="C26" s="34" t="s">
        <v>89</v>
      </c>
      <c r="D26" s="34" t="s">
        <v>90</v>
      </c>
      <c r="E26" s="34" t="s">
        <v>91</v>
      </c>
      <c r="F26" s="34" t="s">
        <v>92</v>
      </c>
      <c r="G26" s="34" t="s">
        <v>93</v>
      </c>
      <c r="H26" s="34" t="s">
        <v>94</v>
      </c>
      <c r="I26" s="34" t="s">
        <v>95</v>
      </c>
      <c r="J26" s="34" t="s">
        <v>96</v>
      </c>
      <c r="K26" s="34" t="s">
        <v>97</v>
      </c>
      <c r="L26" s="34" t="s">
        <v>98</v>
      </c>
      <c r="M26" s="34" t="s">
        <v>99</v>
      </c>
      <c r="N26" s="34" t="s">
        <v>100</v>
      </c>
      <c r="O26" s="34" t="s">
        <v>101</v>
      </c>
      <c r="P26" s="34" t="s">
        <v>102</v>
      </c>
      <c r="Q26" s="34" t="s">
        <v>103</v>
      </c>
      <c r="R26" s="34" t="s">
        <v>104</v>
      </c>
      <c r="S26" s="34" t="s">
        <v>105</v>
      </c>
      <c r="T26" s="34" t="s">
        <v>106</v>
      </c>
      <c r="U26" s="34" t="s">
        <v>107</v>
      </c>
      <c r="V26" s="34" t="s">
        <v>108</v>
      </c>
      <c r="W26" s="34" t="s">
        <v>109</v>
      </c>
      <c r="X26" s="34" t="s">
        <v>110</v>
      </c>
      <c r="Y26" s="34" t="s">
        <v>111</v>
      </c>
      <c r="Z26" s="34" t="s">
        <v>112</v>
      </c>
      <c r="AA26" s="34" t="s">
        <v>113</v>
      </c>
      <c r="AB26" s="34" t="s">
        <v>114</v>
      </c>
      <c r="AC26" s="34" t="s">
        <v>115</v>
      </c>
      <c r="AD26" s="34" t="s">
        <v>116</v>
      </c>
      <c r="AE26" s="34" t="s">
        <v>117</v>
      </c>
      <c r="AF26" s="34"/>
    </row>
    <row r="27">
      <c r="A27" s="37" t="str">
        <f>IF($A25="", "", "IN")</f>
        <v>IN</v>
      </c>
      <c r="B27" s="39" t="str">
        <f t="array" ref="B27">IF(OR($A25="",B$5=""),"",IFNA(INDEX(DATA_LOG!$C:$C,MATCH(1,(DATA_LOG!$A:$A=$A25)*(TEXT(DATA_LOG!$B:$B,"yyyy-MM-dd")=TEXT(DATE($P$3,MONTH(1&amp;$N$3),VALUE(LEFT(B$5,2))),"yyyy-MM-dd")),0)),""))</f>
        <v/>
      </c>
      <c r="C27" s="39" t="str">
        <f t="array" ref="C27">IF(OR($A25="",C$5=""),"",IFNA(INDEX(DATA_LOG!$C:$C,MATCH(1,(DATA_LOG!$A:$A=$A25)*(TEXT(DATA_LOG!$B:$B,"yyyy-MM-dd")=TEXT(DATE($P$3,MONTH(1&amp;$N$3),VALUE(LEFT(C$5,2))),"yyyy-MM-dd")),0)),""))</f>
        <v/>
      </c>
      <c r="D27" s="39" t="str">
        <f t="array" ref="D27">IF(OR($A25="",D$5=""),"",IFNA(INDEX(DATA_LOG!$C:$C,MATCH(1,(DATA_LOG!$A:$A=$A25)*(TEXT(DATA_LOG!$B:$B,"yyyy-MM-dd")=TEXT(DATE($P$3,MONTH(1&amp;$N$3),VALUE(LEFT(D$5,2))),"yyyy-MM-dd")),0)),""))</f>
        <v/>
      </c>
      <c r="E27" s="39" t="str">
        <f t="array" ref="E27">IF(OR($A25="",E$5=""),"",IFNA(INDEX(DATA_LOG!$C:$C,MATCH(1,(DATA_LOG!$A:$A=$A25)*(TEXT(DATA_LOG!$B:$B,"yyyy-MM-dd")=TEXT(DATE($P$3,MONTH(1&amp;$N$3),VALUE(LEFT(E$5,2))),"yyyy-MM-dd")),0)),""))</f>
        <v/>
      </c>
      <c r="F27" s="39" t="str">
        <f t="array" ref="F27">IF(OR($A25="",F$5=""),"",IFNA(INDEX(DATA_LOG!$C:$C,MATCH(1,(DATA_LOG!$A:$A=$A25)*(TEXT(DATA_LOG!$B:$B,"yyyy-MM-dd")=TEXT(DATE($P$3,MONTH(1&amp;$N$3),VALUE(LEFT(F$5,2))),"yyyy-MM-dd")),0)),""))</f>
        <v/>
      </c>
      <c r="G27" s="39" t="str">
        <f t="array" ref="G27">IF(OR($A25="",G$5=""),"",IFNA(INDEX(DATA_LOG!$C:$C,MATCH(1,(DATA_LOG!$A:$A=$A25)*(TEXT(DATA_LOG!$B:$B,"yyyy-MM-dd")=TEXT(DATE($P$3,MONTH(1&amp;$N$3),VALUE(LEFT(G$5,2))),"yyyy-MM-dd")),0)),""))</f>
        <v/>
      </c>
      <c r="H27" s="39" t="str">
        <f t="array" ref="H27">IF(OR($A25="",H$5=""),"",IFNA(INDEX(DATA_LOG!$C:$C,MATCH(1,(DATA_LOG!$A:$A=$A25)*(TEXT(DATA_LOG!$B:$B,"yyyy-MM-dd")=TEXT(DATE($P$3,MONTH(1&amp;$N$3),VALUE(LEFT(H$5,2))),"yyyy-MM-dd")),0)),""))</f>
        <v/>
      </c>
      <c r="I27" s="39" t="str">
        <f t="array" ref="I27">IF(OR($A25="",I$5=""),"",IFNA(INDEX(DATA_LOG!$C:$C,MATCH(1,(DATA_LOG!$A:$A=$A25)*(TEXT(DATA_LOG!$B:$B,"yyyy-MM-dd")=TEXT(DATE($P$3,MONTH(1&amp;$N$3),VALUE(LEFT(I$5,2))),"yyyy-MM-dd")),0)),""))</f>
        <v/>
      </c>
      <c r="J27" s="39" t="str">
        <f t="array" ref="J27">IF(OR($A25="",J$5=""),"",IFNA(INDEX(DATA_LOG!$C:$C,MATCH(1,(DATA_LOG!$A:$A=$A25)*(TEXT(DATA_LOG!$B:$B,"yyyy-MM-dd")=TEXT(DATE($P$3,MONTH(1&amp;$N$3),VALUE(LEFT(J$5,2))),"yyyy-MM-dd")),0)),""))</f>
        <v/>
      </c>
      <c r="K27" s="39" t="str">
        <f t="array" ref="K27">IF(OR($A25="",K$5=""),"",IFNA(INDEX(DATA_LOG!$C:$C,MATCH(1,(DATA_LOG!$A:$A=$A25)*(TEXT(DATA_LOG!$B:$B,"yyyy-MM-dd")=TEXT(DATE($P$3,MONTH(1&amp;$N$3),VALUE(LEFT(K$5,2))),"yyyy-MM-dd")),0)),""))</f>
        <v/>
      </c>
      <c r="L27" s="39" t="str">
        <f t="array" ref="L27">IF(OR($A25="",L$5=""),"",IFNA(INDEX(DATA_LOG!$C:$C,MATCH(1,(DATA_LOG!$A:$A=$A25)*(TEXT(DATA_LOG!$B:$B,"yyyy-MM-dd")=TEXT(DATE($P$3,MONTH(1&amp;$N$3),VALUE(LEFT(L$5,2))),"yyyy-MM-dd")),0)),""))</f>
        <v/>
      </c>
      <c r="M27" s="39" t="str">
        <f t="array" ref="M27">IF(OR($A25="",M$5=""),"",IFNA(INDEX(DATA_LOG!$C:$C,MATCH(1,(DATA_LOG!$A:$A=$A25)*(TEXT(DATA_LOG!$B:$B,"yyyy-MM-dd")=TEXT(DATE($P$3,MONTH(1&amp;$N$3),VALUE(LEFT(M$5,2))),"yyyy-MM-dd")),0)),""))</f>
        <v/>
      </c>
      <c r="N27" s="39" t="str">
        <f t="array" ref="N27">IF(OR($A25="",N$5=""),"",IFNA(INDEX(DATA_LOG!$C:$C,MATCH(1,(DATA_LOG!$A:$A=$A25)*(TEXT(DATA_LOG!$B:$B,"yyyy-MM-dd")=TEXT(DATE($P$3,MONTH(1&amp;$N$3),VALUE(LEFT(N$5,2))),"yyyy-MM-dd")),0)),""))</f>
        <v/>
      </c>
      <c r="O27" s="39" t="str">
        <f t="array" ref="O27">IF(OR($A25="",O$5=""),"",IFNA(INDEX(DATA_LOG!$C:$C,MATCH(1,(DATA_LOG!$A:$A=$A25)*(TEXT(DATA_LOG!$B:$B,"yyyy-MM-dd")=TEXT(DATE($P$3,MONTH(1&amp;$N$3),VALUE(LEFT(O$5,2))),"yyyy-MM-dd")),0)),""))</f>
        <v/>
      </c>
      <c r="P27" s="39" t="str">
        <f t="array" ref="P27">IF(OR($A25="",P$5=""),"",IFNA(INDEX(DATA_LOG!$C:$C,MATCH(1,(DATA_LOG!$A:$A=$A25)*(TEXT(DATA_LOG!$B:$B,"yyyy-MM-dd")=TEXT(DATE($P$3,MONTH(1&amp;$N$3),VALUE(LEFT(P$5,2))),"yyyy-MM-dd")),0)),""))</f>
        <v/>
      </c>
      <c r="Q27" s="39" t="str">
        <f t="array" ref="Q27">IF(OR($A25="",Q$5=""),"",IFNA(INDEX(DATA_LOG!$C:$C,MATCH(1,(DATA_LOG!$A:$A=$A25)*(TEXT(DATA_LOG!$B:$B,"yyyy-MM-dd")=TEXT(DATE($P$3,MONTH(1&amp;$N$3),VALUE(LEFT(Q$5,2))),"yyyy-MM-dd")),0)),""))</f>
        <v/>
      </c>
      <c r="R27" s="39" t="str">
        <f t="array" ref="R27">IF(OR($A25="",R$5=""),"",IFNA(INDEX(DATA_LOG!$C:$C,MATCH(1,(DATA_LOG!$A:$A=$A25)*(TEXT(DATA_LOG!$B:$B,"yyyy-MM-dd")=TEXT(DATE($P$3,MONTH(1&amp;$N$3),VALUE(LEFT(R$5,2))),"yyyy-MM-dd")),0)),""))</f>
        <v/>
      </c>
      <c r="S27" s="39" t="str">
        <f t="array" ref="S27">IF(OR($A25="",S$5=""),"",IFNA(INDEX(DATA_LOG!$C:$C,MATCH(1,(DATA_LOG!$A:$A=$A25)*(TEXT(DATA_LOG!$B:$B,"yyyy-MM-dd")=TEXT(DATE($P$3,MONTH(1&amp;$N$3),VALUE(LEFT(S$5,2))),"yyyy-MM-dd")),0)),""))</f>
        <v/>
      </c>
      <c r="T27" s="39" t="str">
        <f t="array" ref="T27">IF(OR($A25="",T$5=""),"",IFNA(INDEX(DATA_LOG!$C:$C,MATCH(1,(DATA_LOG!$A:$A=$A25)*(TEXT(DATA_LOG!$B:$B,"yyyy-MM-dd")=TEXT(DATE($P$3,MONTH(1&amp;$N$3),VALUE(LEFT(T$5,2))),"yyyy-MM-dd")),0)),""))</f>
        <v/>
      </c>
      <c r="U27" s="39" t="str">
        <f t="array" ref="U27">IF(OR($A25="",U$5=""),"",IFNA(INDEX(DATA_LOG!$C:$C,MATCH(1,(DATA_LOG!$A:$A=$A25)*(TEXT(DATA_LOG!$B:$B,"yyyy-MM-dd")=TEXT(DATE($P$3,MONTH(1&amp;$N$3),VALUE(LEFT(U$5,2))),"yyyy-MM-dd")),0)),""))</f>
        <v/>
      </c>
      <c r="V27" s="39" t="str">
        <f t="array" ref="V27">IF(OR($A25="",V$5=""),"",IFNA(INDEX(DATA_LOG!$C:$C,MATCH(1,(DATA_LOG!$A:$A=$A25)*(TEXT(DATA_LOG!$B:$B,"yyyy-MM-dd")=TEXT(DATE($P$3,MONTH(1&amp;$N$3),VALUE(LEFT(V$5,2))),"yyyy-MM-dd")),0)),""))</f>
        <v/>
      </c>
      <c r="W27" s="39" t="str">
        <f t="array" ref="W27">IF(OR($A25="",W$5=""),"",IFNA(INDEX(DATA_LOG!$C:$C,MATCH(1,(DATA_LOG!$A:$A=$A25)*(TEXT(DATA_LOG!$B:$B,"yyyy-MM-dd")=TEXT(DATE($P$3,MONTH(1&amp;$N$3),VALUE(LEFT(W$5,2))),"yyyy-MM-dd")),0)),""))</f>
        <v/>
      </c>
      <c r="X27" s="39" t="str">
        <f t="array" ref="X27">IF(OR($A25="",X$5=""),"",IFNA(INDEX(DATA_LOG!$C:$C,MATCH(1,(DATA_LOG!$A:$A=$A25)*(TEXT(DATA_LOG!$B:$B,"yyyy-MM-dd")=TEXT(DATE($P$3,MONTH(1&amp;$N$3),VALUE(LEFT(X$5,2))),"yyyy-MM-dd")),0)),""))</f>
        <v/>
      </c>
      <c r="Y27" s="39" t="str">
        <f t="array" ref="Y27">IF(OR($A25="",Y$5=""),"",IFNA(INDEX(DATA_LOG!$C:$C,MATCH(1,(DATA_LOG!$A:$A=$A25)*(TEXT(DATA_LOG!$B:$B,"yyyy-MM-dd")=TEXT(DATE($P$3,MONTH(1&amp;$N$3),VALUE(LEFT(Y$5,2))),"yyyy-MM-dd")),0)),""))</f>
        <v/>
      </c>
      <c r="Z27" s="39" t="str">
        <f t="array" ref="Z27">IF(OR($A25="",Z$5=""),"",IFNA(INDEX(DATA_LOG!$C:$C,MATCH(1,(DATA_LOG!$A:$A=$A25)*(TEXT(DATA_LOG!$B:$B,"yyyy-MM-dd")=TEXT(DATE($P$3,MONTH(1&amp;$N$3),VALUE(LEFT(Z$5,2))),"yyyy-MM-dd")),0)),""))</f>
        <v/>
      </c>
      <c r="AA27" s="39" t="str">
        <f t="array" ref="AA27">IF(OR($A25="",AA$5=""),"",IFNA(INDEX(DATA_LOG!$C:$C,MATCH(1,(DATA_LOG!$A:$A=$A25)*(TEXT(DATA_LOG!$B:$B,"yyyy-MM-dd")=TEXT(DATE($P$3,MONTH(1&amp;$N$3),VALUE(LEFT(AA$5,2))),"yyyy-MM-dd")),0)),""))</f>
        <v/>
      </c>
      <c r="AB27" s="39" t="str">
        <f t="array" ref="AB27">IF(OR($A25="",AB$5=""),"",IFNA(INDEX(DATA_LOG!$C:$C,MATCH(1,(DATA_LOG!$A:$A=$A25)*(TEXT(DATA_LOG!$B:$B,"yyyy-MM-dd")=TEXT(DATE($P$3,MONTH(1&amp;$N$3),VALUE(LEFT(AB$5,2))),"yyyy-MM-dd")),0)),""))</f>
        <v/>
      </c>
      <c r="AC27" s="39" t="str">
        <f t="array" ref="AC27">IF(OR($A25="",AC$5=""),"",IFNA(INDEX(DATA_LOG!$C:$C,MATCH(1,(DATA_LOG!$A:$A=$A25)*(TEXT(DATA_LOG!$B:$B,"yyyy-MM-dd")=TEXT(DATE($P$3,MONTH(1&amp;$N$3),VALUE(LEFT(AC$5,2))),"yyyy-MM-dd")),0)),""))</f>
        <v/>
      </c>
      <c r="AD27" s="39" t="str">
        <f t="array" ref="AD27">IF(OR($A25="",AD$5=""),"",IFNA(INDEX(DATA_LOG!$C:$C,MATCH(1,(DATA_LOG!$A:$A=$A25)*(TEXT(DATA_LOG!$B:$B,"yyyy-MM-dd")=TEXT(DATE($P$3,MONTH(1&amp;$N$3),VALUE(LEFT(AD$5,2))),"yyyy-MM-dd")),0)),""))</f>
        <v/>
      </c>
      <c r="AE27" s="39" t="str">
        <f t="array" ref="AE27">IF(OR($A25="",AE$5=""),"",IFNA(INDEX(DATA_LOG!$C:$C,MATCH(1,(DATA_LOG!$A:$A=$A25)*(TEXT(DATA_LOG!$B:$B,"yyyy-MM-dd")=TEXT(DATE($P$3,MONTH(1&amp;$N$3),VALUE(LEFT(AE$5,2))),"yyyy-MM-dd")),0)),""))</f>
        <v/>
      </c>
      <c r="AF27" s="39" t="str">
        <f t="array" ref="AF27">IF(OR($A25="",AF$5=""),"",IFNA(INDEX(DATA_LOG!$C:$C,MATCH(1,(DATA_LOG!$A:$A=$A25)*(TEXT(DATA_LOG!$B:$B,"yyyy-MM-dd")=TEXT(DATE($P$3,MONTH(1&amp;$N$3),VALUE(LEFT(AF$5,2))),"yyyy-MM-dd")),0)),""))</f>
        <v/>
      </c>
    </row>
    <row r="28">
      <c r="A28" s="37" t="str">
        <f>IF($A25="", "", "OUT")</f>
        <v>OUT</v>
      </c>
      <c r="B28" s="39" t="str">
        <f t="array" ref="B28">IF(OR($A25="",B$5=""),"",IFNA(INDEX(DATA_LOG!$D:$D,MATCH(1,(DATA_LOG!$A:$A=$A25)*(TEXT(DATA_LOG!$B:$B,"yyyy-MM-dd")=TEXT(DATE($P$3,MONTH(1&amp;$N$3),VALUE(LEFT(B$5,2))),"yyyy-MM-dd")),0)),""))</f>
        <v/>
      </c>
      <c r="C28" s="39" t="str">
        <f t="array" ref="C28">IF(OR($A25="",C$5=""),"",IFNA(INDEX(DATA_LOG!$D:$D,MATCH(1,(DATA_LOG!$A:$A=$A25)*(TEXT(DATA_LOG!$B:$B,"yyyy-MM-dd")=TEXT(DATE($P$3,MONTH(1&amp;$N$3),VALUE(LEFT(C$5,2))),"yyyy-MM-dd")),0)),""))</f>
        <v/>
      </c>
      <c r="D28" s="39" t="str">
        <f t="array" ref="D28">IF(OR($A25="",D$5=""),"",IFNA(INDEX(DATA_LOG!$D:$D,MATCH(1,(DATA_LOG!$A:$A=$A25)*(TEXT(DATA_LOG!$B:$B,"yyyy-MM-dd")=TEXT(DATE($P$3,MONTH(1&amp;$N$3),VALUE(LEFT(D$5,2))),"yyyy-MM-dd")),0)),""))</f>
        <v/>
      </c>
      <c r="E28" s="39" t="str">
        <f t="array" ref="E28">IF(OR($A25="",E$5=""),"",IFNA(INDEX(DATA_LOG!$D:$D,MATCH(1,(DATA_LOG!$A:$A=$A25)*(TEXT(DATA_LOG!$B:$B,"yyyy-MM-dd")=TEXT(DATE($P$3,MONTH(1&amp;$N$3),VALUE(LEFT(E$5,2))),"yyyy-MM-dd")),0)),""))</f>
        <v/>
      </c>
      <c r="F28" s="39" t="str">
        <f t="array" ref="F28">IF(OR($A25="",F$5=""),"",IFNA(INDEX(DATA_LOG!$D:$D,MATCH(1,(DATA_LOG!$A:$A=$A25)*(TEXT(DATA_LOG!$B:$B,"yyyy-MM-dd")=TEXT(DATE($P$3,MONTH(1&amp;$N$3),VALUE(LEFT(F$5,2))),"yyyy-MM-dd")),0)),""))</f>
        <v/>
      </c>
      <c r="G28" s="39" t="str">
        <f t="array" ref="G28">IF(OR($A25="",G$5=""),"",IFNA(INDEX(DATA_LOG!$D:$D,MATCH(1,(DATA_LOG!$A:$A=$A25)*(TEXT(DATA_LOG!$B:$B,"yyyy-MM-dd")=TEXT(DATE($P$3,MONTH(1&amp;$N$3),VALUE(LEFT(G$5,2))),"yyyy-MM-dd")),0)),""))</f>
        <v/>
      </c>
      <c r="H28" s="39" t="str">
        <f t="array" ref="H28">IF(OR($A25="",H$5=""),"",IFNA(INDEX(DATA_LOG!$D:$D,MATCH(1,(DATA_LOG!$A:$A=$A25)*(TEXT(DATA_LOG!$B:$B,"yyyy-MM-dd")=TEXT(DATE($P$3,MONTH(1&amp;$N$3),VALUE(LEFT(H$5,2))),"yyyy-MM-dd")),0)),""))</f>
        <v/>
      </c>
      <c r="I28" s="39" t="str">
        <f t="array" ref="I28">IF(OR($A25="",I$5=""),"",IFNA(INDEX(DATA_LOG!$D:$D,MATCH(1,(DATA_LOG!$A:$A=$A25)*(TEXT(DATA_LOG!$B:$B,"yyyy-MM-dd")=TEXT(DATE($P$3,MONTH(1&amp;$N$3),VALUE(LEFT(I$5,2))),"yyyy-MM-dd")),0)),""))</f>
        <v/>
      </c>
      <c r="J28" s="39" t="str">
        <f t="array" ref="J28">IF(OR($A25="",J$5=""),"",IFNA(INDEX(DATA_LOG!$D:$D,MATCH(1,(DATA_LOG!$A:$A=$A25)*(TEXT(DATA_LOG!$B:$B,"yyyy-MM-dd")=TEXT(DATE($P$3,MONTH(1&amp;$N$3),VALUE(LEFT(J$5,2))),"yyyy-MM-dd")),0)),""))</f>
        <v/>
      </c>
      <c r="K28" s="39" t="str">
        <f t="array" ref="K28">IF(OR($A25="",K$5=""),"",IFNA(INDEX(DATA_LOG!$D:$D,MATCH(1,(DATA_LOG!$A:$A=$A25)*(TEXT(DATA_LOG!$B:$B,"yyyy-MM-dd")=TEXT(DATE($P$3,MONTH(1&amp;$N$3),VALUE(LEFT(K$5,2))),"yyyy-MM-dd")),0)),""))</f>
        <v/>
      </c>
      <c r="L28" s="39" t="str">
        <f t="array" ref="L28">IF(OR($A25="",L$5=""),"",IFNA(INDEX(DATA_LOG!$D:$D,MATCH(1,(DATA_LOG!$A:$A=$A25)*(TEXT(DATA_LOG!$B:$B,"yyyy-MM-dd")=TEXT(DATE($P$3,MONTH(1&amp;$N$3),VALUE(LEFT(L$5,2))),"yyyy-MM-dd")),0)),""))</f>
        <v/>
      </c>
      <c r="M28" s="39" t="str">
        <f t="array" ref="M28">IF(OR($A25="",M$5=""),"",IFNA(INDEX(DATA_LOG!$D:$D,MATCH(1,(DATA_LOG!$A:$A=$A25)*(TEXT(DATA_LOG!$B:$B,"yyyy-MM-dd")=TEXT(DATE($P$3,MONTH(1&amp;$N$3),VALUE(LEFT(M$5,2))),"yyyy-MM-dd")),0)),""))</f>
        <v/>
      </c>
      <c r="N28" s="39" t="str">
        <f t="array" ref="N28">IF(OR($A25="",N$5=""),"",IFNA(INDEX(DATA_LOG!$D:$D,MATCH(1,(DATA_LOG!$A:$A=$A25)*(TEXT(DATA_LOG!$B:$B,"yyyy-MM-dd")=TEXT(DATE($P$3,MONTH(1&amp;$N$3),VALUE(LEFT(N$5,2))),"yyyy-MM-dd")),0)),""))</f>
        <v/>
      </c>
      <c r="O28" s="39" t="str">
        <f t="array" ref="O28">IF(OR($A25="",O$5=""),"",IFNA(INDEX(DATA_LOG!$D:$D,MATCH(1,(DATA_LOG!$A:$A=$A25)*(TEXT(DATA_LOG!$B:$B,"yyyy-MM-dd")=TEXT(DATE($P$3,MONTH(1&amp;$N$3),VALUE(LEFT(O$5,2))),"yyyy-MM-dd")),0)),""))</f>
        <v/>
      </c>
      <c r="P28" s="39" t="str">
        <f t="array" ref="P28">IF(OR($A25="",P$5=""),"",IFNA(INDEX(DATA_LOG!$D:$D,MATCH(1,(DATA_LOG!$A:$A=$A25)*(TEXT(DATA_LOG!$B:$B,"yyyy-MM-dd")=TEXT(DATE($P$3,MONTH(1&amp;$N$3),VALUE(LEFT(P$5,2))),"yyyy-MM-dd")),0)),""))</f>
        <v/>
      </c>
      <c r="Q28" s="39" t="str">
        <f t="array" ref="Q28">IF(OR($A25="",Q$5=""),"",IFNA(INDEX(DATA_LOG!$D:$D,MATCH(1,(DATA_LOG!$A:$A=$A25)*(TEXT(DATA_LOG!$B:$B,"yyyy-MM-dd")=TEXT(DATE($P$3,MONTH(1&amp;$N$3),VALUE(LEFT(Q$5,2))),"yyyy-MM-dd")),0)),""))</f>
        <v/>
      </c>
      <c r="R28" s="39" t="str">
        <f t="array" ref="R28">IF(OR($A25="",R$5=""),"",IFNA(INDEX(DATA_LOG!$D:$D,MATCH(1,(DATA_LOG!$A:$A=$A25)*(TEXT(DATA_LOG!$B:$B,"yyyy-MM-dd")=TEXT(DATE($P$3,MONTH(1&amp;$N$3),VALUE(LEFT(R$5,2))),"yyyy-MM-dd")),0)),""))</f>
        <v/>
      </c>
      <c r="S28" s="39" t="str">
        <f t="array" ref="S28">IF(OR($A25="",S$5=""),"",IFNA(INDEX(DATA_LOG!$D:$D,MATCH(1,(DATA_LOG!$A:$A=$A25)*(TEXT(DATA_LOG!$B:$B,"yyyy-MM-dd")=TEXT(DATE($P$3,MONTH(1&amp;$N$3),VALUE(LEFT(S$5,2))),"yyyy-MM-dd")),0)),""))</f>
        <v/>
      </c>
      <c r="T28" s="39" t="str">
        <f t="array" ref="T28">IF(OR($A25="",T$5=""),"",IFNA(INDEX(DATA_LOG!$D:$D,MATCH(1,(DATA_LOG!$A:$A=$A25)*(TEXT(DATA_LOG!$B:$B,"yyyy-MM-dd")=TEXT(DATE($P$3,MONTH(1&amp;$N$3),VALUE(LEFT(T$5,2))),"yyyy-MM-dd")),0)),""))</f>
        <v/>
      </c>
      <c r="U28" s="39" t="str">
        <f t="array" ref="U28">IF(OR($A25="",U$5=""),"",IFNA(INDEX(DATA_LOG!$D:$D,MATCH(1,(DATA_LOG!$A:$A=$A25)*(TEXT(DATA_LOG!$B:$B,"yyyy-MM-dd")=TEXT(DATE($P$3,MONTH(1&amp;$N$3),VALUE(LEFT(U$5,2))),"yyyy-MM-dd")),0)),""))</f>
        <v/>
      </c>
      <c r="V28" s="39" t="str">
        <f t="array" ref="V28">IF(OR($A25="",V$5=""),"",IFNA(INDEX(DATA_LOG!$D:$D,MATCH(1,(DATA_LOG!$A:$A=$A25)*(TEXT(DATA_LOG!$B:$B,"yyyy-MM-dd")=TEXT(DATE($P$3,MONTH(1&amp;$N$3),VALUE(LEFT(V$5,2))),"yyyy-MM-dd")),0)),""))</f>
        <v/>
      </c>
      <c r="W28" s="39" t="str">
        <f t="array" ref="W28">IF(OR($A25="",W$5=""),"",IFNA(INDEX(DATA_LOG!$D:$D,MATCH(1,(DATA_LOG!$A:$A=$A25)*(TEXT(DATA_LOG!$B:$B,"yyyy-MM-dd")=TEXT(DATE($P$3,MONTH(1&amp;$N$3),VALUE(LEFT(W$5,2))),"yyyy-MM-dd")),0)),""))</f>
        <v/>
      </c>
      <c r="X28" s="39" t="str">
        <f t="array" ref="X28">IF(OR($A25="",X$5=""),"",IFNA(INDEX(DATA_LOG!$D:$D,MATCH(1,(DATA_LOG!$A:$A=$A25)*(TEXT(DATA_LOG!$B:$B,"yyyy-MM-dd")=TEXT(DATE($P$3,MONTH(1&amp;$N$3),VALUE(LEFT(X$5,2))),"yyyy-MM-dd")),0)),""))</f>
        <v/>
      </c>
      <c r="Y28" s="39" t="str">
        <f t="array" ref="Y28">IF(OR($A25="",Y$5=""),"",IFNA(INDEX(DATA_LOG!$D:$D,MATCH(1,(DATA_LOG!$A:$A=$A25)*(TEXT(DATA_LOG!$B:$B,"yyyy-MM-dd")=TEXT(DATE($P$3,MONTH(1&amp;$N$3),VALUE(LEFT(Y$5,2))),"yyyy-MM-dd")),0)),""))</f>
        <v/>
      </c>
      <c r="Z28" s="39" t="str">
        <f t="array" ref="Z28">IF(OR($A25="",Z$5=""),"",IFNA(INDEX(DATA_LOG!$D:$D,MATCH(1,(DATA_LOG!$A:$A=$A25)*(TEXT(DATA_LOG!$B:$B,"yyyy-MM-dd")=TEXT(DATE($P$3,MONTH(1&amp;$N$3),VALUE(LEFT(Z$5,2))),"yyyy-MM-dd")),0)),""))</f>
        <v/>
      </c>
      <c r="AA28" s="39" t="str">
        <f t="array" ref="AA28">IF(OR($A25="",AA$5=""),"",IFNA(INDEX(DATA_LOG!$D:$D,MATCH(1,(DATA_LOG!$A:$A=$A25)*(TEXT(DATA_LOG!$B:$B,"yyyy-MM-dd")=TEXT(DATE($P$3,MONTH(1&amp;$N$3),VALUE(LEFT(AA$5,2))),"yyyy-MM-dd")),0)),""))</f>
        <v/>
      </c>
      <c r="AB28" s="39" t="str">
        <f t="array" ref="AB28">IF(OR($A25="",AB$5=""),"",IFNA(INDEX(DATA_LOG!$D:$D,MATCH(1,(DATA_LOG!$A:$A=$A25)*(TEXT(DATA_LOG!$B:$B,"yyyy-MM-dd")=TEXT(DATE($P$3,MONTH(1&amp;$N$3),VALUE(LEFT(AB$5,2))),"yyyy-MM-dd")),0)),""))</f>
        <v/>
      </c>
      <c r="AC28" s="39" t="str">
        <f t="array" ref="AC28">IF(OR($A25="",AC$5=""),"",IFNA(INDEX(DATA_LOG!$D:$D,MATCH(1,(DATA_LOG!$A:$A=$A25)*(TEXT(DATA_LOG!$B:$B,"yyyy-MM-dd")=TEXT(DATE($P$3,MONTH(1&amp;$N$3),VALUE(LEFT(AC$5,2))),"yyyy-MM-dd")),0)),""))</f>
        <v/>
      </c>
      <c r="AD28" s="39" t="str">
        <f t="array" ref="AD28">IF(OR($A25="",AD$5=""),"",IFNA(INDEX(DATA_LOG!$D:$D,MATCH(1,(DATA_LOG!$A:$A=$A25)*(TEXT(DATA_LOG!$B:$B,"yyyy-MM-dd")=TEXT(DATE($P$3,MONTH(1&amp;$N$3),VALUE(LEFT(AD$5,2))),"yyyy-MM-dd")),0)),""))</f>
        <v/>
      </c>
      <c r="AE28" s="39" t="str">
        <f t="array" ref="AE28">IF(OR($A25="",AE$5=""),"",IFNA(INDEX(DATA_LOG!$D:$D,MATCH(1,(DATA_LOG!$A:$A=$A25)*(TEXT(DATA_LOG!$B:$B,"yyyy-MM-dd")=TEXT(DATE($P$3,MONTH(1&amp;$N$3),VALUE(LEFT(AE$5,2))),"yyyy-MM-dd")),0)),""))</f>
        <v/>
      </c>
      <c r="AF28" s="39" t="str">
        <f t="array" ref="AF28">IF(OR($A25="",AF$5=""),"",IFNA(INDEX(DATA_LOG!$D:$D,MATCH(1,(DATA_LOG!$A:$A=$A25)*(TEXT(DATA_LOG!$B:$B,"yyyy-MM-dd")=TEXT(DATE($P$3,MONTH(1&amp;$N$3),VALUE(LEFT(AF$5,2))),"yyyy-MM-dd")),0)),""))</f>
        <v/>
      </c>
    </row>
    <row r="29">
      <c r="A29" s="40" t="str">
        <f>IF($A25="", "", "TOTAL")</f>
        <v>TOTAL</v>
      </c>
      <c r="B29" s="41" t="str">
        <f t="shared" ref="B29:AF29" si="4">IF(OR(B27="",B28=""),"",B28-B27)</f>
        <v/>
      </c>
      <c r="C29" s="34" t="str">
        <f t="shared" si="4"/>
        <v/>
      </c>
      <c r="D29" s="34" t="str">
        <f t="shared" si="4"/>
        <v/>
      </c>
      <c r="E29" s="34" t="str">
        <f t="shared" si="4"/>
        <v/>
      </c>
      <c r="F29" s="34" t="str">
        <f t="shared" si="4"/>
        <v/>
      </c>
      <c r="G29" s="34" t="str">
        <f t="shared" si="4"/>
        <v/>
      </c>
      <c r="H29" s="34" t="str">
        <f t="shared" si="4"/>
        <v/>
      </c>
      <c r="I29" s="34" t="str">
        <f t="shared" si="4"/>
        <v/>
      </c>
      <c r="J29" s="34" t="str">
        <f t="shared" si="4"/>
        <v/>
      </c>
      <c r="K29" s="34" t="str">
        <f t="shared" si="4"/>
        <v/>
      </c>
      <c r="L29" s="34" t="str">
        <f t="shared" si="4"/>
        <v/>
      </c>
      <c r="M29" s="34" t="str">
        <f t="shared" si="4"/>
        <v/>
      </c>
      <c r="N29" s="34" t="str">
        <f t="shared" si="4"/>
        <v/>
      </c>
      <c r="O29" s="34" t="str">
        <f t="shared" si="4"/>
        <v/>
      </c>
      <c r="P29" s="34" t="str">
        <f t="shared" si="4"/>
        <v/>
      </c>
      <c r="Q29" s="34" t="str">
        <f t="shared" si="4"/>
        <v/>
      </c>
      <c r="R29" s="34" t="str">
        <f t="shared" si="4"/>
        <v/>
      </c>
      <c r="S29" s="34" t="str">
        <f t="shared" si="4"/>
        <v/>
      </c>
      <c r="T29" s="34" t="str">
        <f t="shared" si="4"/>
        <v/>
      </c>
      <c r="U29" s="34" t="str">
        <f t="shared" si="4"/>
        <v/>
      </c>
      <c r="V29" s="34" t="str">
        <f t="shared" si="4"/>
        <v/>
      </c>
      <c r="W29" s="34" t="str">
        <f t="shared" si="4"/>
        <v/>
      </c>
      <c r="X29" s="34" t="str">
        <f t="shared" si="4"/>
        <v/>
      </c>
      <c r="Y29" s="34" t="str">
        <f t="shared" si="4"/>
        <v/>
      </c>
      <c r="Z29" s="34" t="str">
        <f t="shared" si="4"/>
        <v/>
      </c>
      <c r="AA29" s="34" t="str">
        <f t="shared" si="4"/>
        <v/>
      </c>
      <c r="AB29" s="34" t="str">
        <f t="shared" si="4"/>
        <v/>
      </c>
      <c r="AC29" s="34" t="str">
        <f t="shared" si="4"/>
        <v/>
      </c>
      <c r="AD29" s="34" t="str">
        <f t="shared" si="4"/>
        <v/>
      </c>
      <c r="AE29" s="34" t="str">
        <f t="shared" si="4"/>
        <v/>
      </c>
      <c r="AF29" s="34" t="str">
        <f t="shared" si="4"/>
        <v/>
      </c>
    </row>
    <row r="30">
      <c r="A30" s="42" t="str">
        <f>IF($A25="", "", "STATUS")</f>
        <v>STATUS</v>
      </c>
      <c r="B30" s="43" t="str">
        <f>IFERROR(__xludf.DUMMYFUNCTION("IF($A25="""","""",IF(B$26="""","""",LET(logStatus,IFNA(INDEX(DATA_LOG!$E:$E,MATCH(1,(DATA_LOG!$A:$A=$A25)*(TEXT(DATA_LOG!$B:$B,""yyyy-MM-dd"")=TEXT(DATE($P$3,MONTH(1&amp;$N$3),VALUE(LEFT(B$26,2))),""yyyy-MM-dd"")),0)),""""),selectedDate,DATE($P$3,MONTH(1&amp;$N$3"&amp;"),VALUE(LEFT(B$26,2))),IF(logStatus&lt;&gt;"""",UPPER(logStatus),IF(selectedDate&gt;TODAY(),""-"",IF(REGEXMATCH(B$26,""SUN""),""WO"",IF(B$29&lt;&gt;"""",IF(VALUE(B$29)&gt;=9/24,""FD"",""HD""),""A"")))))))"),"A")</f>
        <v>A</v>
      </c>
      <c r="C30" s="43" t="str">
        <f>IFERROR(__xludf.DUMMYFUNCTION("IF($A25="""","""",IF(C$26="""","""",LET(logStatus,IFNA(INDEX(DATA_LOG!$E:$E,MATCH(1,(DATA_LOG!$A:$A=$A25)*(TEXT(DATA_LOG!$B:$B,""yyyy-MM-dd"")=TEXT(DATE($P$3,MONTH(1&amp;$N$3),VALUE(LEFT(C$26,2))),""yyyy-MM-dd"")),0)),""""),selectedDate,DATE($P$3,MONTH(1&amp;$N$3"&amp;"),VALUE(LEFT(C$26,2))),IF(logStatus&lt;&gt;"""",UPPER(logStatus),IF(selectedDate&gt;TODAY(),""-"",IF(REGEXMATCH(C$26,""SUN""),""WO"",IF(C$29&lt;&gt;"""",IF(VALUE(C$29)&gt;=9/24,""FD"",""HD""),""A"")))))))"),"A")</f>
        <v>A</v>
      </c>
      <c r="D30" s="43" t="str">
        <f>IFERROR(__xludf.DUMMYFUNCTION("IF($A25="""","""",IF(D$26="""","""",LET(logStatus,IFNA(INDEX(DATA_LOG!$E:$E,MATCH(1,(DATA_LOG!$A:$A=$A25)*(TEXT(DATA_LOG!$B:$B,""yyyy-MM-dd"")=TEXT(DATE($P$3,MONTH(1&amp;$N$3),VALUE(LEFT(D$26,2))),""yyyy-MM-dd"")),0)),""""),selectedDate,DATE($P$3,MONTH(1&amp;$N$3"&amp;"),VALUE(LEFT(D$26,2))),IF(logStatus&lt;&gt;"""",UPPER(logStatus),IF(selectedDate&gt;TODAY(),""-"",IF(REGEXMATCH(D$26,""SUN""),""WO"",IF(D$29&lt;&gt;"""",IF(VALUE(D$29)&gt;=9/24,""FD"",""HD""),""A"")))))))"),"A")</f>
        <v>A</v>
      </c>
      <c r="E30" s="43" t="str">
        <f>IFERROR(__xludf.DUMMYFUNCTION("IF($A25="""","""",IF(E$26="""","""",LET(logStatus,IFNA(INDEX(DATA_LOG!$E:$E,MATCH(1,(DATA_LOG!$A:$A=$A25)*(TEXT(DATA_LOG!$B:$B,""yyyy-MM-dd"")=TEXT(DATE($P$3,MONTH(1&amp;$N$3),VALUE(LEFT(E$26,2))),""yyyy-MM-dd"")),0)),""""),selectedDate,DATE($P$3,MONTH(1&amp;$N$3"&amp;"),VALUE(LEFT(E$26,2))),IF(logStatus&lt;&gt;"""",UPPER(logStatus),IF(selectedDate&gt;TODAY(),""-"",IF(REGEXMATCH(E$26,""SUN""),""WO"",IF(E$29&lt;&gt;"""",IF(VALUE(E$29)&gt;=9/24,""FD"",""HD""),""A"")))))))"),"A")</f>
        <v>A</v>
      </c>
      <c r="F30" s="43" t="str">
        <f>IFERROR(__xludf.DUMMYFUNCTION("IF($A25="""","""",IF(F$26="""","""",LET(logStatus,IFNA(INDEX(DATA_LOG!$E:$E,MATCH(1,(DATA_LOG!$A:$A=$A25)*(TEXT(DATA_LOG!$B:$B,""yyyy-MM-dd"")=TEXT(DATE($P$3,MONTH(1&amp;$N$3),VALUE(LEFT(F$26,2))),""yyyy-MM-dd"")),0)),""""),selectedDate,DATE($P$3,MONTH(1&amp;$N$3"&amp;"),VALUE(LEFT(F$26,2))),IF(logStatus&lt;&gt;"""",UPPER(logStatus),IF(selectedDate&gt;TODAY(),""-"",IF(REGEXMATCH(F$26,""SUN""),""WO"",IF(F$29&lt;&gt;"""",IF(VALUE(F$29)&gt;=9/24,""FD"",""HD""),""A"")))))))"),"A")</f>
        <v>A</v>
      </c>
      <c r="G30" s="43" t="str">
        <f>IFERROR(__xludf.DUMMYFUNCTION("IF($A25="""","""",IF(G$26="""","""",LET(logStatus,IFNA(INDEX(DATA_LOG!$E:$E,MATCH(1,(DATA_LOG!$A:$A=$A25)*(TEXT(DATA_LOG!$B:$B,""yyyy-MM-dd"")=TEXT(DATE($P$3,MONTH(1&amp;$N$3),VALUE(LEFT(G$26,2))),""yyyy-MM-dd"")),0)),""""),selectedDate,DATE($P$3,MONTH(1&amp;$N$3"&amp;"),VALUE(LEFT(G$26,2))),IF(logStatus&lt;&gt;"""",UPPER(logStatus),IF(selectedDate&gt;TODAY(),""-"",IF(REGEXMATCH(G$26,""SUN""),""WO"",IF(G$29&lt;&gt;"""",IF(VALUE(G$29)&gt;=9/24,""FD"",""HD""),""A"")))))))"),"WO")</f>
        <v>WO</v>
      </c>
      <c r="H30" s="43" t="str">
        <f>IFERROR(__xludf.DUMMYFUNCTION("IF($A25="""","""",IF(H$26="""","""",LET(logStatus,IFNA(INDEX(DATA_LOG!$E:$E,MATCH(1,(DATA_LOG!$A:$A=$A25)*(TEXT(DATA_LOG!$B:$B,""yyyy-MM-dd"")=TEXT(DATE($P$3,MONTH(1&amp;$N$3),VALUE(LEFT(H$26,2))),""yyyy-MM-dd"")),0)),""""),selectedDate,DATE($P$3,MONTH(1&amp;$N$3"&amp;"),VALUE(LEFT(H$26,2))),IF(logStatus&lt;&gt;"""",UPPER(logStatus),IF(selectedDate&gt;TODAY(),""-"",IF(REGEXMATCH(H$26,""SUN""),""WO"",IF(H$29&lt;&gt;"""",IF(VALUE(H$29)&gt;=9/24,""FD"",""HD""),""A"")))))))"),"A")</f>
        <v>A</v>
      </c>
      <c r="I30" s="43" t="str">
        <f>IFERROR(__xludf.DUMMYFUNCTION("IF($A25="""","""",IF(I$26="""","""",LET(logStatus,IFNA(INDEX(DATA_LOG!$E:$E,MATCH(1,(DATA_LOG!$A:$A=$A25)*(TEXT(DATA_LOG!$B:$B,""yyyy-MM-dd"")=TEXT(DATE($P$3,MONTH(1&amp;$N$3),VALUE(LEFT(I$26,2))),""yyyy-MM-dd"")),0)),""""),selectedDate,DATE($P$3,MONTH(1&amp;$N$3"&amp;"),VALUE(LEFT(I$26,2))),IF(logStatus&lt;&gt;"""",UPPER(logStatus),IF(selectedDate&gt;TODAY(),""-"",IF(REGEXMATCH(I$26,""SUN""),""WO"",IF(I$29&lt;&gt;"""",IF(VALUE(I$29)&gt;=9/24,""FD"",""HD""),""A"")))))))"),"A")</f>
        <v>A</v>
      </c>
      <c r="J30" s="43" t="str">
        <f>IFERROR(__xludf.DUMMYFUNCTION("IF($A25="""","""",IF(J$26="""","""",LET(logStatus,IFNA(INDEX(DATA_LOG!$E:$E,MATCH(1,(DATA_LOG!$A:$A=$A25)*(TEXT(DATA_LOG!$B:$B,""yyyy-MM-dd"")=TEXT(DATE($P$3,MONTH(1&amp;$N$3),VALUE(LEFT(J$26,2))),""yyyy-MM-dd"")),0)),""""),selectedDate,DATE($P$3,MONTH(1&amp;$N$3"&amp;"),VALUE(LEFT(J$26,2))),IF(logStatus&lt;&gt;"""",UPPER(logStatus),IF(selectedDate&gt;TODAY(),""-"",IF(REGEXMATCH(J$26,""SUN""),""WO"",IF(J$29&lt;&gt;"""",IF(VALUE(J$29)&gt;=9/24,""FD"",""HD""),""A"")))))))"),"A")</f>
        <v>A</v>
      </c>
      <c r="K30" s="43" t="str">
        <f>IFERROR(__xludf.DUMMYFUNCTION("IF($A25="""","""",IF(K$26="""","""",LET(logStatus,IFNA(INDEX(DATA_LOG!$E:$E,MATCH(1,(DATA_LOG!$A:$A=$A25)*(TEXT(DATA_LOG!$B:$B,""yyyy-MM-dd"")=TEXT(DATE($P$3,MONTH(1&amp;$N$3),VALUE(LEFT(K$26,2))),""yyyy-MM-dd"")),0)),""""),selectedDate,DATE($P$3,MONTH(1&amp;$N$3"&amp;"),VALUE(LEFT(K$26,2))),IF(logStatus&lt;&gt;"""",UPPER(logStatus),IF(selectedDate&gt;TODAY(),""-"",IF(REGEXMATCH(K$26,""SUN""),""WO"",IF(K$29&lt;&gt;"""",IF(VALUE(K$29)&gt;=9/24,""FD"",""HD""),""A"")))))))"),"A")</f>
        <v>A</v>
      </c>
      <c r="L30" s="43" t="str">
        <f>IFERROR(__xludf.DUMMYFUNCTION("IF($A25="""","""",IF(L$26="""","""",LET(logStatus,IFNA(INDEX(DATA_LOG!$E:$E,MATCH(1,(DATA_LOG!$A:$A=$A25)*(TEXT(DATA_LOG!$B:$B,""yyyy-MM-dd"")=TEXT(DATE($P$3,MONTH(1&amp;$N$3),VALUE(LEFT(L$26,2))),""yyyy-MM-dd"")),0)),""""),selectedDate,DATE($P$3,MONTH(1&amp;$N$3"&amp;"),VALUE(LEFT(L$26,2))),IF(logStatus&lt;&gt;"""",UPPER(logStatus),IF(selectedDate&gt;TODAY(),""-"",IF(REGEXMATCH(L$26,""SUN""),""WO"",IF(L$29&lt;&gt;"""",IF(VALUE(L$29)&gt;=9/24,""FD"",""HD""),""A"")))))))"),"A")</f>
        <v>A</v>
      </c>
      <c r="M30" s="43" t="str">
        <f>IFERROR(__xludf.DUMMYFUNCTION("IF($A25="""","""",IF(M$26="""","""",LET(logStatus,IFNA(INDEX(DATA_LOG!$E:$E,MATCH(1,(DATA_LOG!$A:$A=$A25)*(TEXT(DATA_LOG!$B:$B,""yyyy-MM-dd"")=TEXT(DATE($P$3,MONTH(1&amp;$N$3),VALUE(LEFT(M$26,2))),""yyyy-MM-dd"")),0)),""""),selectedDate,DATE($P$3,MONTH(1&amp;$N$3"&amp;"),VALUE(LEFT(M$26,2))),IF(logStatus&lt;&gt;"""",UPPER(logStatus),IF(selectedDate&gt;TODAY(),""-"",IF(REGEXMATCH(M$26,""SUN""),""WO"",IF(M$29&lt;&gt;"""",IF(VALUE(M$29)&gt;=9/24,""FD"",""HD""),""A"")))))))"),"-")</f>
        <v>-</v>
      </c>
      <c r="N30" s="43" t="str">
        <f>IFERROR(__xludf.DUMMYFUNCTION("IF($A25="""","""",IF(N$26="""","""",LET(logStatus,IFNA(INDEX(DATA_LOG!$E:$E,MATCH(1,(DATA_LOG!$A:$A=$A25)*(TEXT(DATA_LOG!$B:$B,""yyyy-MM-dd"")=TEXT(DATE($P$3,MONTH(1&amp;$N$3),VALUE(LEFT(N$26,2))),""yyyy-MM-dd"")),0)),""""),selectedDate,DATE($P$3,MONTH(1&amp;$N$3"&amp;"),VALUE(LEFT(N$26,2))),IF(logStatus&lt;&gt;"""",UPPER(logStatus),IF(selectedDate&gt;TODAY(),""-"",IF(REGEXMATCH(N$26,""SUN""),""WO"",IF(N$29&lt;&gt;"""",IF(VALUE(N$29)&gt;=9/24,""FD"",""HD""),""A"")))))))"),"-")</f>
        <v>-</v>
      </c>
      <c r="O30" s="43" t="str">
        <f>IFERROR(__xludf.DUMMYFUNCTION("IF($A25="""","""",IF(O$26="""","""",LET(logStatus,IFNA(INDEX(DATA_LOG!$E:$E,MATCH(1,(DATA_LOG!$A:$A=$A25)*(TEXT(DATA_LOG!$B:$B,""yyyy-MM-dd"")=TEXT(DATE($P$3,MONTH(1&amp;$N$3),VALUE(LEFT(O$26,2))),""yyyy-MM-dd"")),0)),""""),selectedDate,DATE($P$3,MONTH(1&amp;$N$3"&amp;"),VALUE(LEFT(O$26,2))),IF(logStatus&lt;&gt;"""",UPPER(logStatus),IF(selectedDate&gt;TODAY(),""-"",IF(REGEXMATCH(O$26,""SUN""),""WO"",IF(O$29&lt;&gt;"""",IF(VALUE(O$29)&gt;=9/24,""FD"",""HD""),""A"")))))))"),"-")</f>
        <v>-</v>
      </c>
      <c r="P30" s="43" t="str">
        <f>IFERROR(__xludf.DUMMYFUNCTION("IF($A25="""","""",IF(P$26="""","""",LET(logStatus,IFNA(INDEX(DATA_LOG!$E:$E,MATCH(1,(DATA_LOG!$A:$A=$A25)*(TEXT(DATA_LOG!$B:$B,""yyyy-MM-dd"")=TEXT(DATE($P$3,MONTH(1&amp;$N$3),VALUE(LEFT(P$26,2))),""yyyy-MM-dd"")),0)),""""),selectedDate,DATE($P$3,MONTH(1&amp;$N$3"&amp;"),VALUE(LEFT(P$26,2))),IF(logStatus&lt;&gt;"""",UPPER(logStatus),IF(selectedDate&gt;TODAY(),""-"",IF(REGEXMATCH(P$26,""SUN""),""WO"",IF(P$29&lt;&gt;"""",IF(VALUE(P$29)&gt;=9/24,""FD"",""HD""),""A"")))))))"),"-")</f>
        <v>-</v>
      </c>
      <c r="Q30" s="43" t="str">
        <f>IFERROR(__xludf.DUMMYFUNCTION("IF($A25="""","""",IF(Q$26="""","""",LET(logStatus,IFNA(INDEX(DATA_LOG!$E:$E,MATCH(1,(DATA_LOG!$A:$A=$A25)*(TEXT(DATA_LOG!$B:$B,""yyyy-MM-dd"")=TEXT(DATE($P$3,MONTH(1&amp;$N$3),VALUE(LEFT(Q$26,2))),""yyyy-MM-dd"")),0)),""""),selectedDate,DATE($P$3,MONTH(1&amp;$N$3"&amp;"),VALUE(LEFT(Q$26,2))),IF(logStatus&lt;&gt;"""",UPPER(logStatus),IF(selectedDate&gt;TODAY(),""-"",IF(REGEXMATCH(Q$26,""SUN""),""WO"",IF(Q$29&lt;&gt;"""",IF(VALUE(Q$29)&gt;=9/24,""FD"",""HD""),""A"")))))))"),"-")</f>
        <v>-</v>
      </c>
      <c r="R30" s="43" t="str">
        <f>IFERROR(__xludf.DUMMYFUNCTION("IF($A25="""","""",IF(R$26="""","""",LET(logStatus,IFNA(INDEX(DATA_LOG!$E:$E,MATCH(1,(DATA_LOG!$A:$A=$A25)*(TEXT(DATA_LOG!$B:$B,""yyyy-MM-dd"")=TEXT(DATE($P$3,MONTH(1&amp;$N$3),VALUE(LEFT(R$26,2))),""yyyy-MM-dd"")),0)),""""),selectedDate,DATE($P$3,MONTH(1&amp;$N$3"&amp;"),VALUE(LEFT(R$26,2))),IF(logStatus&lt;&gt;"""",UPPER(logStatus),IF(selectedDate&gt;TODAY(),""-"",IF(REGEXMATCH(R$26,""SUN""),""WO"",IF(R$29&lt;&gt;"""",IF(VALUE(R$29)&gt;=9/24,""FD"",""HD""),""A"")))))))"),"-")</f>
        <v>-</v>
      </c>
      <c r="S30" s="43" t="str">
        <f>IFERROR(__xludf.DUMMYFUNCTION("IF($A25="""","""",IF(S$26="""","""",LET(logStatus,IFNA(INDEX(DATA_LOG!$E:$E,MATCH(1,(DATA_LOG!$A:$A=$A25)*(TEXT(DATA_LOG!$B:$B,""yyyy-MM-dd"")=TEXT(DATE($P$3,MONTH(1&amp;$N$3),VALUE(LEFT(S$26,2))),""yyyy-MM-dd"")),0)),""""),selectedDate,DATE($P$3,MONTH(1&amp;$N$3"&amp;"),VALUE(LEFT(S$26,2))),IF(logStatus&lt;&gt;"""",UPPER(logStatus),IF(selectedDate&gt;TODAY(),""-"",IF(REGEXMATCH(S$26,""SUN""),""WO"",IF(S$29&lt;&gt;"""",IF(VALUE(S$29)&gt;=9/24,""FD"",""HD""),""A"")))))))"),"-")</f>
        <v>-</v>
      </c>
      <c r="T30" s="43" t="str">
        <f>IFERROR(__xludf.DUMMYFUNCTION("IF($A25="""","""",IF(T$26="""","""",LET(logStatus,IFNA(INDEX(DATA_LOG!$E:$E,MATCH(1,(DATA_LOG!$A:$A=$A25)*(TEXT(DATA_LOG!$B:$B,""yyyy-MM-dd"")=TEXT(DATE($P$3,MONTH(1&amp;$N$3),VALUE(LEFT(T$26,2))),""yyyy-MM-dd"")),0)),""""),selectedDate,DATE($P$3,MONTH(1&amp;$N$3"&amp;"),VALUE(LEFT(T$26,2))),IF(logStatus&lt;&gt;"""",UPPER(logStatus),IF(selectedDate&gt;TODAY(),""-"",IF(REGEXMATCH(T$26,""SUN""),""WO"",IF(T$29&lt;&gt;"""",IF(VALUE(T$29)&gt;=9/24,""FD"",""HD""),""A"")))))))"),"-")</f>
        <v>-</v>
      </c>
      <c r="U30" s="43" t="str">
        <f>IFERROR(__xludf.DUMMYFUNCTION("IF($A25="""","""",IF(U$26="""","""",LET(logStatus,IFNA(INDEX(DATA_LOG!$E:$E,MATCH(1,(DATA_LOG!$A:$A=$A25)*(TEXT(DATA_LOG!$B:$B,""yyyy-MM-dd"")=TEXT(DATE($P$3,MONTH(1&amp;$N$3),VALUE(LEFT(U$26,2))),""yyyy-MM-dd"")),0)),""""),selectedDate,DATE($P$3,MONTH(1&amp;$N$3"&amp;"),VALUE(LEFT(U$26,2))),IF(logStatus&lt;&gt;"""",UPPER(logStatus),IF(selectedDate&gt;TODAY(),""-"",IF(REGEXMATCH(U$26,""SUN""),""WO"",IF(U$29&lt;&gt;"""",IF(VALUE(U$29)&gt;=9/24,""FD"",""HD""),""A"")))))))"),"-")</f>
        <v>-</v>
      </c>
      <c r="V30" s="43" t="str">
        <f>IFERROR(__xludf.DUMMYFUNCTION("IF($A25="""","""",IF(V$26="""","""",LET(logStatus,IFNA(INDEX(DATA_LOG!$E:$E,MATCH(1,(DATA_LOG!$A:$A=$A25)*(TEXT(DATA_LOG!$B:$B,""yyyy-MM-dd"")=TEXT(DATE($P$3,MONTH(1&amp;$N$3),VALUE(LEFT(V$26,2))),""yyyy-MM-dd"")),0)),""""),selectedDate,DATE($P$3,MONTH(1&amp;$N$3"&amp;"),VALUE(LEFT(V$26,2))),IF(logStatus&lt;&gt;"""",UPPER(logStatus),IF(selectedDate&gt;TODAY(),""-"",IF(REGEXMATCH(V$26,""SUN""),""WO"",IF(V$29&lt;&gt;"""",IF(VALUE(V$29)&gt;=9/24,""FD"",""HD""),""A"")))))))"),"-")</f>
        <v>-</v>
      </c>
      <c r="W30" s="43" t="str">
        <f>IFERROR(__xludf.DUMMYFUNCTION("IF($A25="""","""",IF(W$26="""","""",LET(logStatus,IFNA(INDEX(DATA_LOG!$E:$E,MATCH(1,(DATA_LOG!$A:$A=$A25)*(TEXT(DATA_LOG!$B:$B,""yyyy-MM-dd"")=TEXT(DATE($P$3,MONTH(1&amp;$N$3),VALUE(LEFT(W$26,2))),""yyyy-MM-dd"")),0)),""""),selectedDate,DATE($P$3,MONTH(1&amp;$N$3"&amp;"),VALUE(LEFT(W$26,2))),IF(logStatus&lt;&gt;"""",UPPER(logStatus),IF(selectedDate&gt;TODAY(),""-"",IF(REGEXMATCH(W$26,""SUN""),""WO"",IF(W$29&lt;&gt;"""",IF(VALUE(W$29)&gt;=9/24,""FD"",""HD""),""A"")))))))"),"-")</f>
        <v>-</v>
      </c>
      <c r="X30" s="43" t="str">
        <f>IFERROR(__xludf.DUMMYFUNCTION("IF($A25="""","""",IF(X$26="""","""",LET(logStatus,IFNA(INDEX(DATA_LOG!$E:$E,MATCH(1,(DATA_LOG!$A:$A=$A25)*(TEXT(DATA_LOG!$B:$B,""yyyy-MM-dd"")=TEXT(DATE($P$3,MONTH(1&amp;$N$3),VALUE(LEFT(X$26,2))),""yyyy-MM-dd"")),0)),""""),selectedDate,DATE($P$3,MONTH(1&amp;$N$3"&amp;"),VALUE(LEFT(X$26,2))),IF(logStatus&lt;&gt;"""",UPPER(logStatus),IF(selectedDate&gt;TODAY(),""-"",IF(REGEXMATCH(X$26,""SUN""),""WO"",IF(X$29&lt;&gt;"""",IF(VALUE(X$29)&gt;=9/24,""FD"",""HD""),""A"")))))))"),"-")</f>
        <v>-</v>
      </c>
      <c r="Y30" s="43" t="str">
        <f>IFERROR(__xludf.DUMMYFUNCTION("IF($A25="""","""",IF(Y$26="""","""",LET(logStatus,IFNA(INDEX(DATA_LOG!$E:$E,MATCH(1,(DATA_LOG!$A:$A=$A25)*(TEXT(DATA_LOG!$B:$B,""yyyy-MM-dd"")=TEXT(DATE($P$3,MONTH(1&amp;$N$3),VALUE(LEFT(Y$26,2))),""yyyy-MM-dd"")),0)),""""),selectedDate,DATE($P$3,MONTH(1&amp;$N$3"&amp;"),VALUE(LEFT(Y$26,2))),IF(logStatus&lt;&gt;"""",UPPER(logStatus),IF(selectedDate&gt;TODAY(),""-"",IF(REGEXMATCH(Y$26,""SUN""),""WO"",IF(Y$29&lt;&gt;"""",IF(VALUE(Y$29)&gt;=9/24,""FD"",""HD""),""A"")))))))"),"-")</f>
        <v>-</v>
      </c>
      <c r="Z30" s="43" t="str">
        <f>IFERROR(__xludf.DUMMYFUNCTION("IF($A25="""","""",IF(Z$26="""","""",LET(logStatus,IFNA(INDEX(DATA_LOG!$E:$E,MATCH(1,(DATA_LOG!$A:$A=$A25)*(TEXT(DATA_LOG!$B:$B,""yyyy-MM-dd"")=TEXT(DATE($P$3,MONTH(1&amp;$N$3),VALUE(LEFT(Z$26,2))),""yyyy-MM-dd"")),0)),""""),selectedDate,DATE($P$3,MONTH(1&amp;$N$3"&amp;"),VALUE(LEFT(Z$26,2))),IF(logStatus&lt;&gt;"""",UPPER(logStatus),IF(selectedDate&gt;TODAY(),""-"",IF(REGEXMATCH(Z$26,""SUN""),""WO"",IF(Z$29&lt;&gt;"""",IF(VALUE(Z$29)&gt;=9/24,""FD"",""HD""),""A"")))))))"),"-")</f>
        <v>-</v>
      </c>
      <c r="AA30" s="43" t="str">
        <f>IFERROR(__xludf.DUMMYFUNCTION("IF($A25="""","""",IF(AA$26="""","""",LET(logStatus,IFNA(INDEX(DATA_LOG!$E:$E,MATCH(1,(DATA_LOG!$A:$A=$A25)*(TEXT(DATA_LOG!$B:$B,""yyyy-MM-dd"")=TEXT(DATE($P$3,MONTH(1&amp;$N$3),VALUE(LEFT(AA$26,2))),""yyyy-MM-dd"")),0)),""""),selectedDate,DATE($P$3,MONTH(1&amp;$N"&amp;"$3),VALUE(LEFT(AA$26,2))),IF(logStatus&lt;&gt;"""",UPPER(logStatus),IF(selectedDate&gt;TODAY(),""-"",IF(REGEXMATCH(AA$26,""SUN""),""WO"",IF(AA$29&lt;&gt;"""",IF(VALUE(AA$29)&gt;=9/24,""FD"",""HD""),""A"")))))))"),"-")</f>
        <v>-</v>
      </c>
      <c r="AB30" s="43" t="str">
        <f>IFERROR(__xludf.DUMMYFUNCTION("IF($A25="""","""",IF(AB$26="""","""",LET(logStatus,IFNA(INDEX(DATA_LOG!$E:$E,MATCH(1,(DATA_LOG!$A:$A=$A25)*(TEXT(DATA_LOG!$B:$B,""yyyy-MM-dd"")=TEXT(DATE($P$3,MONTH(1&amp;$N$3),VALUE(LEFT(AB$26,2))),""yyyy-MM-dd"")),0)),""""),selectedDate,DATE($P$3,MONTH(1&amp;$N"&amp;"$3),VALUE(LEFT(AB$26,2))),IF(logStatus&lt;&gt;"""",UPPER(logStatus),IF(selectedDate&gt;TODAY(),""-"",IF(REGEXMATCH(AB$26,""SUN""),""WO"",IF(AB$29&lt;&gt;"""",IF(VALUE(AB$29)&gt;=9/24,""FD"",""HD""),""A"")))))))"),"-")</f>
        <v>-</v>
      </c>
      <c r="AC30" s="43" t="str">
        <f>IFERROR(__xludf.DUMMYFUNCTION("IF($A25="""","""",IF(AC$26="""","""",LET(logStatus,IFNA(INDEX(DATA_LOG!$E:$E,MATCH(1,(DATA_LOG!$A:$A=$A25)*(TEXT(DATA_LOG!$B:$B,""yyyy-MM-dd"")=TEXT(DATE($P$3,MONTH(1&amp;$N$3),VALUE(LEFT(AC$26,2))),""yyyy-MM-dd"")),0)),""""),selectedDate,DATE($P$3,MONTH(1&amp;$N"&amp;"$3),VALUE(LEFT(AC$26,2))),IF(logStatus&lt;&gt;"""",UPPER(logStatus),IF(selectedDate&gt;TODAY(),""-"",IF(REGEXMATCH(AC$26,""SUN""),""WO"",IF(AC$29&lt;&gt;"""",IF(VALUE(AC$29)&gt;=9/24,""FD"",""HD""),""A"")))))))"),"-")</f>
        <v>-</v>
      </c>
      <c r="AD30" s="43" t="str">
        <f>IFERROR(__xludf.DUMMYFUNCTION("IF($A25="""","""",IF(AD$26="""","""",LET(logStatus,IFNA(INDEX(DATA_LOG!$E:$E,MATCH(1,(DATA_LOG!$A:$A=$A25)*(TEXT(DATA_LOG!$B:$B,""yyyy-MM-dd"")=TEXT(DATE($P$3,MONTH(1&amp;$N$3),VALUE(LEFT(AD$26,2))),""yyyy-MM-dd"")),0)),""""),selectedDate,DATE($P$3,MONTH(1&amp;$N"&amp;"$3),VALUE(LEFT(AD$26,2))),IF(logStatus&lt;&gt;"""",UPPER(logStatus),IF(selectedDate&gt;TODAY(),""-"",IF(REGEXMATCH(AD$26,""SUN""),""WO"",IF(AD$29&lt;&gt;"""",IF(VALUE(AD$29)&gt;=9/24,""FD"",""HD""),""A"")))))))"),"-")</f>
        <v>-</v>
      </c>
      <c r="AE30" s="43" t="str">
        <f>IFERROR(__xludf.DUMMYFUNCTION("IF($A25="""","""",IF(AE$26="""","""",LET(logStatus,IFNA(INDEX(DATA_LOG!$E:$E,MATCH(1,(DATA_LOG!$A:$A=$A25)*(TEXT(DATA_LOG!$B:$B,""yyyy-MM-dd"")=TEXT(DATE($P$3,MONTH(1&amp;$N$3),VALUE(LEFT(AE$26,2))),""yyyy-MM-dd"")),0)),""""),selectedDate,DATE($P$3,MONTH(1&amp;$N"&amp;"$3),VALUE(LEFT(AE$26,2))),IF(logStatus&lt;&gt;"""",UPPER(logStatus),IF(selectedDate&gt;TODAY(),""-"",IF(REGEXMATCH(AE$26,""SUN""),""WO"",IF(AE$29&lt;&gt;"""",IF(VALUE(AE$29)&gt;=9/24,""FD"",""HD""),""A"")))))))"),"-")</f>
        <v>-</v>
      </c>
      <c r="AF30" s="43" t="str">
        <f>IFERROR(__xludf.DUMMYFUNCTION("IF($A25="""","""",IF(AF$26="""","""",LET(logStatus,IFNA(INDEX(DATA_LOG!$E:$E,MATCH(1,(DATA_LOG!$A:$A=$A25)*(TEXT(DATA_LOG!$B:$B,""yyyy-MM-dd"")=TEXT(DATE($P$3,MONTH(1&amp;$N$3),VALUE(LEFT(AF$26,2))),""yyyy-MM-dd"")),0)),""""),selectedDate,DATE($P$3,MONTH(1&amp;$N"&amp;"$3),VALUE(LEFT(AF$26,2))),IF(logStatus&lt;&gt;"""",UPPER(logStatus),IF(selectedDate&gt;TODAY(),""-"",IF(REGEXMATCH(AF$26,""SUN""),""WO"",IF(AF$29&lt;&gt;"""",IF(VALUE(AF$29)&gt;=9/24,""FD"",""HD""),""A"")))))))"),"")</f>
        <v/>
      </c>
    </row>
    <row r="31">
      <c r="A31" s="44"/>
    </row>
    <row r="32">
      <c r="A32" s="25" t="str">
        <f t="array" ref="A32">INDEX(EMPLOYEE_LIST!$A:$A,INT((ROW()-4)/7)+2)</f>
        <v>BIBEK MUNDA</v>
      </c>
      <c r="B32" s="26"/>
      <c r="C32" s="27"/>
      <c r="D32" s="28" t="str">
        <f>IF(A32="", "", IFERROR(VLOOKUP(A32, EMPLOYEE_LIST!$A:$H, 2, FALSE), ""))</f>
        <v>AYV-85</v>
      </c>
      <c r="E32" s="26"/>
      <c r="F32" s="26"/>
      <c r="G32" s="27"/>
      <c r="H32" s="29" t="str">
        <f>IF(A32="", "", IFERROR(VLOOKUP(A32, EMPLOYEE_LIST!$A:$H, 3, FALSE), ""))</f>
        <v>SUPERVISOR</v>
      </c>
      <c r="I32" s="26"/>
      <c r="J32" s="26"/>
      <c r="K32" s="27"/>
      <c r="L32" s="29" t="str">
        <f>IF(A32="", "", IFERROR(VLOOKUP(A32, EMPLOYEE_LIST!$A:$H, 4, FALSE), ""))</f>
        <v>SUPERVISOR</v>
      </c>
      <c r="M32" s="26"/>
      <c r="N32" s="26"/>
      <c r="O32" s="27"/>
      <c r="P32" s="30" t="str">
        <f>IF($A32="", "", "Full Day: " &amp; COUNTIF(B37:AF37, "FD"))</f>
        <v>Full Day: 0</v>
      </c>
      <c r="Q32" s="26"/>
      <c r="R32" s="27"/>
      <c r="S32" s="31" t="str">
        <f>IF($A32="", "", "HALF Day: " &amp; COUNTIF(B37:AF37, "HD"))</f>
        <v>HALF Day: 0</v>
      </c>
      <c r="T32" s="26"/>
      <c r="U32" s="27"/>
      <c r="V32" s="31" t="str">
        <f>IF($A32="", "", "ABSENT: " &amp; COUNTIF(B37:AF37, "A"))</f>
        <v>ABSENT: 10</v>
      </c>
      <c r="W32" s="26"/>
      <c r="X32" s="27"/>
      <c r="Y32" s="31" t="str">
        <f>IF($A32="", "", "WEEK OFF: " &amp; COUNTIF(B37:AF37, "WO"))</f>
        <v>WEEK OFF: 1</v>
      </c>
      <c r="Z32" s="26"/>
      <c r="AA32" s="27"/>
      <c r="AB32" s="31" t="str">
        <f>IF($A32="", "", "LEAVE: " &amp; COUNTIF(B37:AF37, "L"))</f>
        <v>LEAVE: 0</v>
      </c>
      <c r="AC32" s="27"/>
      <c r="AD32" s="31" t="str">
        <f>IF($A32="", "", "HOLIDAY: " &amp; COUNTIF(B37:AF37, "HL"))</f>
        <v>HOLIDAY: 0</v>
      </c>
      <c r="AE32" s="26"/>
      <c r="AF32" s="27"/>
    </row>
    <row r="33">
      <c r="A33" s="32" t="str">
        <f>IF($A32="", "", "DATE")</f>
        <v>DATE</v>
      </c>
      <c r="B33" s="33" t="str">
        <f t="array" ref="B33:AE33">IF($A32="","",LET(mNum,MONTH(1&amp;$N$3),start,DATE($P$3,mNum,1),days,DAY(EOMONTH(start,0)),MAP(SEQUENCE(1,days,0),LAMBDA(n,UPPER(TEXT(start+n,"dd (ddd)"))))))</f>
        <v>01 (TUE)</v>
      </c>
      <c r="C33" s="34" t="s">
        <v>89</v>
      </c>
      <c r="D33" s="34" t="s">
        <v>90</v>
      </c>
      <c r="E33" s="34" t="s">
        <v>91</v>
      </c>
      <c r="F33" s="34" t="s">
        <v>92</v>
      </c>
      <c r="G33" s="34" t="s">
        <v>93</v>
      </c>
      <c r="H33" s="34" t="s">
        <v>94</v>
      </c>
      <c r="I33" s="34" t="s">
        <v>95</v>
      </c>
      <c r="J33" s="34" t="s">
        <v>96</v>
      </c>
      <c r="K33" s="34" t="s">
        <v>97</v>
      </c>
      <c r="L33" s="34" t="s">
        <v>98</v>
      </c>
      <c r="M33" s="34" t="s">
        <v>99</v>
      </c>
      <c r="N33" s="34" t="s">
        <v>100</v>
      </c>
      <c r="O33" s="34" t="s">
        <v>101</v>
      </c>
      <c r="P33" s="34" t="s">
        <v>102</v>
      </c>
      <c r="Q33" s="34" t="s">
        <v>103</v>
      </c>
      <c r="R33" s="34" t="s">
        <v>104</v>
      </c>
      <c r="S33" s="34" t="s">
        <v>105</v>
      </c>
      <c r="T33" s="34" t="s">
        <v>106</v>
      </c>
      <c r="U33" s="34" t="s">
        <v>107</v>
      </c>
      <c r="V33" s="34" t="s">
        <v>108</v>
      </c>
      <c r="W33" s="34" t="s">
        <v>109</v>
      </c>
      <c r="X33" s="34" t="s">
        <v>110</v>
      </c>
      <c r="Y33" s="34" t="s">
        <v>111</v>
      </c>
      <c r="Z33" s="34" t="s">
        <v>112</v>
      </c>
      <c r="AA33" s="34" t="s">
        <v>113</v>
      </c>
      <c r="AB33" s="34" t="s">
        <v>114</v>
      </c>
      <c r="AC33" s="34" t="s">
        <v>115</v>
      </c>
      <c r="AD33" s="34" t="s">
        <v>116</v>
      </c>
      <c r="AE33" s="34" t="s">
        <v>117</v>
      </c>
      <c r="AF33" s="34"/>
    </row>
    <row r="34">
      <c r="A34" s="37" t="str">
        <f>IF($A32="", "", "IN")</f>
        <v>IN</v>
      </c>
      <c r="B34" s="38" t="str">
        <f t="array" ref="B34">IF(OR($A32="",B$33=""),"",IFNA(INDEX(DATA_LOG!$C:$C,MATCH(1,(DATA_LOG!$A:$A=$A32)*(TEXT(DATA_LOG!$B:$B,"yyyy-MM-dd")=TEXT(DATE($P$3,MONTH(1&amp;$N$3),VALUE(LEFT(B$33,2))),"yyyy-MM-dd")),0)),""))</f>
        <v/>
      </c>
      <c r="C34" s="39" t="str">
        <f t="array" ref="C34">IF(OR($A32="",C$5=""),"",IFNA(INDEX(DATA_LOG!$C:$C,MATCH(1,(DATA_LOG!$A:$A=$A32)*(TEXT(DATA_LOG!$B:$B,"yyyy-MM-dd")=TEXT(DATE($P$3,MONTH(1&amp;$N$3),VALUE(LEFT(C$5,2))),"yyyy-MM-dd")),0)),""))</f>
        <v/>
      </c>
      <c r="D34" s="39" t="str">
        <f t="array" ref="D34">IF(OR($A32="",D$5=""),"",IFNA(INDEX(DATA_LOG!$C:$C,MATCH(1,(DATA_LOG!$A:$A=$A32)*(TEXT(DATA_LOG!$B:$B,"yyyy-MM-dd")=TEXT(DATE($P$3,MONTH(1&amp;$N$3),VALUE(LEFT(D$5,2))),"yyyy-MM-dd")),0)),""))</f>
        <v/>
      </c>
      <c r="E34" s="39" t="str">
        <f t="array" ref="E34">IF(OR($A32="",E$5=""),"",IFNA(INDEX(DATA_LOG!$C:$C,MATCH(1,(DATA_LOG!$A:$A=$A32)*(TEXT(DATA_LOG!$B:$B,"yyyy-MM-dd")=TEXT(DATE($P$3,MONTH(1&amp;$N$3),VALUE(LEFT(E$5,2))),"yyyy-MM-dd")),0)),""))</f>
        <v/>
      </c>
      <c r="F34" s="39" t="str">
        <f t="array" ref="F34">IF(OR($A32="",F$5=""),"",IFNA(INDEX(DATA_LOG!$C:$C,MATCH(1,(DATA_LOG!$A:$A=$A32)*(TEXT(DATA_LOG!$B:$B,"yyyy-MM-dd")=TEXT(DATE($P$3,MONTH(1&amp;$N$3),VALUE(LEFT(F$5,2))),"yyyy-MM-dd")),0)),""))</f>
        <v/>
      </c>
      <c r="G34" s="39" t="str">
        <f t="array" ref="G34">IF(OR($A32="",G$5=""),"",IFNA(INDEX(DATA_LOG!$C:$C,MATCH(1,(DATA_LOG!$A:$A=$A32)*(TEXT(DATA_LOG!$B:$B,"yyyy-MM-dd")=TEXT(DATE($P$3,MONTH(1&amp;$N$3),VALUE(LEFT(G$5,2))),"yyyy-MM-dd")),0)),""))</f>
        <v/>
      </c>
      <c r="H34" s="39" t="str">
        <f t="array" ref="H34">IF(OR($A32="",H$5=""),"",IFNA(INDEX(DATA_LOG!$C:$C,MATCH(1,(DATA_LOG!$A:$A=$A32)*(TEXT(DATA_LOG!$B:$B,"yyyy-MM-dd")=TEXT(DATE($P$3,MONTH(1&amp;$N$3),VALUE(LEFT(H$5,2))),"yyyy-MM-dd")),0)),""))</f>
        <v/>
      </c>
      <c r="I34" s="39" t="str">
        <f t="array" ref="I34">IF(OR($A32="",I$5=""),"",IFNA(INDEX(DATA_LOG!$C:$C,MATCH(1,(DATA_LOG!$A:$A=$A32)*(TEXT(DATA_LOG!$B:$B,"yyyy-MM-dd")=TEXT(DATE($P$3,MONTH(1&amp;$N$3),VALUE(LEFT(I$5,2))),"yyyy-MM-dd")),0)),""))</f>
        <v/>
      </c>
      <c r="J34" s="39" t="str">
        <f t="array" ref="J34">IF(OR($A32="",J$5=""),"",IFNA(INDEX(DATA_LOG!$C:$C,MATCH(1,(DATA_LOG!$A:$A=$A32)*(TEXT(DATA_LOG!$B:$B,"yyyy-MM-dd")=TEXT(DATE($P$3,MONTH(1&amp;$N$3),VALUE(LEFT(J$5,2))),"yyyy-MM-dd")),0)),""))</f>
        <v/>
      </c>
      <c r="K34" s="39" t="str">
        <f t="array" ref="K34">IF(OR($A32="",K$5=""),"",IFNA(INDEX(DATA_LOG!$C:$C,MATCH(1,(DATA_LOG!$A:$A=$A32)*(TEXT(DATA_LOG!$B:$B,"yyyy-MM-dd")=TEXT(DATE($P$3,MONTH(1&amp;$N$3),VALUE(LEFT(K$5,2))),"yyyy-MM-dd")),0)),""))</f>
        <v/>
      </c>
      <c r="L34" s="39" t="str">
        <f t="array" ref="L34">IF(OR($A32="",L$5=""),"",IFNA(INDEX(DATA_LOG!$C:$C,MATCH(1,(DATA_LOG!$A:$A=$A32)*(TEXT(DATA_LOG!$B:$B,"yyyy-MM-dd")=TEXT(DATE($P$3,MONTH(1&amp;$N$3),VALUE(LEFT(L$5,2))),"yyyy-MM-dd")),0)),""))</f>
        <v/>
      </c>
      <c r="M34" s="39" t="str">
        <f t="array" ref="M34">IF(OR($A32="",M$5=""),"",IFNA(INDEX(DATA_LOG!$C:$C,MATCH(1,(DATA_LOG!$A:$A=$A32)*(TEXT(DATA_LOG!$B:$B,"yyyy-MM-dd")=TEXT(DATE($P$3,MONTH(1&amp;$N$3),VALUE(LEFT(M$5,2))),"yyyy-MM-dd")),0)),""))</f>
        <v/>
      </c>
      <c r="N34" s="39" t="str">
        <f t="array" ref="N34">IF(OR($A32="",N$5=""),"",IFNA(INDEX(DATA_LOG!$C:$C,MATCH(1,(DATA_LOG!$A:$A=$A32)*(TEXT(DATA_LOG!$B:$B,"yyyy-MM-dd")=TEXT(DATE($P$3,MONTH(1&amp;$N$3),VALUE(LEFT(N$5,2))),"yyyy-MM-dd")),0)),""))</f>
        <v/>
      </c>
      <c r="O34" s="39" t="str">
        <f t="array" ref="O34">IF(OR($A32="",O$5=""),"",IFNA(INDEX(DATA_LOG!$C:$C,MATCH(1,(DATA_LOG!$A:$A=$A32)*(TEXT(DATA_LOG!$B:$B,"yyyy-MM-dd")=TEXT(DATE($P$3,MONTH(1&amp;$N$3),VALUE(LEFT(O$5,2))),"yyyy-MM-dd")),0)),""))</f>
        <v/>
      </c>
      <c r="P34" s="39" t="str">
        <f t="array" ref="P34">IF(OR($A32="",P$5=""),"",IFNA(INDEX(DATA_LOG!$C:$C,MATCH(1,(DATA_LOG!$A:$A=$A32)*(TEXT(DATA_LOG!$B:$B,"yyyy-MM-dd")=TEXT(DATE($P$3,MONTH(1&amp;$N$3),VALUE(LEFT(P$5,2))),"yyyy-MM-dd")),0)),""))</f>
        <v/>
      </c>
      <c r="Q34" s="39" t="str">
        <f t="array" ref="Q34">IF(OR($A32="",Q$5=""),"",IFNA(INDEX(DATA_LOG!$C:$C,MATCH(1,(DATA_LOG!$A:$A=$A32)*(TEXT(DATA_LOG!$B:$B,"yyyy-MM-dd")=TEXT(DATE($P$3,MONTH(1&amp;$N$3),VALUE(LEFT(Q$5,2))),"yyyy-MM-dd")),0)),""))</f>
        <v/>
      </c>
      <c r="R34" s="39" t="str">
        <f t="array" ref="R34">IF(OR($A32="",R$5=""),"",IFNA(INDEX(DATA_LOG!$C:$C,MATCH(1,(DATA_LOG!$A:$A=$A32)*(TEXT(DATA_LOG!$B:$B,"yyyy-MM-dd")=TEXT(DATE($P$3,MONTH(1&amp;$N$3),VALUE(LEFT(R$5,2))),"yyyy-MM-dd")),0)),""))</f>
        <v/>
      </c>
      <c r="S34" s="39" t="str">
        <f t="array" ref="S34">IF(OR($A32="",S$5=""),"",IFNA(INDEX(DATA_LOG!$C:$C,MATCH(1,(DATA_LOG!$A:$A=$A32)*(TEXT(DATA_LOG!$B:$B,"yyyy-MM-dd")=TEXT(DATE($P$3,MONTH(1&amp;$N$3),VALUE(LEFT(S$5,2))),"yyyy-MM-dd")),0)),""))</f>
        <v/>
      </c>
      <c r="T34" s="39" t="str">
        <f t="array" ref="T34">IF(OR($A32="",T$5=""),"",IFNA(INDEX(DATA_LOG!$C:$C,MATCH(1,(DATA_LOG!$A:$A=$A32)*(TEXT(DATA_LOG!$B:$B,"yyyy-MM-dd")=TEXT(DATE($P$3,MONTH(1&amp;$N$3),VALUE(LEFT(T$5,2))),"yyyy-MM-dd")),0)),""))</f>
        <v/>
      </c>
      <c r="U34" s="39" t="str">
        <f t="array" ref="U34">IF(OR($A32="",U$5=""),"",IFNA(INDEX(DATA_LOG!$C:$C,MATCH(1,(DATA_LOG!$A:$A=$A32)*(TEXT(DATA_LOG!$B:$B,"yyyy-MM-dd")=TEXT(DATE($P$3,MONTH(1&amp;$N$3),VALUE(LEFT(U$5,2))),"yyyy-MM-dd")),0)),""))</f>
        <v/>
      </c>
      <c r="V34" s="39" t="str">
        <f t="array" ref="V34">IF(OR($A32="",V$5=""),"",IFNA(INDEX(DATA_LOG!$C:$C,MATCH(1,(DATA_LOG!$A:$A=$A32)*(TEXT(DATA_LOG!$B:$B,"yyyy-MM-dd")=TEXT(DATE($P$3,MONTH(1&amp;$N$3),VALUE(LEFT(V$5,2))),"yyyy-MM-dd")),0)),""))</f>
        <v/>
      </c>
      <c r="W34" s="39" t="str">
        <f t="array" ref="W34">IF(OR($A32="",W$5=""),"",IFNA(INDEX(DATA_LOG!$C:$C,MATCH(1,(DATA_LOG!$A:$A=$A32)*(TEXT(DATA_LOG!$B:$B,"yyyy-MM-dd")=TEXT(DATE($P$3,MONTH(1&amp;$N$3),VALUE(LEFT(W$5,2))),"yyyy-MM-dd")),0)),""))</f>
        <v/>
      </c>
      <c r="X34" s="39" t="str">
        <f t="array" ref="X34">IF(OR($A32="",X$5=""),"",IFNA(INDEX(DATA_LOG!$C:$C,MATCH(1,(DATA_LOG!$A:$A=$A32)*(TEXT(DATA_LOG!$B:$B,"yyyy-MM-dd")=TEXT(DATE($P$3,MONTH(1&amp;$N$3),VALUE(LEFT(X$5,2))),"yyyy-MM-dd")),0)),""))</f>
        <v/>
      </c>
      <c r="Y34" s="39" t="str">
        <f t="array" ref="Y34">IF(OR($A32="",Y$5=""),"",IFNA(INDEX(DATA_LOG!$C:$C,MATCH(1,(DATA_LOG!$A:$A=$A32)*(TEXT(DATA_LOG!$B:$B,"yyyy-MM-dd")=TEXT(DATE($P$3,MONTH(1&amp;$N$3),VALUE(LEFT(Y$5,2))),"yyyy-MM-dd")),0)),""))</f>
        <v/>
      </c>
      <c r="Z34" s="39" t="str">
        <f t="array" ref="Z34">IF(OR($A32="",Z$5=""),"",IFNA(INDEX(DATA_LOG!$C:$C,MATCH(1,(DATA_LOG!$A:$A=$A32)*(TEXT(DATA_LOG!$B:$B,"yyyy-MM-dd")=TEXT(DATE($P$3,MONTH(1&amp;$N$3),VALUE(LEFT(Z$5,2))),"yyyy-MM-dd")),0)),""))</f>
        <v/>
      </c>
      <c r="AA34" s="39" t="str">
        <f t="array" ref="AA34">IF(OR($A32="",AA$5=""),"",IFNA(INDEX(DATA_LOG!$C:$C,MATCH(1,(DATA_LOG!$A:$A=$A32)*(TEXT(DATA_LOG!$B:$B,"yyyy-MM-dd")=TEXT(DATE($P$3,MONTH(1&amp;$N$3),VALUE(LEFT(AA$5,2))),"yyyy-MM-dd")),0)),""))</f>
        <v/>
      </c>
      <c r="AB34" s="39" t="str">
        <f t="array" ref="AB34">IF(OR($A32="",AB$5=""),"",IFNA(INDEX(DATA_LOG!$C:$C,MATCH(1,(DATA_LOG!$A:$A=$A32)*(TEXT(DATA_LOG!$B:$B,"yyyy-MM-dd")=TEXT(DATE($P$3,MONTH(1&amp;$N$3),VALUE(LEFT(AB$5,2))),"yyyy-MM-dd")),0)),""))</f>
        <v/>
      </c>
      <c r="AC34" s="39" t="str">
        <f t="array" ref="AC34">IF(OR($A32="",AC$5=""),"",IFNA(INDEX(DATA_LOG!$C:$C,MATCH(1,(DATA_LOG!$A:$A=$A32)*(TEXT(DATA_LOG!$B:$B,"yyyy-MM-dd")=TEXT(DATE($P$3,MONTH(1&amp;$N$3),VALUE(LEFT(AC$5,2))),"yyyy-MM-dd")),0)),""))</f>
        <v/>
      </c>
      <c r="AD34" s="39" t="str">
        <f t="array" ref="AD34">IF(OR($A32="",AD$5=""),"",IFNA(INDEX(DATA_LOG!$C:$C,MATCH(1,(DATA_LOG!$A:$A=$A32)*(TEXT(DATA_LOG!$B:$B,"yyyy-MM-dd")=TEXT(DATE($P$3,MONTH(1&amp;$N$3),VALUE(LEFT(AD$5,2))),"yyyy-MM-dd")),0)),""))</f>
        <v/>
      </c>
      <c r="AE34" s="39" t="str">
        <f t="array" ref="AE34">IF(OR($A32="",AE$5=""),"",IFNA(INDEX(DATA_LOG!$C:$C,MATCH(1,(DATA_LOG!$A:$A=$A32)*(TEXT(DATA_LOG!$B:$B,"yyyy-MM-dd")=TEXT(DATE($P$3,MONTH(1&amp;$N$3),VALUE(LEFT(AE$5,2))),"yyyy-MM-dd")),0)),""))</f>
        <v/>
      </c>
      <c r="AF34" s="39" t="str">
        <f t="array" ref="AF34">IF(OR($A32="",AF$5=""),"",IFNA(INDEX(DATA_LOG!$C:$C,MATCH(1,(DATA_LOG!$A:$A=$A32)*(TEXT(DATA_LOG!$B:$B,"yyyy-MM-dd")=TEXT(DATE($P$3,MONTH(1&amp;$N$3),VALUE(LEFT(AF$5,2))),"yyyy-MM-dd")),0)),""))</f>
        <v/>
      </c>
    </row>
    <row r="35">
      <c r="A35" s="37" t="str">
        <f>IF($A32="", "", "OUT")</f>
        <v>OUT</v>
      </c>
      <c r="B35" s="39" t="str">
        <f t="array" ref="B35">IF(OR($A32="",B$5=""),"",IFNA(INDEX(DATA_LOG!$D:$D,MATCH(1,(DATA_LOG!$A:$A=$A32)*(TEXT(DATA_LOG!$B:$B,"yyyy-MM-dd")=TEXT(DATE($P$3,MONTH(1&amp;$N$3),VALUE(LEFT(B$5,2))),"yyyy-MM-dd")),0)),""))</f>
        <v/>
      </c>
      <c r="C35" s="39" t="str">
        <f t="array" ref="C35">IF(OR($A32="",C$5=""),"",IFNA(INDEX(DATA_LOG!$D:$D,MATCH(1,(DATA_LOG!$A:$A=$A32)*(TEXT(DATA_LOG!$B:$B,"yyyy-MM-dd")=TEXT(DATE($P$3,MONTH(1&amp;$N$3),VALUE(LEFT(C$5,2))),"yyyy-MM-dd")),0)),""))</f>
        <v/>
      </c>
      <c r="D35" s="39" t="str">
        <f t="array" ref="D35">IF(OR($A32="",D$5=""),"",IFNA(INDEX(DATA_LOG!$D:$D,MATCH(1,(DATA_LOG!$A:$A=$A32)*(TEXT(DATA_LOG!$B:$B,"yyyy-MM-dd")=TEXT(DATE($P$3,MONTH(1&amp;$N$3),VALUE(LEFT(D$5,2))),"yyyy-MM-dd")),0)),""))</f>
        <v/>
      </c>
      <c r="E35" s="39" t="str">
        <f t="array" ref="E35">IF(OR($A32="",E$5=""),"",IFNA(INDEX(DATA_LOG!$D:$D,MATCH(1,(DATA_LOG!$A:$A=$A32)*(TEXT(DATA_LOG!$B:$B,"yyyy-MM-dd")=TEXT(DATE($P$3,MONTH(1&amp;$N$3),VALUE(LEFT(E$5,2))),"yyyy-MM-dd")),0)),""))</f>
        <v/>
      </c>
      <c r="F35" s="39" t="str">
        <f t="array" ref="F35">IF(OR($A32="",F$5=""),"",IFNA(INDEX(DATA_LOG!$D:$D,MATCH(1,(DATA_LOG!$A:$A=$A32)*(TEXT(DATA_LOG!$B:$B,"yyyy-MM-dd")=TEXT(DATE($P$3,MONTH(1&amp;$N$3),VALUE(LEFT(F$5,2))),"yyyy-MM-dd")),0)),""))</f>
        <v/>
      </c>
      <c r="G35" s="39" t="str">
        <f t="array" ref="G35">IF(OR($A32="",G$5=""),"",IFNA(INDEX(DATA_LOG!$D:$D,MATCH(1,(DATA_LOG!$A:$A=$A32)*(TEXT(DATA_LOG!$B:$B,"yyyy-MM-dd")=TEXT(DATE($P$3,MONTH(1&amp;$N$3),VALUE(LEFT(G$5,2))),"yyyy-MM-dd")),0)),""))</f>
        <v/>
      </c>
      <c r="H35" s="39" t="str">
        <f t="array" ref="H35">IF(OR($A32="",H$5=""),"",IFNA(INDEX(DATA_LOG!$D:$D,MATCH(1,(DATA_LOG!$A:$A=$A32)*(TEXT(DATA_LOG!$B:$B,"yyyy-MM-dd")=TEXT(DATE($P$3,MONTH(1&amp;$N$3),VALUE(LEFT(H$5,2))),"yyyy-MM-dd")),0)),""))</f>
        <v/>
      </c>
      <c r="I35" s="39" t="str">
        <f t="array" ref="I35">IF(OR($A32="",I$5=""),"",IFNA(INDEX(DATA_LOG!$D:$D,MATCH(1,(DATA_LOG!$A:$A=$A32)*(TEXT(DATA_LOG!$B:$B,"yyyy-MM-dd")=TEXT(DATE($P$3,MONTH(1&amp;$N$3),VALUE(LEFT(I$5,2))),"yyyy-MM-dd")),0)),""))</f>
        <v/>
      </c>
      <c r="J35" s="39" t="str">
        <f t="array" ref="J35">IF(OR($A32="",J$5=""),"",IFNA(INDEX(DATA_LOG!$D:$D,MATCH(1,(DATA_LOG!$A:$A=$A32)*(TEXT(DATA_LOG!$B:$B,"yyyy-MM-dd")=TEXT(DATE($P$3,MONTH(1&amp;$N$3),VALUE(LEFT(J$5,2))),"yyyy-MM-dd")),0)),""))</f>
        <v/>
      </c>
      <c r="K35" s="39" t="str">
        <f t="array" ref="K35">IF(OR($A32="",K$5=""),"",IFNA(INDEX(DATA_LOG!$D:$D,MATCH(1,(DATA_LOG!$A:$A=$A32)*(TEXT(DATA_LOG!$B:$B,"yyyy-MM-dd")=TEXT(DATE($P$3,MONTH(1&amp;$N$3),VALUE(LEFT(K$5,2))),"yyyy-MM-dd")),0)),""))</f>
        <v/>
      </c>
      <c r="L35" s="39" t="str">
        <f t="array" ref="L35">IF(OR($A32="",L$5=""),"",IFNA(INDEX(DATA_LOG!$D:$D,MATCH(1,(DATA_LOG!$A:$A=$A32)*(TEXT(DATA_LOG!$B:$B,"yyyy-MM-dd")=TEXT(DATE($P$3,MONTH(1&amp;$N$3),VALUE(LEFT(L$5,2))),"yyyy-MM-dd")),0)),""))</f>
        <v/>
      </c>
      <c r="M35" s="39" t="str">
        <f t="array" ref="M35">IF(OR($A32="",M$5=""),"",IFNA(INDEX(DATA_LOG!$D:$D,MATCH(1,(DATA_LOG!$A:$A=$A32)*(TEXT(DATA_LOG!$B:$B,"yyyy-MM-dd")=TEXT(DATE($P$3,MONTH(1&amp;$N$3),VALUE(LEFT(M$5,2))),"yyyy-MM-dd")),0)),""))</f>
        <v/>
      </c>
      <c r="N35" s="39" t="str">
        <f t="array" ref="N35">IF(OR($A32="",N$5=""),"",IFNA(INDEX(DATA_LOG!$D:$D,MATCH(1,(DATA_LOG!$A:$A=$A32)*(TEXT(DATA_LOG!$B:$B,"yyyy-MM-dd")=TEXT(DATE($P$3,MONTH(1&amp;$N$3),VALUE(LEFT(N$5,2))),"yyyy-MM-dd")),0)),""))</f>
        <v/>
      </c>
      <c r="O35" s="39" t="str">
        <f t="array" ref="O35">IF(OR($A32="",O$5=""),"",IFNA(INDEX(DATA_LOG!$D:$D,MATCH(1,(DATA_LOG!$A:$A=$A32)*(TEXT(DATA_LOG!$B:$B,"yyyy-MM-dd")=TEXT(DATE($P$3,MONTH(1&amp;$N$3),VALUE(LEFT(O$5,2))),"yyyy-MM-dd")),0)),""))</f>
        <v/>
      </c>
      <c r="P35" s="39" t="str">
        <f t="array" ref="P35">IF(OR($A32="",P$5=""),"",IFNA(INDEX(DATA_LOG!$D:$D,MATCH(1,(DATA_LOG!$A:$A=$A32)*(TEXT(DATA_LOG!$B:$B,"yyyy-MM-dd")=TEXT(DATE($P$3,MONTH(1&amp;$N$3),VALUE(LEFT(P$5,2))),"yyyy-MM-dd")),0)),""))</f>
        <v/>
      </c>
      <c r="Q35" s="39" t="str">
        <f t="array" ref="Q35">IF(OR($A32="",Q$5=""),"",IFNA(INDEX(DATA_LOG!$D:$D,MATCH(1,(DATA_LOG!$A:$A=$A32)*(TEXT(DATA_LOG!$B:$B,"yyyy-MM-dd")=TEXT(DATE($P$3,MONTH(1&amp;$N$3),VALUE(LEFT(Q$5,2))),"yyyy-MM-dd")),0)),""))</f>
        <v/>
      </c>
      <c r="R35" s="39" t="str">
        <f t="array" ref="R35">IF(OR($A32="",R$5=""),"",IFNA(INDEX(DATA_LOG!$D:$D,MATCH(1,(DATA_LOG!$A:$A=$A32)*(TEXT(DATA_LOG!$B:$B,"yyyy-MM-dd")=TEXT(DATE($P$3,MONTH(1&amp;$N$3),VALUE(LEFT(R$5,2))),"yyyy-MM-dd")),0)),""))</f>
        <v/>
      </c>
      <c r="S35" s="39" t="str">
        <f t="array" ref="S35">IF(OR($A32="",S$5=""),"",IFNA(INDEX(DATA_LOG!$D:$D,MATCH(1,(DATA_LOG!$A:$A=$A32)*(TEXT(DATA_LOG!$B:$B,"yyyy-MM-dd")=TEXT(DATE($P$3,MONTH(1&amp;$N$3),VALUE(LEFT(S$5,2))),"yyyy-MM-dd")),0)),""))</f>
        <v/>
      </c>
      <c r="T35" s="39" t="str">
        <f t="array" ref="T35">IF(OR($A32="",T$5=""),"",IFNA(INDEX(DATA_LOG!$D:$D,MATCH(1,(DATA_LOG!$A:$A=$A32)*(TEXT(DATA_LOG!$B:$B,"yyyy-MM-dd")=TEXT(DATE($P$3,MONTH(1&amp;$N$3),VALUE(LEFT(T$5,2))),"yyyy-MM-dd")),0)),""))</f>
        <v/>
      </c>
      <c r="U35" s="39" t="str">
        <f t="array" ref="U35">IF(OR($A32="",U$5=""),"",IFNA(INDEX(DATA_LOG!$D:$D,MATCH(1,(DATA_LOG!$A:$A=$A32)*(TEXT(DATA_LOG!$B:$B,"yyyy-MM-dd")=TEXT(DATE($P$3,MONTH(1&amp;$N$3),VALUE(LEFT(U$5,2))),"yyyy-MM-dd")),0)),""))</f>
        <v/>
      </c>
      <c r="V35" s="39" t="str">
        <f t="array" ref="V35">IF(OR($A32="",V$5=""),"",IFNA(INDEX(DATA_LOG!$D:$D,MATCH(1,(DATA_LOG!$A:$A=$A32)*(TEXT(DATA_LOG!$B:$B,"yyyy-MM-dd")=TEXT(DATE($P$3,MONTH(1&amp;$N$3),VALUE(LEFT(V$5,2))),"yyyy-MM-dd")),0)),""))</f>
        <v/>
      </c>
      <c r="W35" s="39" t="str">
        <f t="array" ref="W35">IF(OR($A32="",W$5=""),"",IFNA(INDEX(DATA_LOG!$D:$D,MATCH(1,(DATA_LOG!$A:$A=$A32)*(TEXT(DATA_LOG!$B:$B,"yyyy-MM-dd")=TEXT(DATE($P$3,MONTH(1&amp;$N$3),VALUE(LEFT(W$5,2))),"yyyy-MM-dd")),0)),""))</f>
        <v/>
      </c>
      <c r="X35" s="39" t="str">
        <f t="array" ref="X35">IF(OR($A32="",X$5=""),"",IFNA(INDEX(DATA_LOG!$D:$D,MATCH(1,(DATA_LOG!$A:$A=$A32)*(TEXT(DATA_LOG!$B:$B,"yyyy-MM-dd")=TEXT(DATE($P$3,MONTH(1&amp;$N$3),VALUE(LEFT(X$5,2))),"yyyy-MM-dd")),0)),""))</f>
        <v/>
      </c>
      <c r="Y35" s="39" t="str">
        <f t="array" ref="Y35">IF(OR($A32="",Y$5=""),"",IFNA(INDEX(DATA_LOG!$D:$D,MATCH(1,(DATA_LOG!$A:$A=$A32)*(TEXT(DATA_LOG!$B:$B,"yyyy-MM-dd")=TEXT(DATE($P$3,MONTH(1&amp;$N$3),VALUE(LEFT(Y$5,2))),"yyyy-MM-dd")),0)),""))</f>
        <v/>
      </c>
      <c r="Z35" s="39" t="str">
        <f t="array" ref="Z35">IF(OR($A32="",Z$5=""),"",IFNA(INDEX(DATA_LOG!$D:$D,MATCH(1,(DATA_LOG!$A:$A=$A32)*(TEXT(DATA_LOG!$B:$B,"yyyy-MM-dd")=TEXT(DATE($P$3,MONTH(1&amp;$N$3),VALUE(LEFT(Z$5,2))),"yyyy-MM-dd")),0)),""))</f>
        <v/>
      </c>
      <c r="AA35" s="39" t="str">
        <f t="array" ref="AA35">IF(OR($A32="",AA$5=""),"",IFNA(INDEX(DATA_LOG!$D:$D,MATCH(1,(DATA_LOG!$A:$A=$A32)*(TEXT(DATA_LOG!$B:$B,"yyyy-MM-dd")=TEXT(DATE($P$3,MONTH(1&amp;$N$3),VALUE(LEFT(AA$5,2))),"yyyy-MM-dd")),0)),""))</f>
        <v/>
      </c>
      <c r="AB35" s="39" t="str">
        <f t="array" ref="AB35">IF(OR($A32="",AB$5=""),"",IFNA(INDEX(DATA_LOG!$D:$D,MATCH(1,(DATA_LOG!$A:$A=$A32)*(TEXT(DATA_LOG!$B:$B,"yyyy-MM-dd")=TEXT(DATE($P$3,MONTH(1&amp;$N$3),VALUE(LEFT(AB$5,2))),"yyyy-MM-dd")),0)),""))</f>
        <v/>
      </c>
      <c r="AC35" s="39" t="str">
        <f t="array" ref="AC35">IF(OR($A32="",AC$5=""),"",IFNA(INDEX(DATA_LOG!$D:$D,MATCH(1,(DATA_LOG!$A:$A=$A32)*(TEXT(DATA_LOG!$B:$B,"yyyy-MM-dd")=TEXT(DATE($P$3,MONTH(1&amp;$N$3),VALUE(LEFT(AC$5,2))),"yyyy-MM-dd")),0)),""))</f>
        <v/>
      </c>
      <c r="AD35" s="39" t="str">
        <f t="array" ref="AD35">IF(OR($A32="",AD$5=""),"",IFNA(INDEX(DATA_LOG!$D:$D,MATCH(1,(DATA_LOG!$A:$A=$A32)*(TEXT(DATA_LOG!$B:$B,"yyyy-MM-dd")=TEXT(DATE($P$3,MONTH(1&amp;$N$3),VALUE(LEFT(AD$5,2))),"yyyy-MM-dd")),0)),""))</f>
        <v/>
      </c>
      <c r="AE35" s="39" t="str">
        <f t="array" ref="AE35">IF(OR($A32="",AE$5=""),"",IFNA(INDEX(DATA_LOG!$D:$D,MATCH(1,(DATA_LOG!$A:$A=$A32)*(TEXT(DATA_LOG!$B:$B,"yyyy-MM-dd")=TEXT(DATE($P$3,MONTH(1&amp;$N$3),VALUE(LEFT(AE$5,2))),"yyyy-MM-dd")),0)),""))</f>
        <v/>
      </c>
      <c r="AF35" s="39" t="str">
        <f t="array" ref="AF35">IF(OR($A32="",AF$5=""),"",IFNA(INDEX(DATA_LOG!$D:$D,MATCH(1,(DATA_LOG!$A:$A=$A32)*(TEXT(DATA_LOG!$B:$B,"yyyy-MM-dd")=TEXT(DATE($P$3,MONTH(1&amp;$N$3),VALUE(LEFT(AF$5,2))),"yyyy-MM-dd")),0)),""))</f>
        <v/>
      </c>
    </row>
    <row r="36">
      <c r="A36" s="40" t="str">
        <f>IF($A32="", "", "TOTAL")</f>
        <v>TOTAL</v>
      </c>
      <c r="B36" s="41" t="str">
        <f t="shared" ref="B36:AF36" si="5">IF(OR(B34="",B35=""),"",B35-B34)</f>
        <v/>
      </c>
      <c r="C36" s="34" t="str">
        <f t="shared" si="5"/>
        <v/>
      </c>
      <c r="D36" s="34" t="str">
        <f t="shared" si="5"/>
        <v/>
      </c>
      <c r="E36" s="34" t="str">
        <f t="shared" si="5"/>
        <v/>
      </c>
      <c r="F36" s="34" t="str">
        <f t="shared" si="5"/>
        <v/>
      </c>
      <c r="G36" s="34" t="str">
        <f t="shared" si="5"/>
        <v/>
      </c>
      <c r="H36" s="34" t="str">
        <f t="shared" si="5"/>
        <v/>
      </c>
      <c r="I36" s="34" t="str">
        <f t="shared" si="5"/>
        <v/>
      </c>
      <c r="J36" s="34" t="str">
        <f t="shared" si="5"/>
        <v/>
      </c>
      <c r="K36" s="34" t="str">
        <f t="shared" si="5"/>
        <v/>
      </c>
      <c r="L36" s="34" t="str">
        <f t="shared" si="5"/>
        <v/>
      </c>
      <c r="M36" s="34" t="str">
        <f t="shared" si="5"/>
        <v/>
      </c>
      <c r="N36" s="34" t="str">
        <f t="shared" si="5"/>
        <v/>
      </c>
      <c r="O36" s="34" t="str">
        <f t="shared" si="5"/>
        <v/>
      </c>
      <c r="P36" s="34" t="str">
        <f t="shared" si="5"/>
        <v/>
      </c>
      <c r="Q36" s="34" t="str">
        <f t="shared" si="5"/>
        <v/>
      </c>
      <c r="R36" s="34" t="str">
        <f t="shared" si="5"/>
        <v/>
      </c>
      <c r="S36" s="34" t="str">
        <f t="shared" si="5"/>
        <v/>
      </c>
      <c r="T36" s="34" t="str">
        <f t="shared" si="5"/>
        <v/>
      </c>
      <c r="U36" s="34" t="str">
        <f t="shared" si="5"/>
        <v/>
      </c>
      <c r="V36" s="34" t="str">
        <f t="shared" si="5"/>
        <v/>
      </c>
      <c r="W36" s="34" t="str">
        <f t="shared" si="5"/>
        <v/>
      </c>
      <c r="X36" s="34" t="str">
        <f t="shared" si="5"/>
        <v/>
      </c>
      <c r="Y36" s="34" t="str">
        <f t="shared" si="5"/>
        <v/>
      </c>
      <c r="Z36" s="34" t="str">
        <f t="shared" si="5"/>
        <v/>
      </c>
      <c r="AA36" s="34" t="str">
        <f t="shared" si="5"/>
        <v/>
      </c>
      <c r="AB36" s="34" t="str">
        <f t="shared" si="5"/>
        <v/>
      </c>
      <c r="AC36" s="34" t="str">
        <f t="shared" si="5"/>
        <v/>
      </c>
      <c r="AD36" s="34" t="str">
        <f t="shared" si="5"/>
        <v/>
      </c>
      <c r="AE36" s="34" t="str">
        <f t="shared" si="5"/>
        <v/>
      </c>
      <c r="AF36" s="34" t="str">
        <f t="shared" si="5"/>
        <v/>
      </c>
    </row>
    <row r="37">
      <c r="A37" s="42" t="str">
        <f>IF($A32="", "", "STATUS")</f>
        <v>STATUS</v>
      </c>
      <c r="B37" s="43" t="str">
        <f>IFERROR(__xludf.DUMMYFUNCTION("IF($A32="""","""",IF(B$33="""","""",LET(logStatus,IFNA(INDEX(DATA_LOG!$E:$E,MATCH(1,(DATA_LOG!$A:$A=$A32)*(TEXT(DATA_LOG!$B:$B,""yyyy-MM-dd"")=TEXT(DATE($P$3,MONTH(1&amp;$N$3),VALUE(LEFT(B$33,2))),""yyyy-MM-dd"")),0)),""""),selectedDate,DATE($P$3,MONTH(1&amp;$N$3"&amp;"),VALUE(LEFT(B$33,2))),IF(logStatus&lt;&gt;"""",UPPER(logStatus),IF(selectedDate&gt;TODAY(),""-"",IF(REGEXMATCH(B$33,""SUN""),""WO"",IF(B$36&lt;&gt;"""",IF(VALUE(B$36)&gt;=9/24,""FD"",""HD""),""A"")))))))"),"A")</f>
        <v>A</v>
      </c>
      <c r="C37" s="43" t="str">
        <f>IFERROR(__xludf.DUMMYFUNCTION("IF($A32="""","""",IF(C$33="""","""",LET(logStatus,IFNA(INDEX(DATA_LOG!$E:$E,MATCH(1,(DATA_LOG!$A:$A=$A32)*(TEXT(DATA_LOG!$B:$B,""yyyy-MM-dd"")=TEXT(DATE($P$3,MONTH(1&amp;$N$3),VALUE(LEFT(C$33,2))),""yyyy-MM-dd"")),0)),""""),selectedDate,DATE($P$3,MONTH(1&amp;$N$3"&amp;"),VALUE(LEFT(C$33,2))),IF(logStatus&lt;&gt;"""",UPPER(logStatus),IF(selectedDate&gt;TODAY(),""-"",IF(REGEXMATCH(C$33,""SUN""),""WO"",IF(C$36&lt;&gt;"""",IF(VALUE(C$36)&gt;=9/24,""FD"",""HD""),""A"")))))))"),"A")</f>
        <v>A</v>
      </c>
      <c r="D37" s="43" t="str">
        <f>IFERROR(__xludf.DUMMYFUNCTION("IF($A32="""","""",IF(D$33="""","""",LET(logStatus,IFNA(INDEX(DATA_LOG!$E:$E,MATCH(1,(DATA_LOG!$A:$A=$A32)*(TEXT(DATA_LOG!$B:$B,""yyyy-MM-dd"")=TEXT(DATE($P$3,MONTH(1&amp;$N$3),VALUE(LEFT(D$33,2))),""yyyy-MM-dd"")),0)),""""),selectedDate,DATE($P$3,MONTH(1&amp;$N$3"&amp;"),VALUE(LEFT(D$33,2))),IF(logStatus&lt;&gt;"""",UPPER(logStatus),IF(selectedDate&gt;TODAY(),""-"",IF(REGEXMATCH(D$33,""SUN""),""WO"",IF(D$36&lt;&gt;"""",IF(VALUE(D$36)&gt;=9/24,""FD"",""HD""),""A"")))))))"),"A")</f>
        <v>A</v>
      </c>
      <c r="E37" s="43" t="str">
        <f>IFERROR(__xludf.DUMMYFUNCTION("IF($A32="""","""",IF(E$33="""","""",LET(logStatus,IFNA(INDEX(DATA_LOG!$E:$E,MATCH(1,(DATA_LOG!$A:$A=$A32)*(TEXT(DATA_LOG!$B:$B,""yyyy-MM-dd"")=TEXT(DATE($P$3,MONTH(1&amp;$N$3),VALUE(LEFT(E$33,2))),""yyyy-MM-dd"")),0)),""""),selectedDate,DATE($P$3,MONTH(1&amp;$N$3"&amp;"),VALUE(LEFT(E$33,2))),IF(logStatus&lt;&gt;"""",UPPER(logStatus),IF(selectedDate&gt;TODAY(),""-"",IF(REGEXMATCH(E$33,""SUN""),""WO"",IF(E$36&lt;&gt;"""",IF(VALUE(E$36)&gt;=9/24,""FD"",""HD""),""A"")))))))"),"A")</f>
        <v>A</v>
      </c>
      <c r="F37" s="43" t="str">
        <f>IFERROR(__xludf.DUMMYFUNCTION("IF($A32="""","""",IF(F$33="""","""",LET(logStatus,IFNA(INDEX(DATA_LOG!$E:$E,MATCH(1,(DATA_LOG!$A:$A=$A32)*(TEXT(DATA_LOG!$B:$B,""yyyy-MM-dd"")=TEXT(DATE($P$3,MONTH(1&amp;$N$3),VALUE(LEFT(F$33,2))),""yyyy-MM-dd"")),0)),""""),selectedDate,DATE($P$3,MONTH(1&amp;$N$3"&amp;"),VALUE(LEFT(F$33,2))),IF(logStatus&lt;&gt;"""",UPPER(logStatus),IF(selectedDate&gt;TODAY(),""-"",IF(REGEXMATCH(F$33,""SUN""),""WO"",IF(F$36&lt;&gt;"""",IF(VALUE(F$36)&gt;=9/24,""FD"",""HD""),""A"")))))))"),"A")</f>
        <v>A</v>
      </c>
      <c r="G37" s="43" t="str">
        <f>IFERROR(__xludf.DUMMYFUNCTION("IF($A32="""","""",IF(G$33="""","""",LET(logStatus,IFNA(INDEX(DATA_LOG!$E:$E,MATCH(1,(DATA_LOG!$A:$A=$A32)*(TEXT(DATA_LOG!$B:$B,""yyyy-MM-dd"")=TEXT(DATE($P$3,MONTH(1&amp;$N$3),VALUE(LEFT(G$33,2))),""yyyy-MM-dd"")),0)),""""),selectedDate,DATE($P$3,MONTH(1&amp;$N$3"&amp;"),VALUE(LEFT(G$33,2))),IF(logStatus&lt;&gt;"""",UPPER(logStatus),IF(selectedDate&gt;TODAY(),""-"",IF(REGEXMATCH(G$33,""SUN""),""WO"",IF(G$36&lt;&gt;"""",IF(VALUE(G$36)&gt;=9/24,""FD"",""HD""),""A"")))))))"),"WO")</f>
        <v>WO</v>
      </c>
      <c r="H37" s="43" t="str">
        <f>IFERROR(__xludf.DUMMYFUNCTION("IF($A32="""","""",IF(H$33="""","""",LET(logStatus,IFNA(INDEX(DATA_LOG!$E:$E,MATCH(1,(DATA_LOG!$A:$A=$A32)*(TEXT(DATA_LOG!$B:$B,""yyyy-MM-dd"")=TEXT(DATE($P$3,MONTH(1&amp;$N$3),VALUE(LEFT(H$33,2))),""yyyy-MM-dd"")),0)),""""),selectedDate,DATE($P$3,MONTH(1&amp;$N$3"&amp;"),VALUE(LEFT(H$33,2))),IF(logStatus&lt;&gt;"""",UPPER(logStatus),IF(selectedDate&gt;TODAY(),""-"",IF(REGEXMATCH(H$33,""SUN""),""WO"",IF(H$36&lt;&gt;"""",IF(VALUE(H$36)&gt;=9/24,""FD"",""HD""),""A"")))))))"),"A")</f>
        <v>A</v>
      </c>
      <c r="I37" s="43" t="str">
        <f>IFERROR(__xludf.DUMMYFUNCTION("IF($A32="""","""",IF(I$33="""","""",LET(logStatus,IFNA(INDEX(DATA_LOG!$E:$E,MATCH(1,(DATA_LOG!$A:$A=$A32)*(TEXT(DATA_LOG!$B:$B,""yyyy-MM-dd"")=TEXT(DATE($P$3,MONTH(1&amp;$N$3),VALUE(LEFT(I$33,2))),""yyyy-MM-dd"")),0)),""""),selectedDate,DATE($P$3,MONTH(1&amp;$N$3"&amp;"),VALUE(LEFT(I$33,2))),IF(logStatus&lt;&gt;"""",UPPER(logStatus),IF(selectedDate&gt;TODAY(),""-"",IF(REGEXMATCH(I$33,""SUN""),""WO"",IF(I$36&lt;&gt;"""",IF(VALUE(I$36)&gt;=9/24,""FD"",""HD""),""A"")))))))"),"A")</f>
        <v>A</v>
      </c>
      <c r="J37" s="43" t="str">
        <f>IFERROR(__xludf.DUMMYFUNCTION("IF($A32="""","""",IF(J$33="""","""",LET(logStatus,IFNA(INDEX(DATA_LOG!$E:$E,MATCH(1,(DATA_LOG!$A:$A=$A32)*(TEXT(DATA_LOG!$B:$B,""yyyy-MM-dd"")=TEXT(DATE($P$3,MONTH(1&amp;$N$3),VALUE(LEFT(J$33,2))),""yyyy-MM-dd"")),0)),""""),selectedDate,DATE($P$3,MONTH(1&amp;$N$3"&amp;"),VALUE(LEFT(J$33,2))),IF(logStatus&lt;&gt;"""",UPPER(logStatus),IF(selectedDate&gt;TODAY(),""-"",IF(REGEXMATCH(J$33,""SUN""),""WO"",IF(J$36&lt;&gt;"""",IF(VALUE(J$36)&gt;=9/24,""FD"",""HD""),""A"")))))))"),"A")</f>
        <v>A</v>
      </c>
      <c r="K37" s="43" t="str">
        <f>IFERROR(__xludf.DUMMYFUNCTION("IF($A32="""","""",IF(K$33="""","""",LET(logStatus,IFNA(INDEX(DATA_LOG!$E:$E,MATCH(1,(DATA_LOG!$A:$A=$A32)*(TEXT(DATA_LOG!$B:$B,""yyyy-MM-dd"")=TEXT(DATE($P$3,MONTH(1&amp;$N$3),VALUE(LEFT(K$33,2))),""yyyy-MM-dd"")),0)),""""),selectedDate,DATE($P$3,MONTH(1&amp;$N$3"&amp;"),VALUE(LEFT(K$33,2))),IF(logStatus&lt;&gt;"""",UPPER(logStatus),IF(selectedDate&gt;TODAY(),""-"",IF(REGEXMATCH(K$33,""SUN""),""WO"",IF(K$36&lt;&gt;"""",IF(VALUE(K$36)&gt;=9/24,""FD"",""HD""),""A"")))))))"),"A")</f>
        <v>A</v>
      </c>
      <c r="L37" s="43" t="str">
        <f>IFERROR(__xludf.DUMMYFUNCTION("IF($A32="""","""",IF(L$33="""","""",LET(logStatus,IFNA(INDEX(DATA_LOG!$E:$E,MATCH(1,(DATA_LOG!$A:$A=$A32)*(TEXT(DATA_LOG!$B:$B,""yyyy-MM-dd"")=TEXT(DATE($P$3,MONTH(1&amp;$N$3),VALUE(LEFT(L$33,2))),""yyyy-MM-dd"")),0)),""""),selectedDate,DATE($P$3,MONTH(1&amp;$N$3"&amp;"),VALUE(LEFT(L$33,2))),IF(logStatus&lt;&gt;"""",UPPER(logStatus),IF(selectedDate&gt;TODAY(),""-"",IF(REGEXMATCH(L$33,""SUN""),""WO"",IF(L$36&lt;&gt;"""",IF(VALUE(L$36)&gt;=9/24,""FD"",""HD""),""A"")))))))"),"A")</f>
        <v>A</v>
      </c>
      <c r="M37" s="43" t="str">
        <f>IFERROR(__xludf.DUMMYFUNCTION("IF($A32="""","""",IF(M$33="""","""",LET(logStatus,IFNA(INDEX(DATA_LOG!$E:$E,MATCH(1,(DATA_LOG!$A:$A=$A32)*(TEXT(DATA_LOG!$B:$B,""yyyy-MM-dd"")=TEXT(DATE($P$3,MONTH(1&amp;$N$3),VALUE(LEFT(M$33,2))),""yyyy-MM-dd"")),0)),""""),selectedDate,DATE($P$3,MONTH(1&amp;$N$3"&amp;"),VALUE(LEFT(M$33,2))),IF(logStatus&lt;&gt;"""",UPPER(logStatus),IF(selectedDate&gt;TODAY(),""-"",IF(REGEXMATCH(M$33,""SUN""),""WO"",IF(M$36&lt;&gt;"""",IF(VALUE(M$36)&gt;=9/24,""FD"",""HD""),""A"")))))))"),"-")</f>
        <v>-</v>
      </c>
      <c r="N37" s="43" t="str">
        <f>IFERROR(__xludf.DUMMYFUNCTION("IF($A32="""","""",IF(N$33="""","""",LET(logStatus,IFNA(INDEX(DATA_LOG!$E:$E,MATCH(1,(DATA_LOG!$A:$A=$A32)*(TEXT(DATA_LOG!$B:$B,""yyyy-MM-dd"")=TEXT(DATE($P$3,MONTH(1&amp;$N$3),VALUE(LEFT(N$33,2))),""yyyy-MM-dd"")),0)),""""),selectedDate,DATE($P$3,MONTH(1&amp;$N$3"&amp;"),VALUE(LEFT(N$33,2))),IF(logStatus&lt;&gt;"""",UPPER(logStatus),IF(selectedDate&gt;TODAY(),""-"",IF(REGEXMATCH(N$33,""SUN""),""WO"",IF(N$36&lt;&gt;"""",IF(VALUE(N$36)&gt;=9/24,""FD"",""HD""),""A"")))))))"),"-")</f>
        <v>-</v>
      </c>
      <c r="O37" s="43" t="str">
        <f>IFERROR(__xludf.DUMMYFUNCTION("IF($A32="""","""",IF(O$33="""","""",LET(logStatus,IFNA(INDEX(DATA_LOG!$E:$E,MATCH(1,(DATA_LOG!$A:$A=$A32)*(TEXT(DATA_LOG!$B:$B,""yyyy-MM-dd"")=TEXT(DATE($P$3,MONTH(1&amp;$N$3),VALUE(LEFT(O$33,2))),""yyyy-MM-dd"")),0)),""""),selectedDate,DATE($P$3,MONTH(1&amp;$N$3"&amp;"),VALUE(LEFT(O$33,2))),IF(logStatus&lt;&gt;"""",UPPER(logStatus),IF(selectedDate&gt;TODAY(),""-"",IF(REGEXMATCH(O$33,""SUN""),""WO"",IF(O$36&lt;&gt;"""",IF(VALUE(O$36)&gt;=9/24,""FD"",""HD""),""A"")))))))"),"-")</f>
        <v>-</v>
      </c>
      <c r="P37" s="43" t="str">
        <f>IFERROR(__xludf.DUMMYFUNCTION("IF($A32="""","""",IF(P$33="""","""",LET(logStatus,IFNA(INDEX(DATA_LOG!$E:$E,MATCH(1,(DATA_LOG!$A:$A=$A32)*(TEXT(DATA_LOG!$B:$B,""yyyy-MM-dd"")=TEXT(DATE($P$3,MONTH(1&amp;$N$3),VALUE(LEFT(P$33,2))),""yyyy-MM-dd"")),0)),""""),selectedDate,DATE($P$3,MONTH(1&amp;$N$3"&amp;"),VALUE(LEFT(P$33,2))),IF(logStatus&lt;&gt;"""",UPPER(logStatus),IF(selectedDate&gt;TODAY(),""-"",IF(REGEXMATCH(P$33,""SUN""),""WO"",IF(P$36&lt;&gt;"""",IF(VALUE(P$36)&gt;=9/24,""FD"",""HD""),""A"")))))))"),"-")</f>
        <v>-</v>
      </c>
      <c r="Q37" s="43" t="str">
        <f>IFERROR(__xludf.DUMMYFUNCTION("IF($A32="""","""",IF(Q$33="""","""",LET(logStatus,IFNA(INDEX(DATA_LOG!$E:$E,MATCH(1,(DATA_LOG!$A:$A=$A32)*(TEXT(DATA_LOG!$B:$B,""yyyy-MM-dd"")=TEXT(DATE($P$3,MONTH(1&amp;$N$3),VALUE(LEFT(Q$33,2))),""yyyy-MM-dd"")),0)),""""),selectedDate,DATE($P$3,MONTH(1&amp;$N$3"&amp;"),VALUE(LEFT(Q$33,2))),IF(logStatus&lt;&gt;"""",UPPER(logStatus),IF(selectedDate&gt;TODAY(),""-"",IF(REGEXMATCH(Q$33,""SUN""),""WO"",IF(Q$36&lt;&gt;"""",IF(VALUE(Q$36)&gt;=9/24,""FD"",""HD""),""A"")))))))"),"-")</f>
        <v>-</v>
      </c>
      <c r="R37" s="43" t="str">
        <f>IFERROR(__xludf.DUMMYFUNCTION("IF($A32="""","""",IF(R$33="""","""",LET(logStatus,IFNA(INDEX(DATA_LOG!$E:$E,MATCH(1,(DATA_LOG!$A:$A=$A32)*(TEXT(DATA_LOG!$B:$B,""yyyy-MM-dd"")=TEXT(DATE($P$3,MONTH(1&amp;$N$3),VALUE(LEFT(R$33,2))),""yyyy-MM-dd"")),0)),""""),selectedDate,DATE($P$3,MONTH(1&amp;$N$3"&amp;"),VALUE(LEFT(R$33,2))),IF(logStatus&lt;&gt;"""",UPPER(logStatus),IF(selectedDate&gt;TODAY(),""-"",IF(REGEXMATCH(R$33,""SUN""),""WO"",IF(R$36&lt;&gt;"""",IF(VALUE(R$36)&gt;=9/24,""FD"",""HD""),""A"")))))))"),"-")</f>
        <v>-</v>
      </c>
      <c r="S37" s="43" t="str">
        <f>IFERROR(__xludf.DUMMYFUNCTION("IF($A32="""","""",IF(S$33="""","""",LET(logStatus,IFNA(INDEX(DATA_LOG!$E:$E,MATCH(1,(DATA_LOG!$A:$A=$A32)*(TEXT(DATA_LOG!$B:$B,""yyyy-MM-dd"")=TEXT(DATE($P$3,MONTH(1&amp;$N$3),VALUE(LEFT(S$33,2))),""yyyy-MM-dd"")),0)),""""),selectedDate,DATE($P$3,MONTH(1&amp;$N$3"&amp;"),VALUE(LEFT(S$33,2))),IF(logStatus&lt;&gt;"""",UPPER(logStatus),IF(selectedDate&gt;TODAY(),""-"",IF(REGEXMATCH(S$33,""SUN""),""WO"",IF(S$36&lt;&gt;"""",IF(VALUE(S$36)&gt;=9/24,""FD"",""HD""),""A"")))))))"),"-")</f>
        <v>-</v>
      </c>
      <c r="T37" s="43" t="str">
        <f>IFERROR(__xludf.DUMMYFUNCTION("IF($A32="""","""",IF(T$33="""","""",LET(logStatus,IFNA(INDEX(DATA_LOG!$E:$E,MATCH(1,(DATA_LOG!$A:$A=$A32)*(TEXT(DATA_LOG!$B:$B,""yyyy-MM-dd"")=TEXT(DATE($P$3,MONTH(1&amp;$N$3),VALUE(LEFT(T$33,2))),""yyyy-MM-dd"")),0)),""""),selectedDate,DATE($P$3,MONTH(1&amp;$N$3"&amp;"),VALUE(LEFT(T$33,2))),IF(logStatus&lt;&gt;"""",UPPER(logStatus),IF(selectedDate&gt;TODAY(),""-"",IF(REGEXMATCH(T$33,""SUN""),""WO"",IF(T$36&lt;&gt;"""",IF(VALUE(T$36)&gt;=9/24,""FD"",""HD""),""A"")))))))"),"-")</f>
        <v>-</v>
      </c>
      <c r="U37" s="43" t="str">
        <f>IFERROR(__xludf.DUMMYFUNCTION("IF($A32="""","""",IF(U$33="""","""",LET(logStatus,IFNA(INDEX(DATA_LOG!$E:$E,MATCH(1,(DATA_LOG!$A:$A=$A32)*(TEXT(DATA_LOG!$B:$B,""yyyy-MM-dd"")=TEXT(DATE($P$3,MONTH(1&amp;$N$3),VALUE(LEFT(U$33,2))),""yyyy-MM-dd"")),0)),""""),selectedDate,DATE($P$3,MONTH(1&amp;$N$3"&amp;"),VALUE(LEFT(U$33,2))),IF(logStatus&lt;&gt;"""",UPPER(logStatus),IF(selectedDate&gt;TODAY(),""-"",IF(REGEXMATCH(U$33,""SUN""),""WO"",IF(U$36&lt;&gt;"""",IF(VALUE(U$36)&gt;=9/24,""FD"",""HD""),""A"")))))))"),"-")</f>
        <v>-</v>
      </c>
      <c r="V37" s="43" t="str">
        <f>IFERROR(__xludf.DUMMYFUNCTION("IF($A32="""","""",IF(V$33="""","""",LET(logStatus,IFNA(INDEX(DATA_LOG!$E:$E,MATCH(1,(DATA_LOG!$A:$A=$A32)*(TEXT(DATA_LOG!$B:$B,""yyyy-MM-dd"")=TEXT(DATE($P$3,MONTH(1&amp;$N$3),VALUE(LEFT(V$33,2))),""yyyy-MM-dd"")),0)),""""),selectedDate,DATE($P$3,MONTH(1&amp;$N$3"&amp;"),VALUE(LEFT(V$33,2))),IF(logStatus&lt;&gt;"""",UPPER(logStatus),IF(selectedDate&gt;TODAY(),""-"",IF(REGEXMATCH(V$33,""SUN""),""WO"",IF(V$36&lt;&gt;"""",IF(VALUE(V$36)&gt;=9/24,""FD"",""HD""),""A"")))))))"),"-")</f>
        <v>-</v>
      </c>
      <c r="W37" s="43" t="str">
        <f>IFERROR(__xludf.DUMMYFUNCTION("IF($A32="""","""",IF(W$33="""","""",LET(logStatus,IFNA(INDEX(DATA_LOG!$E:$E,MATCH(1,(DATA_LOG!$A:$A=$A32)*(TEXT(DATA_LOG!$B:$B,""yyyy-MM-dd"")=TEXT(DATE($P$3,MONTH(1&amp;$N$3),VALUE(LEFT(W$33,2))),""yyyy-MM-dd"")),0)),""""),selectedDate,DATE($P$3,MONTH(1&amp;$N$3"&amp;"),VALUE(LEFT(W$33,2))),IF(logStatus&lt;&gt;"""",UPPER(logStatus),IF(selectedDate&gt;TODAY(),""-"",IF(REGEXMATCH(W$33,""SUN""),""WO"",IF(W$36&lt;&gt;"""",IF(VALUE(W$36)&gt;=9/24,""FD"",""HD""),""A"")))))))"),"-")</f>
        <v>-</v>
      </c>
      <c r="X37" s="43" t="str">
        <f>IFERROR(__xludf.DUMMYFUNCTION("IF($A32="""","""",IF(X$33="""","""",LET(logStatus,IFNA(INDEX(DATA_LOG!$E:$E,MATCH(1,(DATA_LOG!$A:$A=$A32)*(TEXT(DATA_LOG!$B:$B,""yyyy-MM-dd"")=TEXT(DATE($P$3,MONTH(1&amp;$N$3),VALUE(LEFT(X$33,2))),""yyyy-MM-dd"")),0)),""""),selectedDate,DATE($P$3,MONTH(1&amp;$N$3"&amp;"),VALUE(LEFT(X$33,2))),IF(logStatus&lt;&gt;"""",UPPER(logStatus),IF(selectedDate&gt;TODAY(),""-"",IF(REGEXMATCH(X$33,""SUN""),""WO"",IF(X$36&lt;&gt;"""",IF(VALUE(X$36)&gt;=9/24,""FD"",""HD""),""A"")))))))"),"-")</f>
        <v>-</v>
      </c>
      <c r="Y37" s="43" t="str">
        <f>IFERROR(__xludf.DUMMYFUNCTION("IF($A32="""","""",IF(Y$33="""","""",LET(logStatus,IFNA(INDEX(DATA_LOG!$E:$E,MATCH(1,(DATA_LOG!$A:$A=$A32)*(TEXT(DATA_LOG!$B:$B,""yyyy-MM-dd"")=TEXT(DATE($P$3,MONTH(1&amp;$N$3),VALUE(LEFT(Y$33,2))),""yyyy-MM-dd"")),0)),""""),selectedDate,DATE($P$3,MONTH(1&amp;$N$3"&amp;"),VALUE(LEFT(Y$33,2))),IF(logStatus&lt;&gt;"""",UPPER(logStatus),IF(selectedDate&gt;TODAY(),""-"",IF(REGEXMATCH(Y$33,""SUN""),""WO"",IF(Y$36&lt;&gt;"""",IF(VALUE(Y$36)&gt;=9/24,""FD"",""HD""),""A"")))))))"),"-")</f>
        <v>-</v>
      </c>
      <c r="Z37" s="43" t="str">
        <f>IFERROR(__xludf.DUMMYFUNCTION("IF($A32="""","""",IF(Z$33="""","""",LET(logStatus,IFNA(INDEX(DATA_LOG!$E:$E,MATCH(1,(DATA_LOG!$A:$A=$A32)*(TEXT(DATA_LOG!$B:$B,""yyyy-MM-dd"")=TEXT(DATE($P$3,MONTH(1&amp;$N$3),VALUE(LEFT(Z$33,2))),""yyyy-MM-dd"")),0)),""""),selectedDate,DATE($P$3,MONTH(1&amp;$N$3"&amp;"),VALUE(LEFT(Z$33,2))),IF(logStatus&lt;&gt;"""",UPPER(logStatus),IF(selectedDate&gt;TODAY(),""-"",IF(REGEXMATCH(Z$33,""SUN""),""WO"",IF(Z$36&lt;&gt;"""",IF(VALUE(Z$36)&gt;=9/24,""FD"",""HD""),""A"")))))))"),"-")</f>
        <v>-</v>
      </c>
      <c r="AA37" s="43" t="str">
        <f>IFERROR(__xludf.DUMMYFUNCTION("IF($A32="""","""",IF(AA$33="""","""",LET(logStatus,IFNA(INDEX(DATA_LOG!$E:$E,MATCH(1,(DATA_LOG!$A:$A=$A32)*(TEXT(DATA_LOG!$B:$B,""yyyy-MM-dd"")=TEXT(DATE($P$3,MONTH(1&amp;$N$3),VALUE(LEFT(AA$33,2))),""yyyy-MM-dd"")),0)),""""),selectedDate,DATE($P$3,MONTH(1&amp;$N"&amp;"$3),VALUE(LEFT(AA$33,2))),IF(logStatus&lt;&gt;"""",UPPER(logStatus),IF(selectedDate&gt;TODAY(),""-"",IF(REGEXMATCH(AA$33,""SUN""),""WO"",IF(AA$36&lt;&gt;"""",IF(VALUE(AA$36)&gt;=9/24,""FD"",""HD""),""A"")))))))"),"-")</f>
        <v>-</v>
      </c>
      <c r="AB37" s="43" t="str">
        <f>IFERROR(__xludf.DUMMYFUNCTION("IF($A32="""","""",IF(AB$33="""","""",LET(logStatus,IFNA(INDEX(DATA_LOG!$E:$E,MATCH(1,(DATA_LOG!$A:$A=$A32)*(TEXT(DATA_LOG!$B:$B,""yyyy-MM-dd"")=TEXT(DATE($P$3,MONTH(1&amp;$N$3),VALUE(LEFT(AB$33,2))),""yyyy-MM-dd"")),0)),""""),selectedDate,DATE($P$3,MONTH(1&amp;$N"&amp;"$3),VALUE(LEFT(AB$33,2))),IF(logStatus&lt;&gt;"""",UPPER(logStatus),IF(selectedDate&gt;TODAY(),""-"",IF(REGEXMATCH(AB$33,""SUN""),""WO"",IF(AB$36&lt;&gt;"""",IF(VALUE(AB$36)&gt;=9/24,""FD"",""HD""),""A"")))))))"),"-")</f>
        <v>-</v>
      </c>
      <c r="AC37" s="43" t="str">
        <f>IFERROR(__xludf.DUMMYFUNCTION("IF($A32="""","""",IF(AC$33="""","""",LET(logStatus,IFNA(INDEX(DATA_LOG!$E:$E,MATCH(1,(DATA_LOG!$A:$A=$A32)*(TEXT(DATA_LOG!$B:$B,""yyyy-MM-dd"")=TEXT(DATE($P$3,MONTH(1&amp;$N$3),VALUE(LEFT(AC$33,2))),""yyyy-MM-dd"")),0)),""""),selectedDate,DATE($P$3,MONTH(1&amp;$N"&amp;"$3),VALUE(LEFT(AC$33,2))),IF(logStatus&lt;&gt;"""",UPPER(logStatus),IF(selectedDate&gt;TODAY(),""-"",IF(REGEXMATCH(AC$33,""SUN""),""WO"",IF(AC$36&lt;&gt;"""",IF(VALUE(AC$36)&gt;=9/24,""FD"",""HD""),""A"")))))))"),"-")</f>
        <v>-</v>
      </c>
      <c r="AD37" s="43" t="str">
        <f>IFERROR(__xludf.DUMMYFUNCTION("IF($A32="""","""",IF(AD$33="""","""",LET(logStatus,IFNA(INDEX(DATA_LOG!$E:$E,MATCH(1,(DATA_LOG!$A:$A=$A32)*(TEXT(DATA_LOG!$B:$B,""yyyy-MM-dd"")=TEXT(DATE($P$3,MONTH(1&amp;$N$3),VALUE(LEFT(AD$33,2))),""yyyy-MM-dd"")),0)),""""),selectedDate,DATE($P$3,MONTH(1&amp;$N"&amp;"$3),VALUE(LEFT(AD$33,2))),IF(logStatus&lt;&gt;"""",UPPER(logStatus),IF(selectedDate&gt;TODAY(),""-"",IF(REGEXMATCH(AD$33,""SUN""),""WO"",IF(AD$36&lt;&gt;"""",IF(VALUE(AD$36)&gt;=9/24,""FD"",""HD""),""A"")))))))"),"-")</f>
        <v>-</v>
      </c>
      <c r="AE37" s="43" t="str">
        <f>IFERROR(__xludf.DUMMYFUNCTION("IF($A32="""","""",IF(AE$33="""","""",LET(logStatus,IFNA(INDEX(DATA_LOG!$E:$E,MATCH(1,(DATA_LOG!$A:$A=$A32)*(TEXT(DATA_LOG!$B:$B,""yyyy-MM-dd"")=TEXT(DATE($P$3,MONTH(1&amp;$N$3),VALUE(LEFT(AE$33,2))),""yyyy-MM-dd"")),0)),""""),selectedDate,DATE($P$3,MONTH(1&amp;$N"&amp;"$3),VALUE(LEFT(AE$33,2))),IF(logStatus&lt;&gt;"""",UPPER(logStatus),IF(selectedDate&gt;TODAY(),""-"",IF(REGEXMATCH(AE$33,""SUN""),""WO"",IF(AE$36&lt;&gt;"""",IF(VALUE(AE$36)&gt;=9/24,""FD"",""HD""),""A"")))))))"),"-")</f>
        <v>-</v>
      </c>
      <c r="AF37" s="43" t="str">
        <f>IFERROR(__xludf.DUMMYFUNCTION("IF($A32="""","""",IF(AF$33="""","""",LET(logStatus,IFNA(INDEX(DATA_LOG!$E:$E,MATCH(1,(DATA_LOG!$A:$A=$A32)*(TEXT(DATA_LOG!$B:$B,""yyyy-MM-dd"")=TEXT(DATE($P$3,MONTH(1&amp;$N$3),VALUE(LEFT(AF$33,2))),""yyyy-MM-dd"")),0)),""""),selectedDate,DATE($P$3,MONTH(1&amp;$N"&amp;"$3),VALUE(LEFT(AF$33,2))),IF(logStatus&lt;&gt;"""",UPPER(logStatus),IF(selectedDate&gt;TODAY(),""-"",IF(REGEXMATCH(AF$33,""SUN""),""WO"",IF(AF$36&lt;&gt;"""",IF(VALUE(AF$36)&gt;=9/24,""FD"",""HD""),""A"")))))))"),"")</f>
        <v/>
      </c>
    </row>
    <row r="38">
      <c r="A38" s="44"/>
    </row>
    <row r="39">
      <c r="A39" s="25" t="str">
        <f t="array" ref="A39">INDEX(EMPLOYEE_LIST!$A:$A,INT((ROW()-4)/7)+2)</f>
        <v>BIMOL SINGH</v>
      </c>
      <c r="B39" s="26"/>
      <c r="C39" s="27"/>
      <c r="D39" s="28" t="str">
        <f>IF(A39="", "", IFERROR(VLOOKUP(A39, EMPLOYEE_LIST!$A:$H, 2, FALSE), ""))</f>
        <v>AYV-37</v>
      </c>
      <c r="E39" s="26"/>
      <c r="F39" s="26"/>
      <c r="G39" s="27"/>
      <c r="H39" s="29" t="str">
        <f>IF(A39="", "", IFERROR(VLOOKUP(A39, EMPLOYEE_LIST!$A:$H, 3, FALSE), ""))</f>
        <v>SUPERVISOR</v>
      </c>
      <c r="I39" s="26"/>
      <c r="J39" s="26"/>
      <c r="K39" s="27"/>
      <c r="L39" s="29" t="str">
        <f>IF(A39="", "", IFERROR(VLOOKUP(A39, EMPLOYEE_LIST!$A:$H, 4, FALSE), ""))</f>
        <v>SUPERVISOR</v>
      </c>
      <c r="M39" s="26"/>
      <c r="N39" s="26"/>
      <c r="O39" s="27"/>
      <c r="P39" s="30" t="str">
        <f>IF($A39="", "", "Full Day: " &amp; COUNTIF(B44:AF44, "FD"))</f>
        <v>Full Day: 0</v>
      </c>
      <c r="Q39" s="26"/>
      <c r="R39" s="27"/>
      <c r="S39" s="31" t="str">
        <f>IF($A39="", "", "HALF Day: " &amp; COUNTIF(B44:AF44, "HD"))</f>
        <v>HALF Day: 0</v>
      </c>
      <c r="T39" s="26"/>
      <c r="U39" s="27"/>
      <c r="V39" s="31" t="str">
        <f>IF($A39="", "", "ABSENT: " &amp; COUNTIF(B44:AF44, "A"))</f>
        <v>ABSENT: 10</v>
      </c>
      <c r="W39" s="26"/>
      <c r="X39" s="27"/>
      <c r="Y39" s="31" t="str">
        <f>IF($A39="", "", "WEEK OFF: " &amp; COUNTIF(B44:AF44, "WO"))</f>
        <v>WEEK OFF: 1</v>
      </c>
      <c r="Z39" s="26"/>
      <c r="AA39" s="27"/>
      <c r="AB39" s="31" t="str">
        <f>IF($A39="", "", "LEAVE: " &amp; COUNTIF(B44:AF44, "L"))</f>
        <v>LEAVE: 0</v>
      </c>
      <c r="AC39" s="27"/>
      <c r="AD39" s="31" t="str">
        <f>IF($A39="", "", "HOLIDAY: " &amp; COUNTIF(B44:AF44, "HL"))</f>
        <v>HOLIDAY: 0</v>
      </c>
      <c r="AE39" s="26"/>
      <c r="AF39" s="27"/>
    </row>
    <row r="40">
      <c r="A40" s="32" t="str">
        <f>IF($A39="", "", "DATE")</f>
        <v>DATE</v>
      </c>
      <c r="B40" s="33" t="str">
        <f t="array" ref="B40:AE40">IF($A39="","",LET(mNum,MONTH(1&amp;$N$3),start,DATE($P$3,mNum,1),days,DAY(EOMONTH(start,0)),MAP(SEQUENCE(1,days,0),LAMBDA(n,UPPER(TEXT(start+n,"dd (ddd)"))))))</f>
        <v>01 (TUE)</v>
      </c>
      <c r="C40" s="34" t="s">
        <v>89</v>
      </c>
      <c r="D40" s="34" t="s">
        <v>90</v>
      </c>
      <c r="E40" s="34" t="s">
        <v>91</v>
      </c>
      <c r="F40" s="34" t="s">
        <v>92</v>
      </c>
      <c r="G40" s="34" t="s">
        <v>93</v>
      </c>
      <c r="H40" s="34" t="s">
        <v>94</v>
      </c>
      <c r="I40" s="34" t="s">
        <v>95</v>
      </c>
      <c r="J40" s="34" t="s">
        <v>96</v>
      </c>
      <c r="K40" s="34" t="s">
        <v>97</v>
      </c>
      <c r="L40" s="34" t="s">
        <v>98</v>
      </c>
      <c r="M40" s="34" t="s">
        <v>99</v>
      </c>
      <c r="N40" s="34" t="s">
        <v>100</v>
      </c>
      <c r="O40" s="34" t="s">
        <v>101</v>
      </c>
      <c r="P40" s="34" t="s">
        <v>102</v>
      </c>
      <c r="Q40" s="34" t="s">
        <v>103</v>
      </c>
      <c r="R40" s="34" t="s">
        <v>104</v>
      </c>
      <c r="S40" s="34" t="s">
        <v>105</v>
      </c>
      <c r="T40" s="34" t="s">
        <v>106</v>
      </c>
      <c r="U40" s="34" t="s">
        <v>107</v>
      </c>
      <c r="V40" s="34" t="s">
        <v>108</v>
      </c>
      <c r="W40" s="34" t="s">
        <v>109</v>
      </c>
      <c r="X40" s="34" t="s">
        <v>110</v>
      </c>
      <c r="Y40" s="34" t="s">
        <v>111</v>
      </c>
      <c r="Z40" s="34" t="s">
        <v>112</v>
      </c>
      <c r="AA40" s="34" t="s">
        <v>113</v>
      </c>
      <c r="AB40" s="34" t="s">
        <v>114</v>
      </c>
      <c r="AC40" s="34" t="s">
        <v>115</v>
      </c>
      <c r="AD40" s="34" t="s">
        <v>116</v>
      </c>
      <c r="AE40" s="34" t="s">
        <v>117</v>
      </c>
      <c r="AF40" s="34"/>
    </row>
    <row r="41">
      <c r="A41" s="37" t="str">
        <f>IF($A39="", "", "IN")</f>
        <v>IN</v>
      </c>
      <c r="B41" s="39" t="str">
        <f t="array" ref="B41">IF(OR($A39="",B$5=""),"",IFNA(INDEX(DATA_LOG!$C:$C,MATCH(1,(DATA_LOG!$A:$A=$A39)*(TEXT(DATA_LOG!$B:$B,"yyyy-MM-dd")=TEXT(DATE($P$3,MONTH(1&amp;$N$3),VALUE(LEFT(B$5,2))),"yyyy-MM-dd")),0)),""))</f>
        <v/>
      </c>
      <c r="C41" s="39" t="str">
        <f t="array" ref="C41">IF(OR($A39="",C$5=""),"",IFNA(INDEX(DATA_LOG!$C:$C,MATCH(1,(DATA_LOG!$A:$A=$A39)*(TEXT(DATA_LOG!$B:$B,"yyyy-MM-dd")=TEXT(DATE($P$3,MONTH(1&amp;$N$3),VALUE(LEFT(C$5,2))),"yyyy-MM-dd")),0)),""))</f>
        <v/>
      </c>
      <c r="D41" s="39" t="str">
        <f t="array" ref="D41">IF(OR($A39="",D$5=""),"",IFNA(INDEX(DATA_LOG!$C:$C,MATCH(1,(DATA_LOG!$A:$A=$A39)*(TEXT(DATA_LOG!$B:$B,"yyyy-MM-dd")=TEXT(DATE($P$3,MONTH(1&amp;$N$3),VALUE(LEFT(D$5,2))),"yyyy-MM-dd")),0)),""))</f>
        <v/>
      </c>
      <c r="E41" s="39" t="str">
        <f t="array" ref="E41">IF(OR($A39="",E$5=""),"",IFNA(INDEX(DATA_LOG!$C:$C,MATCH(1,(DATA_LOG!$A:$A=$A39)*(TEXT(DATA_LOG!$B:$B,"yyyy-MM-dd")=TEXT(DATE($P$3,MONTH(1&amp;$N$3),VALUE(LEFT(E$5,2))),"yyyy-MM-dd")),0)),""))</f>
        <v/>
      </c>
      <c r="F41" s="39" t="str">
        <f t="array" ref="F41">IF(OR($A39="",F$5=""),"",IFNA(INDEX(DATA_LOG!$C:$C,MATCH(1,(DATA_LOG!$A:$A=$A39)*(TEXT(DATA_LOG!$B:$B,"yyyy-MM-dd")=TEXT(DATE($P$3,MONTH(1&amp;$N$3),VALUE(LEFT(F$5,2))),"yyyy-MM-dd")),0)),""))</f>
        <v/>
      </c>
      <c r="G41" s="39" t="str">
        <f t="array" ref="G41">IF(OR($A39="",G$5=""),"",IFNA(INDEX(DATA_LOG!$C:$C,MATCH(1,(DATA_LOG!$A:$A=$A39)*(TEXT(DATA_LOG!$B:$B,"yyyy-MM-dd")=TEXT(DATE($P$3,MONTH(1&amp;$N$3),VALUE(LEFT(G$5,2))),"yyyy-MM-dd")),0)),""))</f>
        <v/>
      </c>
      <c r="H41" s="39" t="str">
        <f t="array" ref="H41">IF(OR($A39="",H$5=""),"",IFNA(INDEX(DATA_LOG!$C:$C,MATCH(1,(DATA_LOG!$A:$A=$A39)*(TEXT(DATA_LOG!$B:$B,"yyyy-MM-dd")=TEXT(DATE($P$3,MONTH(1&amp;$N$3),VALUE(LEFT(H$5,2))),"yyyy-MM-dd")),0)),""))</f>
        <v/>
      </c>
      <c r="I41" s="39" t="str">
        <f t="array" ref="I41">IF(OR($A39="",I$5=""),"",IFNA(INDEX(DATA_LOG!$C:$C,MATCH(1,(DATA_LOG!$A:$A=$A39)*(TEXT(DATA_LOG!$B:$B,"yyyy-MM-dd")=TEXT(DATE($P$3,MONTH(1&amp;$N$3),VALUE(LEFT(I$5,2))),"yyyy-MM-dd")),0)),""))</f>
        <v/>
      </c>
      <c r="J41" s="39" t="str">
        <f t="array" ref="J41">IF(OR($A39="",J$5=""),"",IFNA(INDEX(DATA_LOG!$C:$C,MATCH(1,(DATA_LOG!$A:$A=$A39)*(TEXT(DATA_LOG!$B:$B,"yyyy-MM-dd")=TEXT(DATE($P$3,MONTH(1&amp;$N$3),VALUE(LEFT(J$5,2))),"yyyy-MM-dd")),0)),""))</f>
        <v/>
      </c>
      <c r="K41" s="39" t="str">
        <f t="array" ref="K41">IF(OR($A39="",K$5=""),"",IFNA(INDEX(DATA_LOG!$C:$C,MATCH(1,(DATA_LOG!$A:$A=$A39)*(TEXT(DATA_LOG!$B:$B,"yyyy-MM-dd")=TEXT(DATE($P$3,MONTH(1&amp;$N$3),VALUE(LEFT(K$5,2))),"yyyy-MM-dd")),0)),""))</f>
        <v/>
      </c>
      <c r="L41" s="39" t="str">
        <f t="array" ref="L41">IF(OR($A39="",L$5=""),"",IFNA(INDEX(DATA_LOG!$C:$C,MATCH(1,(DATA_LOG!$A:$A=$A39)*(TEXT(DATA_LOG!$B:$B,"yyyy-MM-dd")=TEXT(DATE($P$3,MONTH(1&amp;$N$3),VALUE(LEFT(L$5,2))),"yyyy-MM-dd")),0)),""))</f>
        <v/>
      </c>
      <c r="M41" s="39" t="str">
        <f t="array" ref="M41">IF(OR($A39="",M$5=""),"",IFNA(INDEX(DATA_LOG!$C:$C,MATCH(1,(DATA_LOG!$A:$A=$A39)*(TEXT(DATA_LOG!$B:$B,"yyyy-MM-dd")=TEXT(DATE($P$3,MONTH(1&amp;$N$3),VALUE(LEFT(M$5,2))),"yyyy-MM-dd")),0)),""))</f>
        <v/>
      </c>
      <c r="N41" s="39" t="str">
        <f t="array" ref="N41">IF(OR($A39="",N$5=""),"",IFNA(INDEX(DATA_LOG!$C:$C,MATCH(1,(DATA_LOG!$A:$A=$A39)*(TEXT(DATA_LOG!$B:$B,"yyyy-MM-dd")=TEXT(DATE($P$3,MONTH(1&amp;$N$3),VALUE(LEFT(N$5,2))),"yyyy-MM-dd")),0)),""))</f>
        <v/>
      </c>
      <c r="O41" s="39" t="str">
        <f t="array" ref="O41">IF(OR($A39="",O$5=""),"",IFNA(INDEX(DATA_LOG!$C:$C,MATCH(1,(DATA_LOG!$A:$A=$A39)*(TEXT(DATA_LOG!$B:$B,"yyyy-MM-dd")=TEXT(DATE($P$3,MONTH(1&amp;$N$3),VALUE(LEFT(O$5,2))),"yyyy-MM-dd")),0)),""))</f>
        <v/>
      </c>
      <c r="P41" s="39" t="str">
        <f t="array" ref="P41">IF(OR($A39="",P$5=""),"",IFNA(INDEX(DATA_LOG!$C:$C,MATCH(1,(DATA_LOG!$A:$A=$A39)*(TEXT(DATA_LOG!$B:$B,"yyyy-MM-dd")=TEXT(DATE($P$3,MONTH(1&amp;$N$3),VALUE(LEFT(P$5,2))),"yyyy-MM-dd")),0)),""))</f>
        <v/>
      </c>
      <c r="Q41" s="39" t="str">
        <f t="array" ref="Q41">IF(OR($A39="",Q$5=""),"",IFNA(INDEX(DATA_LOG!$C:$C,MATCH(1,(DATA_LOG!$A:$A=$A39)*(TEXT(DATA_LOG!$B:$B,"yyyy-MM-dd")=TEXT(DATE($P$3,MONTH(1&amp;$N$3),VALUE(LEFT(Q$5,2))),"yyyy-MM-dd")),0)),""))</f>
        <v/>
      </c>
      <c r="R41" s="39" t="str">
        <f t="array" ref="R41">IF(OR($A39="",R$5=""),"",IFNA(INDEX(DATA_LOG!$C:$C,MATCH(1,(DATA_LOG!$A:$A=$A39)*(TEXT(DATA_LOG!$B:$B,"yyyy-MM-dd")=TEXT(DATE($P$3,MONTH(1&amp;$N$3),VALUE(LEFT(R$5,2))),"yyyy-MM-dd")),0)),""))</f>
        <v/>
      </c>
      <c r="S41" s="39" t="str">
        <f t="array" ref="S41">IF(OR($A39="",S$5=""),"",IFNA(INDEX(DATA_LOG!$C:$C,MATCH(1,(DATA_LOG!$A:$A=$A39)*(TEXT(DATA_LOG!$B:$B,"yyyy-MM-dd")=TEXT(DATE($P$3,MONTH(1&amp;$N$3),VALUE(LEFT(S$5,2))),"yyyy-MM-dd")),0)),""))</f>
        <v/>
      </c>
      <c r="T41" s="39" t="str">
        <f t="array" ref="T41">IF(OR($A39="",T$5=""),"",IFNA(INDEX(DATA_LOG!$C:$C,MATCH(1,(DATA_LOG!$A:$A=$A39)*(TEXT(DATA_LOG!$B:$B,"yyyy-MM-dd")=TEXT(DATE($P$3,MONTH(1&amp;$N$3),VALUE(LEFT(T$5,2))),"yyyy-MM-dd")),0)),""))</f>
        <v/>
      </c>
      <c r="U41" s="39" t="str">
        <f t="array" ref="U41">IF(OR($A39="",U$5=""),"",IFNA(INDEX(DATA_LOG!$C:$C,MATCH(1,(DATA_LOG!$A:$A=$A39)*(TEXT(DATA_LOG!$B:$B,"yyyy-MM-dd")=TEXT(DATE($P$3,MONTH(1&amp;$N$3),VALUE(LEFT(U$5,2))),"yyyy-MM-dd")),0)),""))</f>
        <v/>
      </c>
      <c r="V41" s="39" t="str">
        <f t="array" ref="V41">IF(OR($A39="",V$5=""),"",IFNA(INDEX(DATA_LOG!$C:$C,MATCH(1,(DATA_LOG!$A:$A=$A39)*(TEXT(DATA_LOG!$B:$B,"yyyy-MM-dd")=TEXT(DATE($P$3,MONTH(1&amp;$N$3),VALUE(LEFT(V$5,2))),"yyyy-MM-dd")),0)),""))</f>
        <v/>
      </c>
      <c r="W41" s="39" t="str">
        <f t="array" ref="W41">IF(OR($A39="",W$5=""),"",IFNA(INDEX(DATA_LOG!$C:$C,MATCH(1,(DATA_LOG!$A:$A=$A39)*(TEXT(DATA_LOG!$B:$B,"yyyy-MM-dd")=TEXT(DATE($P$3,MONTH(1&amp;$N$3),VALUE(LEFT(W$5,2))),"yyyy-MM-dd")),0)),""))</f>
        <v/>
      </c>
      <c r="X41" s="39" t="str">
        <f t="array" ref="X41">IF(OR($A39="",X$5=""),"",IFNA(INDEX(DATA_LOG!$C:$C,MATCH(1,(DATA_LOG!$A:$A=$A39)*(TEXT(DATA_LOG!$B:$B,"yyyy-MM-dd")=TEXT(DATE($P$3,MONTH(1&amp;$N$3),VALUE(LEFT(X$5,2))),"yyyy-MM-dd")),0)),""))</f>
        <v/>
      </c>
      <c r="Y41" s="39" t="str">
        <f t="array" ref="Y41">IF(OR($A39="",Y$5=""),"",IFNA(INDEX(DATA_LOG!$C:$C,MATCH(1,(DATA_LOG!$A:$A=$A39)*(TEXT(DATA_LOG!$B:$B,"yyyy-MM-dd")=TEXT(DATE($P$3,MONTH(1&amp;$N$3),VALUE(LEFT(Y$5,2))),"yyyy-MM-dd")),0)),""))</f>
        <v/>
      </c>
      <c r="Z41" s="39" t="str">
        <f t="array" ref="Z41">IF(OR($A39="",Z$5=""),"",IFNA(INDEX(DATA_LOG!$C:$C,MATCH(1,(DATA_LOG!$A:$A=$A39)*(TEXT(DATA_LOG!$B:$B,"yyyy-MM-dd")=TEXT(DATE($P$3,MONTH(1&amp;$N$3),VALUE(LEFT(Z$5,2))),"yyyy-MM-dd")),0)),""))</f>
        <v/>
      </c>
      <c r="AA41" s="39" t="str">
        <f t="array" ref="AA41">IF(OR($A39="",AA$5=""),"",IFNA(INDEX(DATA_LOG!$C:$C,MATCH(1,(DATA_LOG!$A:$A=$A39)*(TEXT(DATA_LOG!$B:$B,"yyyy-MM-dd")=TEXT(DATE($P$3,MONTH(1&amp;$N$3),VALUE(LEFT(AA$5,2))),"yyyy-MM-dd")),0)),""))</f>
        <v/>
      </c>
      <c r="AB41" s="39" t="str">
        <f t="array" ref="AB41">IF(OR($A39="",AB$5=""),"",IFNA(INDEX(DATA_LOG!$C:$C,MATCH(1,(DATA_LOG!$A:$A=$A39)*(TEXT(DATA_LOG!$B:$B,"yyyy-MM-dd")=TEXT(DATE($P$3,MONTH(1&amp;$N$3),VALUE(LEFT(AB$5,2))),"yyyy-MM-dd")),0)),""))</f>
        <v/>
      </c>
      <c r="AC41" s="39" t="str">
        <f t="array" ref="AC41">IF(OR($A39="",AC$5=""),"",IFNA(INDEX(DATA_LOG!$C:$C,MATCH(1,(DATA_LOG!$A:$A=$A39)*(TEXT(DATA_LOG!$B:$B,"yyyy-MM-dd")=TEXT(DATE($P$3,MONTH(1&amp;$N$3),VALUE(LEFT(AC$5,2))),"yyyy-MM-dd")),0)),""))</f>
        <v/>
      </c>
      <c r="AD41" s="39" t="str">
        <f t="array" ref="AD41">IF(OR($A39="",AD$5=""),"",IFNA(INDEX(DATA_LOG!$C:$C,MATCH(1,(DATA_LOG!$A:$A=$A39)*(TEXT(DATA_LOG!$B:$B,"yyyy-MM-dd")=TEXT(DATE($P$3,MONTH(1&amp;$N$3),VALUE(LEFT(AD$5,2))),"yyyy-MM-dd")),0)),""))</f>
        <v/>
      </c>
      <c r="AE41" s="39" t="str">
        <f t="array" ref="AE41">IF(OR($A39="",AE$5=""),"",IFNA(INDEX(DATA_LOG!$C:$C,MATCH(1,(DATA_LOG!$A:$A=$A39)*(TEXT(DATA_LOG!$B:$B,"yyyy-MM-dd")=TEXT(DATE($P$3,MONTH(1&amp;$N$3),VALUE(LEFT(AE$5,2))),"yyyy-MM-dd")),0)),""))</f>
        <v/>
      </c>
      <c r="AF41" s="39" t="str">
        <f t="array" ref="AF41">IF(OR($A39="",AF$5=""),"",IFNA(INDEX(DATA_LOG!$C:$C,MATCH(1,(DATA_LOG!$A:$A=$A39)*(TEXT(DATA_LOG!$B:$B,"yyyy-MM-dd")=TEXT(DATE($P$3,MONTH(1&amp;$N$3),VALUE(LEFT(AF$5,2))),"yyyy-MM-dd")),0)),""))</f>
        <v/>
      </c>
    </row>
    <row r="42">
      <c r="A42" s="37" t="str">
        <f>IF($A39="", "", "OUT")</f>
        <v>OUT</v>
      </c>
      <c r="B42" s="39" t="str">
        <f t="array" ref="B42">IF(OR($A39="",B$5=""),"",IFNA(INDEX(DATA_LOG!$D:$D,MATCH(1,(DATA_LOG!$A:$A=$A39)*(TEXT(DATA_LOG!$B:$B,"yyyy-MM-dd")=TEXT(DATE($P$3,MONTH(1&amp;$N$3),VALUE(LEFT(B$5,2))),"yyyy-MM-dd")),0)),""))</f>
        <v/>
      </c>
      <c r="C42" s="39" t="str">
        <f t="array" ref="C42">IF(OR($A39="",C$5=""),"",IFNA(INDEX(DATA_LOG!$D:$D,MATCH(1,(DATA_LOG!$A:$A=$A39)*(TEXT(DATA_LOG!$B:$B,"yyyy-MM-dd")=TEXT(DATE($P$3,MONTH(1&amp;$N$3),VALUE(LEFT(C$5,2))),"yyyy-MM-dd")),0)),""))</f>
        <v/>
      </c>
      <c r="D42" s="39" t="str">
        <f t="array" ref="D42">IF(OR($A39="",D$5=""),"",IFNA(INDEX(DATA_LOG!$D:$D,MATCH(1,(DATA_LOG!$A:$A=$A39)*(TEXT(DATA_LOG!$B:$B,"yyyy-MM-dd")=TEXT(DATE($P$3,MONTH(1&amp;$N$3),VALUE(LEFT(D$5,2))),"yyyy-MM-dd")),0)),""))</f>
        <v/>
      </c>
      <c r="E42" s="39" t="str">
        <f t="array" ref="E42">IF(OR($A39="",E$5=""),"",IFNA(INDEX(DATA_LOG!$D:$D,MATCH(1,(DATA_LOG!$A:$A=$A39)*(TEXT(DATA_LOG!$B:$B,"yyyy-MM-dd")=TEXT(DATE($P$3,MONTH(1&amp;$N$3),VALUE(LEFT(E$5,2))),"yyyy-MM-dd")),0)),""))</f>
        <v/>
      </c>
      <c r="F42" s="39" t="str">
        <f t="array" ref="F42">IF(OR($A39="",F$5=""),"",IFNA(INDEX(DATA_LOG!$D:$D,MATCH(1,(DATA_LOG!$A:$A=$A39)*(TEXT(DATA_LOG!$B:$B,"yyyy-MM-dd")=TEXT(DATE($P$3,MONTH(1&amp;$N$3),VALUE(LEFT(F$5,2))),"yyyy-MM-dd")),0)),""))</f>
        <v/>
      </c>
      <c r="G42" s="39" t="str">
        <f t="array" ref="G42">IF(OR($A39="",G$5=""),"",IFNA(INDEX(DATA_LOG!$D:$D,MATCH(1,(DATA_LOG!$A:$A=$A39)*(TEXT(DATA_LOG!$B:$B,"yyyy-MM-dd")=TEXT(DATE($P$3,MONTH(1&amp;$N$3),VALUE(LEFT(G$5,2))),"yyyy-MM-dd")),0)),""))</f>
        <v/>
      </c>
      <c r="H42" s="39" t="str">
        <f t="array" ref="H42">IF(OR($A39="",H$5=""),"",IFNA(INDEX(DATA_LOG!$D:$D,MATCH(1,(DATA_LOG!$A:$A=$A39)*(TEXT(DATA_LOG!$B:$B,"yyyy-MM-dd")=TEXT(DATE($P$3,MONTH(1&amp;$N$3),VALUE(LEFT(H$5,2))),"yyyy-MM-dd")),0)),""))</f>
        <v/>
      </c>
      <c r="I42" s="39" t="str">
        <f t="array" ref="I42">IF(OR($A39="",I$5=""),"",IFNA(INDEX(DATA_LOG!$D:$D,MATCH(1,(DATA_LOG!$A:$A=$A39)*(TEXT(DATA_LOG!$B:$B,"yyyy-MM-dd")=TEXT(DATE($P$3,MONTH(1&amp;$N$3),VALUE(LEFT(I$5,2))),"yyyy-MM-dd")),0)),""))</f>
        <v/>
      </c>
      <c r="J42" s="39" t="str">
        <f t="array" ref="J42">IF(OR($A39="",J$5=""),"",IFNA(INDEX(DATA_LOG!$D:$D,MATCH(1,(DATA_LOG!$A:$A=$A39)*(TEXT(DATA_LOG!$B:$B,"yyyy-MM-dd")=TEXT(DATE($P$3,MONTH(1&amp;$N$3),VALUE(LEFT(J$5,2))),"yyyy-MM-dd")),0)),""))</f>
        <v/>
      </c>
      <c r="K42" s="39" t="str">
        <f t="array" ref="K42">IF(OR($A39="",K$5=""),"",IFNA(INDEX(DATA_LOG!$D:$D,MATCH(1,(DATA_LOG!$A:$A=$A39)*(TEXT(DATA_LOG!$B:$B,"yyyy-MM-dd")=TEXT(DATE($P$3,MONTH(1&amp;$N$3),VALUE(LEFT(K$5,2))),"yyyy-MM-dd")),0)),""))</f>
        <v/>
      </c>
      <c r="L42" s="39" t="str">
        <f t="array" ref="L42">IF(OR($A39="",L$5=""),"",IFNA(INDEX(DATA_LOG!$D:$D,MATCH(1,(DATA_LOG!$A:$A=$A39)*(TEXT(DATA_LOG!$B:$B,"yyyy-MM-dd")=TEXT(DATE($P$3,MONTH(1&amp;$N$3),VALUE(LEFT(L$5,2))),"yyyy-MM-dd")),0)),""))</f>
        <v/>
      </c>
      <c r="M42" s="39" t="str">
        <f t="array" ref="M42">IF(OR($A39="",M$5=""),"",IFNA(INDEX(DATA_LOG!$D:$D,MATCH(1,(DATA_LOG!$A:$A=$A39)*(TEXT(DATA_LOG!$B:$B,"yyyy-MM-dd")=TEXT(DATE($P$3,MONTH(1&amp;$N$3),VALUE(LEFT(M$5,2))),"yyyy-MM-dd")),0)),""))</f>
        <v/>
      </c>
      <c r="N42" s="39" t="str">
        <f t="array" ref="N42">IF(OR($A39="",N$5=""),"",IFNA(INDEX(DATA_LOG!$D:$D,MATCH(1,(DATA_LOG!$A:$A=$A39)*(TEXT(DATA_LOG!$B:$B,"yyyy-MM-dd")=TEXT(DATE($P$3,MONTH(1&amp;$N$3),VALUE(LEFT(N$5,2))),"yyyy-MM-dd")),0)),""))</f>
        <v/>
      </c>
      <c r="O42" s="39" t="str">
        <f t="array" ref="O42">IF(OR($A39="",O$5=""),"",IFNA(INDEX(DATA_LOG!$D:$D,MATCH(1,(DATA_LOG!$A:$A=$A39)*(TEXT(DATA_LOG!$B:$B,"yyyy-MM-dd")=TEXT(DATE($P$3,MONTH(1&amp;$N$3),VALUE(LEFT(O$5,2))),"yyyy-MM-dd")),0)),""))</f>
        <v/>
      </c>
      <c r="P42" s="39" t="str">
        <f t="array" ref="P42">IF(OR($A39="",P$5=""),"",IFNA(INDEX(DATA_LOG!$D:$D,MATCH(1,(DATA_LOG!$A:$A=$A39)*(TEXT(DATA_LOG!$B:$B,"yyyy-MM-dd")=TEXT(DATE($P$3,MONTH(1&amp;$N$3),VALUE(LEFT(P$5,2))),"yyyy-MM-dd")),0)),""))</f>
        <v/>
      </c>
      <c r="Q42" s="39" t="str">
        <f t="array" ref="Q42">IF(OR($A39="",Q$5=""),"",IFNA(INDEX(DATA_LOG!$D:$D,MATCH(1,(DATA_LOG!$A:$A=$A39)*(TEXT(DATA_LOG!$B:$B,"yyyy-MM-dd")=TEXT(DATE($P$3,MONTH(1&amp;$N$3),VALUE(LEFT(Q$5,2))),"yyyy-MM-dd")),0)),""))</f>
        <v/>
      </c>
      <c r="R42" s="39" t="str">
        <f t="array" ref="R42">IF(OR($A39="",R$5=""),"",IFNA(INDEX(DATA_LOG!$D:$D,MATCH(1,(DATA_LOG!$A:$A=$A39)*(TEXT(DATA_LOG!$B:$B,"yyyy-MM-dd")=TEXT(DATE($P$3,MONTH(1&amp;$N$3),VALUE(LEFT(R$5,2))),"yyyy-MM-dd")),0)),""))</f>
        <v/>
      </c>
      <c r="S42" s="39" t="str">
        <f t="array" ref="S42">IF(OR($A39="",S$5=""),"",IFNA(INDEX(DATA_LOG!$D:$D,MATCH(1,(DATA_LOG!$A:$A=$A39)*(TEXT(DATA_LOG!$B:$B,"yyyy-MM-dd")=TEXT(DATE($P$3,MONTH(1&amp;$N$3),VALUE(LEFT(S$5,2))),"yyyy-MM-dd")),0)),""))</f>
        <v/>
      </c>
      <c r="T42" s="39" t="str">
        <f t="array" ref="T42">IF(OR($A39="",T$5=""),"",IFNA(INDEX(DATA_LOG!$D:$D,MATCH(1,(DATA_LOG!$A:$A=$A39)*(TEXT(DATA_LOG!$B:$B,"yyyy-MM-dd")=TEXT(DATE($P$3,MONTH(1&amp;$N$3),VALUE(LEFT(T$5,2))),"yyyy-MM-dd")),0)),""))</f>
        <v/>
      </c>
      <c r="U42" s="39" t="str">
        <f t="array" ref="U42">IF(OR($A39="",U$5=""),"",IFNA(INDEX(DATA_LOG!$D:$D,MATCH(1,(DATA_LOG!$A:$A=$A39)*(TEXT(DATA_LOG!$B:$B,"yyyy-MM-dd")=TEXT(DATE($P$3,MONTH(1&amp;$N$3),VALUE(LEFT(U$5,2))),"yyyy-MM-dd")),0)),""))</f>
        <v/>
      </c>
      <c r="V42" s="39" t="str">
        <f t="array" ref="V42">IF(OR($A39="",V$5=""),"",IFNA(INDEX(DATA_LOG!$D:$D,MATCH(1,(DATA_LOG!$A:$A=$A39)*(TEXT(DATA_LOG!$B:$B,"yyyy-MM-dd")=TEXT(DATE($P$3,MONTH(1&amp;$N$3),VALUE(LEFT(V$5,2))),"yyyy-MM-dd")),0)),""))</f>
        <v/>
      </c>
      <c r="W42" s="39" t="str">
        <f t="array" ref="W42">IF(OR($A39="",W$5=""),"",IFNA(INDEX(DATA_LOG!$D:$D,MATCH(1,(DATA_LOG!$A:$A=$A39)*(TEXT(DATA_LOG!$B:$B,"yyyy-MM-dd")=TEXT(DATE($P$3,MONTH(1&amp;$N$3),VALUE(LEFT(W$5,2))),"yyyy-MM-dd")),0)),""))</f>
        <v/>
      </c>
      <c r="X42" s="39" t="str">
        <f t="array" ref="X42">IF(OR($A39="",X$5=""),"",IFNA(INDEX(DATA_LOG!$D:$D,MATCH(1,(DATA_LOG!$A:$A=$A39)*(TEXT(DATA_LOG!$B:$B,"yyyy-MM-dd")=TEXT(DATE($P$3,MONTH(1&amp;$N$3),VALUE(LEFT(X$5,2))),"yyyy-MM-dd")),0)),""))</f>
        <v/>
      </c>
      <c r="Y42" s="39" t="str">
        <f t="array" ref="Y42">IF(OR($A39="",Y$5=""),"",IFNA(INDEX(DATA_LOG!$D:$D,MATCH(1,(DATA_LOG!$A:$A=$A39)*(TEXT(DATA_LOG!$B:$B,"yyyy-MM-dd")=TEXT(DATE($P$3,MONTH(1&amp;$N$3),VALUE(LEFT(Y$5,2))),"yyyy-MM-dd")),0)),""))</f>
        <v/>
      </c>
      <c r="Z42" s="39" t="str">
        <f t="array" ref="Z42">IF(OR($A39="",Z$5=""),"",IFNA(INDEX(DATA_LOG!$D:$D,MATCH(1,(DATA_LOG!$A:$A=$A39)*(TEXT(DATA_LOG!$B:$B,"yyyy-MM-dd")=TEXT(DATE($P$3,MONTH(1&amp;$N$3),VALUE(LEFT(Z$5,2))),"yyyy-MM-dd")),0)),""))</f>
        <v/>
      </c>
      <c r="AA42" s="39" t="str">
        <f t="array" ref="AA42">IF(OR($A39="",AA$5=""),"",IFNA(INDEX(DATA_LOG!$D:$D,MATCH(1,(DATA_LOG!$A:$A=$A39)*(TEXT(DATA_LOG!$B:$B,"yyyy-MM-dd")=TEXT(DATE($P$3,MONTH(1&amp;$N$3),VALUE(LEFT(AA$5,2))),"yyyy-MM-dd")),0)),""))</f>
        <v/>
      </c>
      <c r="AB42" s="39" t="str">
        <f t="array" ref="AB42">IF(OR($A39="",AB$5=""),"",IFNA(INDEX(DATA_LOG!$D:$D,MATCH(1,(DATA_LOG!$A:$A=$A39)*(TEXT(DATA_LOG!$B:$B,"yyyy-MM-dd")=TEXT(DATE($P$3,MONTH(1&amp;$N$3),VALUE(LEFT(AB$5,2))),"yyyy-MM-dd")),0)),""))</f>
        <v/>
      </c>
      <c r="AC42" s="39" t="str">
        <f t="array" ref="AC42">IF(OR($A39="",AC$5=""),"",IFNA(INDEX(DATA_LOG!$D:$D,MATCH(1,(DATA_LOG!$A:$A=$A39)*(TEXT(DATA_LOG!$B:$B,"yyyy-MM-dd")=TEXT(DATE($P$3,MONTH(1&amp;$N$3),VALUE(LEFT(AC$5,2))),"yyyy-MM-dd")),0)),""))</f>
        <v/>
      </c>
      <c r="AD42" s="39" t="str">
        <f t="array" ref="AD42">IF(OR($A39="",AD$5=""),"",IFNA(INDEX(DATA_LOG!$D:$D,MATCH(1,(DATA_LOG!$A:$A=$A39)*(TEXT(DATA_LOG!$B:$B,"yyyy-MM-dd")=TEXT(DATE($P$3,MONTH(1&amp;$N$3),VALUE(LEFT(AD$5,2))),"yyyy-MM-dd")),0)),""))</f>
        <v/>
      </c>
      <c r="AE42" s="39" t="str">
        <f t="array" ref="AE42">IF(OR($A39="",AE$5=""),"",IFNA(INDEX(DATA_LOG!$D:$D,MATCH(1,(DATA_LOG!$A:$A=$A39)*(TEXT(DATA_LOG!$B:$B,"yyyy-MM-dd")=TEXT(DATE($P$3,MONTH(1&amp;$N$3),VALUE(LEFT(AE$5,2))),"yyyy-MM-dd")),0)),""))</f>
        <v/>
      </c>
      <c r="AF42" s="39" t="str">
        <f t="array" ref="AF42">IF(OR($A39="",AF$5=""),"",IFNA(INDEX(DATA_LOG!$D:$D,MATCH(1,(DATA_LOG!$A:$A=$A39)*(TEXT(DATA_LOG!$B:$B,"yyyy-MM-dd")=TEXT(DATE($P$3,MONTH(1&amp;$N$3),VALUE(LEFT(AF$5,2))),"yyyy-MM-dd")),0)),""))</f>
        <v/>
      </c>
    </row>
    <row r="43">
      <c r="A43" s="40" t="str">
        <f>IF($A39="", "", "TOTAL")</f>
        <v>TOTAL</v>
      </c>
      <c r="B43" s="41" t="str">
        <f t="shared" ref="B43:AF43" si="6">IF(OR(B41="",B42=""),"",B42-B41)</f>
        <v/>
      </c>
      <c r="C43" s="34" t="str">
        <f t="shared" si="6"/>
        <v/>
      </c>
      <c r="D43" s="34" t="str">
        <f t="shared" si="6"/>
        <v/>
      </c>
      <c r="E43" s="34" t="str">
        <f t="shared" si="6"/>
        <v/>
      </c>
      <c r="F43" s="34" t="str">
        <f t="shared" si="6"/>
        <v/>
      </c>
      <c r="G43" s="34" t="str">
        <f t="shared" si="6"/>
        <v/>
      </c>
      <c r="H43" s="34" t="str">
        <f t="shared" si="6"/>
        <v/>
      </c>
      <c r="I43" s="34" t="str">
        <f t="shared" si="6"/>
        <v/>
      </c>
      <c r="J43" s="34" t="str">
        <f t="shared" si="6"/>
        <v/>
      </c>
      <c r="K43" s="34" t="str">
        <f t="shared" si="6"/>
        <v/>
      </c>
      <c r="L43" s="34" t="str">
        <f t="shared" si="6"/>
        <v/>
      </c>
      <c r="M43" s="34" t="str">
        <f t="shared" si="6"/>
        <v/>
      </c>
      <c r="N43" s="34" t="str">
        <f t="shared" si="6"/>
        <v/>
      </c>
      <c r="O43" s="34" t="str">
        <f t="shared" si="6"/>
        <v/>
      </c>
      <c r="P43" s="34" t="str">
        <f t="shared" si="6"/>
        <v/>
      </c>
      <c r="Q43" s="34" t="str">
        <f t="shared" si="6"/>
        <v/>
      </c>
      <c r="R43" s="34" t="str">
        <f t="shared" si="6"/>
        <v/>
      </c>
      <c r="S43" s="34" t="str">
        <f t="shared" si="6"/>
        <v/>
      </c>
      <c r="T43" s="34" t="str">
        <f t="shared" si="6"/>
        <v/>
      </c>
      <c r="U43" s="34" t="str">
        <f t="shared" si="6"/>
        <v/>
      </c>
      <c r="V43" s="34" t="str">
        <f t="shared" si="6"/>
        <v/>
      </c>
      <c r="W43" s="34" t="str">
        <f t="shared" si="6"/>
        <v/>
      </c>
      <c r="X43" s="34" t="str">
        <f t="shared" si="6"/>
        <v/>
      </c>
      <c r="Y43" s="34" t="str">
        <f t="shared" si="6"/>
        <v/>
      </c>
      <c r="Z43" s="34" t="str">
        <f t="shared" si="6"/>
        <v/>
      </c>
      <c r="AA43" s="34" t="str">
        <f t="shared" si="6"/>
        <v/>
      </c>
      <c r="AB43" s="34" t="str">
        <f t="shared" si="6"/>
        <v/>
      </c>
      <c r="AC43" s="34" t="str">
        <f t="shared" si="6"/>
        <v/>
      </c>
      <c r="AD43" s="34" t="str">
        <f t="shared" si="6"/>
        <v/>
      </c>
      <c r="AE43" s="34" t="str">
        <f t="shared" si="6"/>
        <v/>
      </c>
      <c r="AF43" s="34" t="str">
        <f t="shared" si="6"/>
        <v/>
      </c>
    </row>
    <row r="44">
      <c r="A44" s="42" t="str">
        <f>IF($A39="", "", "STATUS")</f>
        <v>STATUS</v>
      </c>
      <c r="B44" s="43" t="str">
        <f>IFERROR(__xludf.DUMMYFUNCTION("IF($A39="""","""",IF(B$40="""","""",LET(logStatus,IFNA(INDEX(DATA_LOG!$E:$E,MATCH(1,(DATA_LOG!$A:$A=$A39)*(TEXT(DATA_LOG!$B:$B,""yyyy-MM-dd"")=TEXT(DATE($P$3,MONTH(1&amp;$N$3),VALUE(LEFT(B$40,2))),""yyyy-MM-dd"")),0)),""""),selectedDate,DATE($P$3,MONTH(1&amp;$N$3"&amp;"),VALUE(LEFT(B$40,2))),IF(logStatus&lt;&gt;"""",UPPER(logStatus),IF(selectedDate&gt;TODAY(),""-"",IF(REGEXMATCH(B$40,""SUN""),""WO"",IF(B$43&lt;&gt;"""",IF(VALUE(B$43)&gt;=9/24,""FD"",""HD""),""A"")))))))"),"A")</f>
        <v>A</v>
      </c>
      <c r="C44" s="43" t="str">
        <f>IFERROR(__xludf.DUMMYFUNCTION("IF($A39="""","""",IF(C$40="""","""",LET(logStatus,IFNA(INDEX(DATA_LOG!$E:$E,MATCH(1,(DATA_LOG!$A:$A=$A39)*(TEXT(DATA_LOG!$B:$B,""yyyy-MM-dd"")=TEXT(DATE($P$3,MONTH(1&amp;$N$3),VALUE(LEFT(C$40,2))),""yyyy-MM-dd"")),0)),""""),selectedDate,DATE($P$3,MONTH(1&amp;$N$3"&amp;"),VALUE(LEFT(C$40,2))),IF(logStatus&lt;&gt;"""",UPPER(logStatus),IF(selectedDate&gt;TODAY(),""-"",IF(REGEXMATCH(C$40,""SUN""),""WO"",IF(C$43&lt;&gt;"""",IF(VALUE(C$43)&gt;=9/24,""FD"",""HD""),""A"")))))))"),"A")</f>
        <v>A</v>
      </c>
      <c r="D44" s="43" t="str">
        <f>IFERROR(__xludf.DUMMYFUNCTION("IF($A39="""","""",IF(D$40="""","""",LET(logStatus,IFNA(INDEX(DATA_LOG!$E:$E,MATCH(1,(DATA_LOG!$A:$A=$A39)*(TEXT(DATA_LOG!$B:$B,""yyyy-MM-dd"")=TEXT(DATE($P$3,MONTH(1&amp;$N$3),VALUE(LEFT(D$40,2))),""yyyy-MM-dd"")),0)),""""),selectedDate,DATE($P$3,MONTH(1&amp;$N$3"&amp;"),VALUE(LEFT(D$40,2))),IF(logStatus&lt;&gt;"""",UPPER(logStatus),IF(selectedDate&gt;TODAY(),""-"",IF(REGEXMATCH(D$40,""SUN""),""WO"",IF(D$43&lt;&gt;"""",IF(VALUE(D$43)&gt;=9/24,""FD"",""HD""),""A"")))))))"),"A")</f>
        <v>A</v>
      </c>
      <c r="E44" s="43" t="str">
        <f>IFERROR(__xludf.DUMMYFUNCTION("IF($A39="""","""",IF(E$40="""","""",LET(logStatus,IFNA(INDEX(DATA_LOG!$E:$E,MATCH(1,(DATA_LOG!$A:$A=$A39)*(TEXT(DATA_LOG!$B:$B,""yyyy-MM-dd"")=TEXT(DATE($P$3,MONTH(1&amp;$N$3),VALUE(LEFT(E$40,2))),""yyyy-MM-dd"")),0)),""""),selectedDate,DATE($P$3,MONTH(1&amp;$N$3"&amp;"),VALUE(LEFT(E$40,2))),IF(logStatus&lt;&gt;"""",UPPER(logStatus),IF(selectedDate&gt;TODAY(),""-"",IF(REGEXMATCH(E$40,""SUN""),""WO"",IF(E$43&lt;&gt;"""",IF(VALUE(E$43)&gt;=9/24,""FD"",""HD""),""A"")))))))"),"A")</f>
        <v>A</v>
      </c>
      <c r="F44" s="43" t="str">
        <f>IFERROR(__xludf.DUMMYFUNCTION("IF($A39="""","""",IF(F$40="""","""",LET(logStatus,IFNA(INDEX(DATA_LOG!$E:$E,MATCH(1,(DATA_LOG!$A:$A=$A39)*(TEXT(DATA_LOG!$B:$B,""yyyy-MM-dd"")=TEXT(DATE($P$3,MONTH(1&amp;$N$3),VALUE(LEFT(F$40,2))),""yyyy-MM-dd"")),0)),""""),selectedDate,DATE($P$3,MONTH(1&amp;$N$3"&amp;"),VALUE(LEFT(F$40,2))),IF(logStatus&lt;&gt;"""",UPPER(logStatus),IF(selectedDate&gt;TODAY(),""-"",IF(REGEXMATCH(F$40,""SUN""),""WO"",IF(F$43&lt;&gt;"""",IF(VALUE(F$43)&gt;=9/24,""FD"",""HD""),""A"")))))))"),"A")</f>
        <v>A</v>
      </c>
      <c r="G44" s="43" t="str">
        <f>IFERROR(__xludf.DUMMYFUNCTION("IF($A39="""","""",IF(G$40="""","""",LET(logStatus,IFNA(INDEX(DATA_LOG!$E:$E,MATCH(1,(DATA_LOG!$A:$A=$A39)*(TEXT(DATA_LOG!$B:$B,""yyyy-MM-dd"")=TEXT(DATE($P$3,MONTH(1&amp;$N$3),VALUE(LEFT(G$40,2))),""yyyy-MM-dd"")),0)),""""),selectedDate,DATE($P$3,MONTH(1&amp;$N$3"&amp;"),VALUE(LEFT(G$40,2))),IF(logStatus&lt;&gt;"""",UPPER(logStatus),IF(selectedDate&gt;TODAY(),""-"",IF(REGEXMATCH(G$40,""SUN""),""WO"",IF(G$43&lt;&gt;"""",IF(VALUE(G$43)&gt;=9/24,""FD"",""HD""),""A"")))))))"),"WO")</f>
        <v>WO</v>
      </c>
      <c r="H44" s="43" t="str">
        <f>IFERROR(__xludf.DUMMYFUNCTION("IF($A39="""","""",IF(H$40="""","""",LET(logStatus,IFNA(INDEX(DATA_LOG!$E:$E,MATCH(1,(DATA_LOG!$A:$A=$A39)*(TEXT(DATA_LOG!$B:$B,""yyyy-MM-dd"")=TEXT(DATE($P$3,MONTH(1&amp;$N$3),VALUE(LEFT(H$40,2))),""yyyy-MM-dd"")),0)),""""),selectedDate,DATE($P$3,MONTH(1&amp;$N$3"&amp;"),VALUE(LEFT(H$40,2))),IF(logStatus&lt;&gt;"""",UPPER(logStatus),IF(selectedDate&gt;TODAY(),""-"",IF(REGEXMATCH(H$40,""SUN""),""WO"",IF(H$43&lt;&gt;"""",IF(VALUE(H$43)&gt;=9/24,""FD"",""HD""),""A"")))))))"),"A")</f>
        <v>A</v>
      </c>
      <c r="I44" s="43" t="str">
        <f>IFERROR(__xludf.DUMMYFUNCTION("IF($A39="""","""",IF(I$40="""","""",LET(logStatus,IFNA(INDEX(DATA_LOG!$E:$E,MATCH(1,(DATA_LOG!$A:$A=$A39)*(TEXT(DATA_LOG!$B:$B,""yyyy-MM-dd"")=TEXT(DATE($P$3,MONTH(1&amp;$N$3),VALUE(LEFT(I$40,2))),""yyyy-MM-dd"")),0)),""""),selectedDate,DATE($P$3,MONTH(1&amp;$N$3"&amp;"),VALUE(LEFT(I$40,2))),IF(logStatus&lt;&gt;"""",UPPER(logStatus),IF(selectedDate&gt;TODAY(),""-"",IF(REGEXMATCH(I$40,""SUN""),""WO"",IF(I$43&lt;&gt;"""",IF(VALUE(I$43)&gt;=9/24,""FD"",""HD""),""A"")))))))"),"A")</f>
        <v>A</v>
      </c>
      <c r="J44" s="43" t="str">
        <f>IFERROR(__xludf.DUMMYFUNCTION("IF($A39="""","""",IF(J$40="""","""",LET(logStatus,IFNA(INDEX(DATA_LOG!$E:$E,MATCH(1,(DATA_LOG!$A:$A=$A39)*(TEXT(DATA_LOG!$B:$B,""yyyy-MM-dd"")=TEXT(DATE($P$3,MONTH(1&amp;$N$3),VALUE(LEFT(J$40,2))),""yyyy-MM-dd"")),0)),""""),selectedDate,DATE($P$3,MONTH(1&amp;$N$3"&amp;"),VALUE(LEFT(J$40,2))),IF(logStatus&lt;&gt;"""",UPPER(logStatus),IF(selectedDate&gt;TODAY(),""-"",IF(REGEXMATCH(J$40,""SUN""),""WO"",IF(J$43&lt;&gt;"""",IF(VALUE(J$43)&gt;=9/24,""FD"",""HD""),""A"")))))))"),"A")</f>
        <v>A</v>
      </c>
      <c r="K44" s="43" t="str">
        <f>IFERROR(__xludf.DUMMYFUNCTION("IF($A39="""","""",IF(K$40="""","""",LET(logStatus,IFNA(INDEX(DATA_LOG!$E:$E,MATCH(1,(DATA_LOG!$A:$A=$A39)*(TEXT(DATA_LOG!$B:$B,""yyyy-MM-dd"")=TEXT(DATE($P$3,MONTH(1&amp;$N$3),VALUE(LEFT(K$40,2))),""yyyy-MM-dd"")),0)),""""),selectedDate,DATE($P$3,MONTH(1&amp;$N$3"&amp;"),VALUE(LEFT(K$40,2))),IF(logStatus&lt;&gt;"""",UPPER(logStatus),IF(selectedDate&gt;TODAY(),""-"",IF(REGEXMATCH(K$40,""SUN""),""WO"",IF(K$43&lt;&gt;"""",IF(VALUE(K$43)&gt;=9/24,""FD"",""HD""),""A"")))))))"),"A")</f>
        <v>A</v>
      </c>
      <c r="L44" s="43" t="str">
        <f>IFERROR(__xludf.DUMMYFUNCTION("IF($A39="""","""",IF(L$40="""","""",LET(logStatus,IFNA(INDEX(DATA_LOG!$E:$E,MATCH(1,(DATA_LOG!$A:$A=$A39)*(TEXT(DATA_LOG!$B:$B,""yyyy-MM-dd"")=TEXT(DATE($P$3,MONTH(1&amp;$N$3),VALUE(LEFT(L$40,2))),""yyyy-MM-dd"")),0)),""""),selectedDate,DATE($P$3,MONTH(1&amp;$N$3"&amp;"),VALUE(LEFT(L$40,2))),IF(logStatus&lt;&gt;"""",UPPER(logStatus),IF(selectedDate&gt;TODAY(),""-"",IF(REGEXMATCH(L$40,""SUN""),""WO"",IF(L$43&lt;&gt;"""",IF(VALUE(L$43)&gt;=9/24,""FD"",""HD""),""A"")))))))"),"A")</f>
        <v>A</v>
      </c>
      <c r="M44" s="43" t="str">
        <f>IFERROR(__xludf.DUMMYFUNCTION("IF($A39="""","""",IF(M$40="""","""",LET(logStatus,IFNA(INDEX(DATA_LOG!$E:$E,MATCH(1,(DATA_LOG!$A:$A=$A39)*(TEXT(DATA_LOG!$B:$B,""yyyy-MM-dd"")=TEXT(DATE($P$3,MONTH(1&amp;$N$3),VALUE(LEFT(M$40,2))),""yyyy-MM-dd"")),0)),""""),selectedDate,DATE($P$3,MONTH(1&amp;$N$3"&amp;"),VALUE(LEFT(M$40,2))),IF(logStatus&lt;&gt;"""",UPPER(logStatus),IF(selectedDate&gt;TODAY(),""-"",IF(REGEXMATCH(M$40,""SUN""),""WO"",IF(M$43&lt;&gt;"""",IF(VALUE(M$43)&gt;=9/24,""FD"",""HD""),""A"")))))))"),"-")</f>
        <v>-</v>
      </c>
      <c r="N44" s="43" t="str">
        <f>IFERROR(__xludf.DUMMYFUNCTION("IF($A39="""","""",IF(N$40="""","""",LET(logStatus,IFNA(INDEX(DATA_LOG!$E:$E,MATCH(1,(DATA_LOG!$A:$A=$A39)*(TEXT(DATA_LOG!$B:$B,""yyyy-MM-dd"")=TEXT(DATE($P$3,MONTH(1&amp;$N$3),VALUE(LEFT(N$40,2))),""yyyy-MM-dd"")),0)),""""),selectedDate,DATE($P$3,MONTH(1&amp;$N$3"&amp;"),VALUE(LEFT(N$40,2))),IF(logStatus&lt;&gt;"""",UPPER(logStatus),IF(selectedDate&gt;TODAY(),""-"",IF(REGEXMATCH(N$40,""SUN""),""WO"",IF(N$43&lt;&gt;"""",IF(VALUE(N$43)&gt;=9/24,""FD"",""HD""),""A"")))))))"),"-")</f>
        <v>-</v>
      </c>
      <c r="O44" s="43" t="str">
        <f>IFERROR(__xludf.DUMMYFUNCTION("IF($A39="""","""",IF(O$40="""","""",LET(logStatus,IFNA(INDEX(DATA_LOG!$E:$E,MATCH(1,(DATA_LOG!$A:$A=$A39)*(TEXT(DATA_LOG!$B:$B,""yyyy-MM-dd"")=TEXT(DATE($P$3,MONTH(1&amp;$N$3),VALUE(LEFT(O$40,2))),""yyyy-MM-dd"")),0)),""""),selectedDate,DATE($P$3,MONTH(1&amp;$N$3"&amp;"),VALUE(LEFT(O$40,2))),IF(logStatus&lt;&gt;"""",UPPER(logStatus),IF(selectedDate&gt;TODAY(),""-"",IF(REGEXMATCH(O$40,""SUN""),""WO"",IF(O$43&lt;&gt;"""",IF(VALUE(O$43)&gt;=9/24,""FD"",""HD""),""A"")))))))"),"-")</f>
        <v>-</v>
      </c>
      <c r="P44" s="43" t="str">
        <f>IFERROR(__xludf.DUMMYFUNCTION("IF($A39="""","""",IF(P$40="""","""",LET(logStatus,IFNA(INDEX(DATA_LOG!$E:$E,MATCH(1,(DATA_LOG!$A:$A=$A39)*(TEXT(DATA_LOG!$B:$B,""yyyy-MM-dd"")=TEXT(DATE($P$3,MONTH(1&amp;$N$3),VALUE(LEFT(P$40,2))),""yyyy-MM-dd"")),0)),""""),selectedDate,DATE($P$3,MONTH(1&amp;$N$3"&amp;"),VALUE(LEFT(P$40,2))),IF(logStatus&lt;&gt;"""",UPPER(logStatus),IF(selectedDate&gt;TODAY(),""-"",IF(REGEXMATCH(P$40,""SUN""),""WO"",IF(P$43&lt;&gt;"""",IF(VALUE(P$43)&gt;=9/24,""FD"",""HD""),""A"")))))))"),"-")</f>
        <v>-</v>
      </c>
      <c r="Q44" s="43" t="str">
        <f>IFERROR(__xludf.DUMMYFUNCTION("IF($A39="""","""",IF(Q$40="""","""",LET(logStatus,IFNA(INDEX(DATA_LOG!$E:$E,MATCH(1,(DATA_LOG!$A:$A=$A39)*(TEXT(DATA_LOG!$B:$B,""yyyy-MM-dd"")=TEXT(DATE($P$3,MONTH(1&amp;$N$3),VALUE(LEFT(Q$40,2))),""yyyy-MM-dd"")),0)),""""),selectedDate,DATE($P$3,MONTH(1&amp;$N$3"&amp;"),VALUE(LEFT(Q$40,2))),IF(logStatus&lt;&gt;"""",UPPER(logStatus),IF(selectedDate&gt;TODAY(),""-"",IF(REGEXMATCH(Q$40,""SUN""),""WO"",IF(Q$43&lt;&gt;"""",IF(VALUE(Q$43)&gt;=9/24,""FD"",""HD""),""A"")))))))"),"-")</f>
        <v>-</v>
      </c>
      <c r="R44" s="43" t="str">
        <f>IFERROR(__xludf.DUMMYFUNCTION("IF($A39="""","""",IF(R$40="""","""",LET(logStatus,IFNA(INDEX(DATA_LOG!$E:$E,MATCH(1,(DATA_LOG!$A:$A=$A39)*(TEXT(DATA_LOG!$B:$B,""yyyy-MM-dd"")=TEXT(DATE($P$3,MONTH(1&amp;$N$3),VALUE(LEFT(R$40,2))),""yyyy-MM-dd"")),0)),""""),selectedDate,DATE($P$3,MONTH(1&amp;$N$3"&amp;"),VALUE(LEFT(R$40,2))),IF(logStatus&lt;&gt;"""",UPPER(logStatus),IF(selectedDate&gt;TODAY(),""-"",IF(REGEXMATCH(R$40,""SUN""),""WO"",IF(R$43&lt;&gt;"""",IF(VALUE(R$43)&gt;=9/24,""FD"",""HD""),""A"")))))))"),"-")</f>
        <v>-</v>
      </c>
      <c r="S44" s="43" t="str">
        <f>IFERROR(__xludf.DUMMYFUNCTION("IF($A39="""","""",IF(S$40="""","""",LET(logStatus,IFNA(INDEX(DATA_LOG!$E:$E,MATCH(1,(DATA_LOG!$A:$A=$A39)*(TEXT(DATA_LOG!$B:$B,""yyyy-MM-dd"")=TEXT(DATE($P$3,MONTH(1&amp;$N$3),VALUE(LEFT(S$40,2))),""yyyy-MM-dd"")),0)),""""),selectedDate,DATE($P$3,MONTH(1&amp;$N$3"&amp;"),VALUE(LEFT(S$40,2))),IF(logStatus&lt;&gt;"""",UPPER(logStatus),IF(selectedDate&gt;TODAY(),""-"",IF(REGEXMATCH(S$40,""SUN""),""WO"",IF(S$43&lt;&gt;"""",IF(VALUE(S$43)&gt;=9/24,""FD"",""HD""),""A"")))))))"),"-")</f>
        <v>-</v>
      </c>
      <c r="T44" s="43" t="str">
        <f>IFERROR(__xludf.DUMMYFUNCTION("IF($A39="""","""",IF(T$40="""","""",LET(logStatus,IFNA(INDEX(DATA_LOG!$E:$E,MATCH(1,(DATA_LOG!$A:$A=$A39)*(TEXT(DATA_LOG!$B:$B,""yyyy-MM-dd"")=TEXT(DATE($P$3,MONTH(1&amp;$N$3),VALUE(LEFT(T$40,2))),""yyyy-MM-dd"")),0)),""""),selectedDate,DATE($P$3,MONTH(1&amp;$N$3"&amp;"),VALUE(LEFT(T$40,2))),IF(logStatus&lt;&gt;"""",UPPER(logStatus),IF(selectedDate&gt;TODAY(),""-"",IF(REGEXMATCH(T$40,""SUN""),""WO"",IF(T$43&lt;&gt;"""",IF(VALUE(T$43)&gt;=9/24,""FD"",""HD""),""A"")))))))"),"-")</f>
        <v>-</v>
      </c>
      <c r="U44" s="43" t="str">
        <f>IFERROR(__xludf.DUMMYFUNCTION("IF($A39="""","""",IF(U$40="""","""",LET(logStatus,IFNA(INDEX(DATA_LOG!$E:$E,MATCH(1,(DATA_LOG!$A:$A=$A39)*(TEXT(DATA_LOG!$B:$B,""yyyy-MM-dd"")=TEXT(DATE($P$3,MONTH(1&amp;$N$3),VALUE(LEFT(U$40,2))),""yyyy-MM-dd"")),0)),""""),selectedDate,DATE($P$3,MONTH(1&amp;$N$3"&amp;"),VALUE(LEFT(U$40,2))),IF(logStatus&lt;&gt;"""",UPPER(logStatus),IF(selectedDate&gt;TODAY(),""-"",IF(REGEXMATCH(U$40,""SUN""),""WO"",IF(U$43&lt;&gt;"""",IF(VALUE(U$43)&gt;=9/24,""FD"",""HD""),""A"")))))))"),"-")</f>
        <v>-</v>
      </c>
      <c r="V44" s="43" t="str">
        <f>IFERROR(__xludf.DUMMYFUNCTION("IF($A39="""","""",IF(V$40="""","""",LET(logStatus,IFNA(INDEX(DATA_LOG!$E:$E,MATCH(1,(DATA_LOG!$A:$A=$A39)*(TEXT(DATA_LOG!$B:$B,""yyyy-MM-dd"")=TEXT(DATE($P$3,MONTH(1&amp;$N$3),VALUE(LEFT(V$40,2))),""yyyy-MM-dd"")),0)),""""),selectedDate,DATE($P$3,MONTH(1&amp;$N$3"&amp;"),VALUE(LEFT(V$40,2))),IF(logStatus&lt;&gt;"""",UPPER(logStatus),IF(selectedDate&gt;TODAY(),""-"",IF(REGEXMATCH(V$40,""SUN""),""WO"",IF(V$43&lt;&gt;"""",IF(VALUE(V$43)&gt;=9/24,""FD"",""HD""),""A"")))))))"),"-")</f>
        <v>-</v>
      </c>
      <c r="W44" s="43" t="str">
        <f>IFERROR(__xludf.DUMMYFUNCTION("IF($A39="""","""",IF(W$40="""","""",LET(logStatus,IFNA(INDEX(DATA_LOG!$E:$E,MATCH(1,(DATA_LOG!$A:$A=$A39)*(TEXT(DATA_LOG!$B:$B,""yyyy-MM-dd"")=TEXT(DATE($P$3,MONTH(1&amp;$N$3),VALUE(LEFT(W$40,2))),""yyyy-MM-dd"")),0)),""""),selectedDate,DATE($P$3,MONTH(1&amp;$N$3"&amp;"),VALUE(LEFT(W$40,2))),IF(logStatus&lt;&gt;"""",UPPER(logStatus),IF(selectedDate&gt;TODAY(),""-"",IF(REGEXMATCH(W$40,""SUN""),""WO"",IF(W$43&lt;&gt;"""",IF(VALUE(W$43)&gt;=9/24,""FD"",""HD""),""A"")))))))"),"-")</f>
        <v>-</v>
      </c>
      <c r="X44" s="43" t="str">
        <f>IFERROR(__xludf.DUMMYFUNCTION("IF($A39="""","""",IF(X$40="""","""",LET(logStatus,IFNA(INDEX(DATA_LOG!$E:$E,MATCH(1,(DATA_LOG!$A:$A=$A39)*(TEXT(DATA_LOG!$B:$B,""yyyy-MM-dd"")=TEXT(DATE($P$3,MONTH(1&amp;$N$3),VALUE(LEFT(X$40,2))),""yyyy-MM-dd"")),0)),""""),selectedDate,DATE($P$3,MONTH(1&amp;$N$3"&amp;"),VALUE(LEFT(X$40,2))),IF(logStatus&lt;&gt;"""",UPPER(logStatus),IF(selectedDate&gt;TODAY(),""-"",IF(REGEXMATCH(X$40,""SUN""),""WO"",IF(X$43&lt;&gt;"""",IF(VALUE(X$43)&gt;=9/24,""FD"",""HD""),""A"")))))))"),"-")</f>
        <v>-</v>
      </c>
      <c r="Y44" s="43" t="str">
        <f>IFERROR(__xludf.DUMMYFUNCTION("IF($A39="""","""",IF(Y$40="""","""",LET(logStatus,IFNA(INDEX(DATA_LOG!$E:$E,MATCH(1,(DATA_LOG!$A:$A=$A39)*(TEXT(DATA_LOG!$B:$B,""yyyy-MM-dd"")=TEXT(DATE($P$3,MONTH(1&amp;$N$3),VALUE(LEFT(Y$40,2))),""yyyy-MM-dd"")),0)),""""),selectedDate,DATE($P$3,MONTH(1&amp;$N$3"&amp;"),VALUE(LEFT(Y$40,2))),IF(logStatus&lt;&gt;"""",UPPER(logStatus),IF(selectedDate&gt;TODAY(),""-"",IF(REGEXMATCH(Y$40,""SUN""),""WO"",IF(Y$43&lt;&gt;"""",IF(VALUE(Y$43)&gt;=9/24,""FD"",""HD""),""A"")))))))"),"-")</f>
        <v>-</v>
      </c>
      <c r="Z44" s="43" t="str">
        <f>IFERROR(__xludf.DUMMYFUNCTION("IF($A39="""","""",IF(Z$40="""","""",LET(logStatus,IFNA(INDEX(DATA_LOG!$E:$E,MATCH(1,(DATA_LOG!$A:$A=$A39)*(TEXT(DATA_LOG!$B:$B,""yyyy-MM-dd"")=TEXT(DATE($P$3,MONTH(1&amp;$N$3),VALUE(LEFT(Z$40,2))),""yyyy-MM-dd"")),0)),""""),selectedDate,DATE($P$3,MONTH(1&amp;$N$3"&amp;"),VALUE(LEFT(Z$40,2))),IF(logStatus&lt;&gt;"""",UPPER(logStatus),IF(selectedDate&gt;TODAY(),""-"",IF(REGEXMATCH(Z$40,""SUN""),""WO"",IF(Z$43&lt;&gt;"""",IF(VALUE(Z$43)&gt;=9/24,""FD"",""HD""),""A"")))))))"),"-")</f>
        <v>-</v>
      </c>
      <c r="AA44" s="43" t="str">
        <f>IFERROR(__xludf.DUMMYFUNCTION("IF($A39="""","""",IF(AA$40="""","""",LET(logStatus,IFNA(INDEX(DATA_LOG!$E:$E,MATCH(1,(DATA_LOG!$A:$A=$A39)*(TEXT(DATA_LOG!$B:$B,""yyyy-MM-dd"")=TEXT(DATE($P$3,MONTH(1&amp;$N$3),VALUE(LEFT(AA$40,2))),""yyyy-MM-dd"")),0)),""""),selectedDate,DATE($P$3,MONTH(1&amp;$N"&amp;"$3),VALUE(LEFT(AA$40,2))),IF(logStatus&lt;&gt;"""",UPPER(logStatus),IF(selectedDate&gt;TODAY(),""-"",IF(REGEXMATCH(AA$40,""SUN""),""WO"",IF(AA$43&lt;&gt;"""",IF(VALUE(AA$43)&gt;=9/24,""FD"",""HD""),""A"")))))))"),"-")</f>
        <v>-</v>
      </c>
      <c r="AB44" s="43" t="str">
        <f>IFERROR(__xludf.DUMMYFUNCTION("IF($A39="""","""",IF(AB$40="""","""",LET(logStatus,IFNA(INDEX(DATA_LOG!$E:$E,MATCH(1,(DATA_LOG!$A:$A=$A39)*(TEXT(DATA_LOG!$B:$B,""yyyy-MM-dd"")=TEXT(DATE($P$3,MONTH(1&amp;$N$3),VALUE(LEFT(AB$40,2))),""yyyy-MM-dd"")),0)),""""),selectedDate,DATE($P$3,MONTH(1&amp;$N"&amp;"$3),VALUE(LEFT(AB$40,2))),IF(logStatus&lt;&gt;"""",UPPER(logStatus),IF(selectedDate&gt;TODAY(),""-"",IF(REGEXMATCH(AB$40,""SUN""),""WO"",IF(AB$43&lt;&gt;"""",IF(VALUE(AB$43)&gt;=9/24,""FD"",""HD""),""A"")))))))"),"-")</f>
        <v>-</v>
      </c>
      <c r="AC44" s="43" t="str">
        <f>IFERROR(__xludf.DUMMYFUNCTION("IF($A39="""","""",IF(AC$40="""","""",LET(logStatus,IFNA(INDEX(DATA_LOG!$E:$E,MATCH(1,(DATA_LOG!$A:$A=$A39)*(TEXT(DATA_LOG!$B:$B,""yyyy-MM-dd"")=TEXT(DATE($P$3,MONTH(1&amp;$N$3),VALUE(LEFT(AC$40,2))),""yyyy-MM-dd"")),0)),""""),selectedDate,DATE($P$3,MONTH(1&amp;$N"&amp;"$3),VALUE(LEFT(AC$40,2))),IF(logStatus&lt;&gt;"""",UPPER(logStatus),IF(selectedDate&gt;TODAY(),""-"",IF(REGEXMATCH(AC$40,""SUN""),""WO"",IF(AC$43&lt;&gt;"""",IF(VALUE(AC$43)&gt;=9/24,""FD"",""HD""),""A"")))))))"),"-")</f>
        <v>-</v>
      </c>
      <c r="AD44" s="43" t="str">
        <f>IFERROR(__xludf.DUMMYFUNCTION("IF($A39="""","""",IF(AD$40="""","""",LET(logStatus,IFNA(INDEX(DATA_LOG!$E:$E,MATCH(1,(DATA_LOG!$A:$A=$A39)*(TEXT(DATA_LOG!$B:$B,""yyyy-MM-dd"")=TEXT(DATE($P$3,MONTH(1&amp;$N$3),VALUE(LEFT(AD$40,2))),""yyyy-MM-dd"")),0)),""""),selectedDate,DATE($P$3,MONTH(1&amp;$N"&amp;"$3),VALUE(LEFT(AD$40,2))),IF(logStatus&lt;&gt;"""",UPPER(logStatus),IF(selectedDate&gt;TODAY(),""-"",IF(REGEXMATCH(AD$40,""SUN""),""WO"",IF(AD$43&lt;&gt;"""",IF(VALUE(AD$43)&gt;=9/24,""FD"",""HD""),""A"")))))))"),"-")</f>
        <v>-</v>
      </c>
      <c r="AE44" s="43" t="str">
        <f>IFERROR(__xludf.DUMMYFUNCTION("IF($A39="""","""",IF(AE$40="""","""",LET(logStatus,IFNA(INDEX(DATA_LOG!$E:$E,MATCH(1,(DATA_LOG!$A:$A=$A39)*(TEXT(DATA_LOG!$B:$B,""yyyy-MM-dd"")=TEXT(DATE($P$3,MONTH(1&amp;$N$3),VALUE(LEFT(AE$40,2))),""yyyy-MM-dd"")),0)),""""),selectedDate,DATE($P$3,MONTH(1&amp;$N"&amp;"$3),VALUE(LEFT(AE$40,2))),IF(logStatus&lt;&gt;"""",UPPER(logStatus),IF(selectedDate&gt;TODAY(),""-"",IF(REGEXMATCH(AE$40,""SUN""),""WO"",IF(AE$43&lt;&gt;"""",IF(VALUE(AE$43)&gt;=9/24,""FD"",""HD""),""A"")))))))"),"-")</f>
        <v>-</v>
      </c>
      <c r="AF44" s="43" t="str">
        <f>IFERROR(__xludf.DUMMYFUNCTION("IF($A39="""","""",IF(AF$40="""","""",LET(logStatus,IFNA(INDEX(DATA_LOG!$E:$E,MATCH(1,(DATA_LOG!$A:$A=$A39)*(TEXT(DATA_LOG!$B:$B,""yyyy-MM-dd"")=TEXT(DATE($P$3,MONTH(1&amp;$N$3),VALUE(LEFT(AF$40,2))),""yyyy-MM-dd"")),0)),""""),selectedDate,DATE($P$3,MONTH(1&amp;$N"&amp;"$3),VALUE(LEFT(AF$40,2))),IF(logStatus&lt;&gt;"""",UPPER(logStatus),IF(selectedDate&gt;TODAY(),""-"",IF(REGEXMATCH(AF$40,""SUN""),""WO"",IF(AF$43&lt;&gt;"""",IF(VALUE(AF$43)&gt;=9/24,""FD"",""HD""),""A"")))))))"),"")</f>
        <v/>
      </c>
    </row>
    <row r="45">
      <c r="A45" s="44"/>
    </row>
    <row r="46">
      <c r="A46" s="25" t="str">
        <f t="array" ref="A46">INDEX(EMPLOYEE_LIST!$A:$A,INT((ROW()-4)/7)+2)</f>
        <v>KHUSHAL SONKAR</v>
      </c>
      <c r="B46" s="26"/>
      <c r="C46" s="27"/>
      <c r="D46" s="28" t="str">
        <f>IF(A46="", "", IFERROR(VLOOKUP(A46, EMPLOYEE_LIST!$A:$H, 2, FALSE), ""))</f>
        <v>AYV-93</v>
      </c>
      <c r="E46" s="26"/>
      <c r="F46" s="26"/>
      <c r="G46" s="27"/>
      <c r="H46" s="29" t="str">
        <f>IF(A46="", "", IFERROR(VLOOKUP(A46, EMPLOYEE_LIST!$A:$H, 3, FALSE), ""))</f>
        <v>CIVIL</v>
      </c>
      <c r="I46" s="26"/>
      <c r="J46" s="26"/>
      <c r="K46" s="27"/>
      <c r="L46" s="29" t="str">
        <f>IF(A46="", "", IFERROR(VLOOKUP(A46, EMPLOYEE_LIST!$A:$H, 4, FALSE), ""))</f>
        <v>QUANTITY SURVEYOR</v>
      </c>
      <c r="M46" s="26"/>
      <c r="N46" s="26"/>
      <c r="O46" s="27"/>
      <c r="P46" s="30" t="str">
        <f>IF($A46="", "", "Full Day: " &amp; COUNTIF(B51:AF51, "FD"))</f>
        <v>Full Day: 0</v>
      </c>
      <c r="Q46" s="26"/>
      <c r="R46" s="27"/>
      <c r="S46" s="31" t="str">
        <f>IF($A46="", "", "HALF Day: " &amp; COUNTIF(B51:AF51, "HD"))</f>
        <v>HALF Day: 0</v>
      </c>
      <c r="T46" s="26"/>
      <c r="U46" s="27"/>
      <c r="V46" s="31" t="str">
        <f>IF($A46="", "", "ABSENT: " &amp; COUNTIF(B51:AF51, "A"))</f>
        <v>ABSENT: 10</v>
      </c>
      <c r="W46" s="26"/>
      <c r="X46" s="27"/>
      <c r="Y46" s="31" t="str">
        <f>IF($A46="", "", "WEEK OFF: " &amp; COUNTIF(B51:AF51, "WO"))</f>
        <v>WEEK OFF: 1</v>
      </c>
      <c r="Z46" s="26"/>
      <c r="AA46" s="27"/>
      <c r="AB46" s="31" t="str">
        <f>IF($A46="", "", "LEAVE: " &amp; COUNTIF(B51:AF51, "L"))</f>
        <v>LEAVE: 0</v>
      </c>
      <c r="AC46" s="27"/>
      <c r="AD46" s="31" t="str">
        <f>IF($A46="", "", "HOLIDAY: " &amp; COUNTIF(B51:AF51, "HL"))</f>
        <v>HOLIDAY: 0</v>
      </c>
      <c r="AE46" s="26"/>
      <c r="AF46" s="27"/>
    </row>
    <row r="47">
      <c r="A47" s="32" t="str">
        <f>IF($A46="", "", "DATE")</f>
        <v>DATE</v>
      </c>
      <c r="B47" s="33" t="str">
        <f t="array" ref="B47:AE47">IF($A46="","",LET(mNum,MONTH(1&amp;$N$3),start,DATE($P$3,mNum,1),days,DAY(EOMONTH(start,0)),MAP(SEQUENCE(1,days,0),LAMBDA(n,UPPER(TEXT(start+n,"dd (ddd)"))))))</f>
        <v>01 (TUE)</v>
      </c>
      <c r="C47" s="34" t="s">
        <v>89</v>
      </c>
      <c r="D47" s="34" t="s">
        <v>90</v>
      </c>
      <c r="E47" s="34" t="s">
        <v>91</v>
      </c>
      <c r="F47" s="34" t="s">
        <v>92</v>
      </c>
      <c r="G47" s="34" t="s">
        <v>93</v>
      </c>
      <c r="H47" s="34" t="s">
        <v>94</v>
      </c>
      <c r="I47" s="34" t="s">
        <v>95</v>
      </c>
      <c r="J47" s="34" t="s">
        <v>96</v>
      </c>
      <c r="K47" s="34" t="s">
        <v>97</v>
      </c>
      <c r="L47" s="34" t="s">
        <v>98</v>
      </c>
      <c r="M47" s="34" t="s">
        <v>99</v>
      </c>
      <c r="N47" s="34" t="s">
        <v>100</v>
      </c>
      <c r="O47" s="34" t="s">
        <v>101</v>
      </c>
      <c r="P47" s="34" t="s">
        <v>102</v>
      </c>
      <c r="Q47" s="34" t="s">
        <v>103</v>
      </c>
      <c r="R47" s="34" t="s">
        <v>104</v>
      </c>
      <c r="S47" s="34" t="s">
        <v>105</v>
      </c>
      <c r="T47" s="34" t="s">
        <v>106</v>
      </c>
      <c r="U47" s="34" t="s">
        <v>107</v>
      </c>
      <c r="V47" s="34" t="s">
        <v>108</v>
      </c>
      <c r="W47" s="34" t="s">
        <v>109</v>
      </c>
      <c r="X47" s="34" t="s">
        <v>110</v>
      </c>
      <c r="Y47" s="34" t="s">
        <v>111</v>
      </c>
      <c r="Z47" s="34" t="s">
        <v>112</v>
      </c>
      <c r="AA47" s="34" t="s">
        <v>113</v>
      </c>
      <c r="AB47" s="34" t="s">
        <v>114</v>
      </c>
      <c r="AC47" s="34" t="s">
        <v>115</v>
      </c>
      <c r="AD47" s="34" t="s">
        <v>116</v>
      </c>
      <c r="AE47" s="34" t="s">
        <v>117</v>
      </c>
      <c r="AF47" s="34"/>
    </row>
    <row r="48">
      <c r="A48" s="37" t="str">
        <f>IF($A46="", "", "IN")</f>
        <v>IN</v>
      </c>
      <c r="B48" s="39" t="str">
        <f t="array" ref="B48">IF(OR($A46="",B$5=""),"",IFNA(INDEX(DATA_LOG!$C:$C,MATCH(1,(DATA_LOG!$A:$A=$A46)*(TEXT(DATA_LOG!$B:$B,"yyyy-MM-dd")=TEXT(DATE($P$3,MONTH(1&amp;$N$3),VALUE(LEFT(B$5,2))),"yyyy-MM-dd")),0)),""))</f>
        <v/>
      </c>
      <c r="C48" s="39" t="str">
        <f t="array" ref="C48">IF(OR($A46="",C$5=""),"",IFNA(INDEX(DATA_LOG!$C:$C,MATCH(1,(DATA_LOG!$A:$A=$A46)*(TEXT(DATA_LOG!$B:$B,"yyyy-MM-dd")=TEXT(DATE($P$3,MONTH(1&amp;$N$3),VALUE(LEFT(C$5,2))),"yyyy-MM-dd")),0)),""))</f>
        <v/>
      </c>
      <c r="D48" s="39" t="str">
        <f t="array" ref="D48">IF(OR($A46="",D$5=""),"",IFNA(INDEX(DATA_LOG!$C:$C,MATCH(1,(DATA_LOG!$A:$A=$A46)*(TEXT(DATA_LOG!$B:$B,"yyyy-MM-dd")=TEXT(DATE($P$3,MONTH(1&amp;$N$3),VALUE(LEFT(D$5,2))),"yyyy-MM-dd")),0)),""))</f>
        <v/>
      </c>
      <c r="E48" s="39" t="str">
        <f t="array" ref="E48">IF(OR($A46="",E$5=""),"",IFNA(INDEX(DATA_LOG!$C:$C,MATCH(1,(DATA_LOG!$A:$A=$A46)*(TEXT(DATA_LOG!$B:$B,"yyyy-MM-dd")=TEXT(DATE($P$3,MONTH(1&amp;$N$3),VALUE(LEFT(E$5,2))),"yyyy-MM-dd")),0)),""))</f>
        <v/>
      </c>
      <c r="F48" s="39" t="str">
        <f t="array" ref="F48">IF(OR($A46="",F$5=""),"",IFNA(INDEX(DATA_LOG!$C:$C,MATCH(1,(DATA_LOG!$A:$A=$A46)*(TEXT(DATA_LOG!$B:$B,"yyyy-MM-dd")=TEXT(DATE($P$3,MONTH(1&amp;$N$3),VALUE(LEFT(F$5,2))),"yyyy-MM-dd")),0)),""))</f>
        <v/>
      </c>
      <c r="G48" s="39" t="str">
        <f t="array" ref="G48">IF(OR($A46="",G$5=""),"",IFNA(INDEX(DATA_LOG!$C:$C,MATCH(1,(DATA_LOG!$A:$A=$A46)*(TEXT(DATA_LOG!$B:$B,"yyyy-MM-dd")=TEXT(DATE($P$3,MONTH(1&amp;$N$3),VALUE(LEFT(G$5,2))),"yyyy-MM-dd")),0)),""))</f>
        <v/>
      </c>
      <c r="H48" s="39" t="str">
        <f t="array" ref="H48">IF(OR($A46="",H$5=""),"",IFNA(INDEX(DATA_LOG!$C:$C,MATCH(1,(DATA_LOG!$A:$A=$A46)*(TEXT(DATA_LOG!$B:$B,"yyyy-MM-dd")=TEXT(DATE($P$3,MONTH(1&amp;$N$3),VALUE(LEFT(H$5,2))),"yyyy-MM-dd")),0)),""))</f>
        <v/>
      </c>
      <c r="I48" s="39" t="str">
        <f t="array" ref="I48">IF(OR($A46="",I$5=""),"",IFNA(INDEX(DATA_LOG!$C:$C,MATCH(1,(DATA_LOG!$A:$A=$A46)*(TEXT(DATA_LOG!$B:$B,"yyyy-MM-dd")=TEXT(DATE($P$3,MONTH(1&amp;$N$3),VALUE(LEFT(I$5,2))),"yyyy-MM-dd")),0)),""))</f>
        <v/>
      </c>
      <c r="J48" s="39" t="str">
        <f t="array" ref="J48">IF(OR($A46="",J$5=""),"",IFNA(INDEX(DATA_LOG!$C:$C,MATCH(1,(DATA_LOG!$A:$A=$A46)*(TEXT(DATA_LOG!$B:$B,"yyyy-MM-dd")=TEXT(DATE($P$3,MONTH(1&amp;$N$3),VALUE(LEFT(J$5,2))),"yyyy-MM-dd")),0)),""))</f>
        <v/>
      </c>
      <c r="K48" s="39" t="str">
        <f t="array" ref="K48">IF(OR($A46="",K$5=""),"",IFNA(INDEX(DATA_LOG!$C:$C,MATCH(1,(DATA_LOG!$A:$A=$A46)*(TEXT(DATA_LOG!$B:$B,"yyyy-MM-dd")=TEXT(DATE($P$3,MONTH(1&amp;$N$3),VALUE(LEFT(K$5,2))),"yyyy-MM-dd")),0)),""))</f>
        <v/>
      </c>
      <c r="L48" s="39" t="str">
        <f t="array" ref="L48">IF(OR($A46="",L$5=""),"",IFNA(INDEX(DATA_LOG!$C:$C,MATCH(1,(DATA_LOG!$A:$A=$A46)*(TEXT(DATA_LOG!$B:$B,"yyyy-MM-dd")=TEXT(DATE($P$3,MONTH(1&amp;$N$3),VALUE(LEFT(L$5,2))),"yyyy-MM-dd")),0)),""))</f>
        <v/>
      </c>
      <c r="M48" s="39" t="str">
        <f t="array" ref="M48">IF(OR($A46="",M$5=""),"",IFNA(INDEX(DATA_LOG!$C:$C,MATCH(1,(DATA_LOG!$A:$A=$A46)*(TEXT(DATA_LOG!$B:$B,"yyyy-MM-dd")=TEXT(DATE($P$3,MONTH(1&amp;$N$3),VALUE(LEFT(M$5,2))),"yyyy-MM-dd")),0)),""))</f>
        <v/>
      </c>
      <c r="N48" s="39" t="str">
        <f t="array" ref="N48">IF(OR($A46="",N$5=""),"",IFNA(INDEX(DATA_LOG!$C:$C,MATCH(1,(DATA_LOG!$A:$A=$A46)*(TEXT(DATA_LOG!$B:$B,"yyyy-MM-dd")=TEXT(DATE($P$3,MONTH(1&amp;$N$3),VALUE(LEFT(N$5,2))),"yyyy-MM-dd")),0)),""))</f>
        <v/>
      </c>
      <c r="O48" s="39" t="str">
        <f t="array" ref="O48">IF(OR($A46="",O$5=""),"",IFNA(INDEX(DATA_LOG!$C:$C,MATCH(1,(DATA_LOG!$A:$A=$A46)*(TEXT(DATA_LOG!$B:$B,"yyyy-MM-dd")=TEXT(DATE($P$3,MONTH(1&amp;$N$3),VALUE(LEFT(O$5,2))),"yyyy-MM-dd")),0)),""))</f>
        <v/>
      </c>
      <c r="P48" s="39" t="str">
        <f t="array" ref="P48">IF(OR($A46="",P$5=""),"",IFNA(INDEX(DATA_LOG!$C:$C,MATCH(1,(DATA_LOG!$A:$A=$A46)*(TEXT(DATA_LOG!$B:$B,"yyyy-MM-dd")=TEXT(DATE($P$3,MONTH(1&amp;$N$3),VALUE(LEFT(P$5,2))),"yyyy-MM-dd")),0)),""))</f>
        <v/>
      </c>
      <c r="Q48" s="39" t="str">
        <f t="array" ref="Q48">IF(OR($A46="",Q$5=""),"",IFNA(INDEX(DATA_LOG!$C:$C,MATCH(1,(DATA_LOG!$A:$A=$A46)*(TEXT(DATA_LOG!$B:$B,"yyyy-MM-dd")=TEXT(DATE($P$3,MONTH(1&amp;$N$3),VALUE(LEFT(Q$5,2))),"yyyy-MM-dd")),0)),""))</f>
        <v/>
      </c>
      <c r="R48" s="39" t="str">
        <f t="array" ref="R48">IF(OR($A46="",R$5=""),"",IFNA(INDEX(DATA_LOG!$C:$C,MATCH(1,(DATA_LOG!$A:$A=$A46)*(TEXT(DATA_LOG!$B:$B,"yyyy-MM-dd")=TEXT(DATE($P$3,MONTH(1&amp;$N$3),VALUE(LEFT(R$5,2))),"yyyy-MM-dd")),0)),""))</f>
        <v/>
      </c>
      <c r="S48" s="39" t="str">
        <f t="array" ref="S48">IF(OR($A46="",S$5=""),"",IFNA(INDEX(DATA_LOG!$C:$C,MATCH(1,(DATA_LOG!$A:$A=$A46)*(TEXT(DATA_LOG!$B:$B,"yyyy-MM-dd")=TEXT(DATE($P$3,MONTH(1&amp;$N$3),VALUE(LEFT(S$5,2))),"yyyy-MM-dd")),0)),""))</f>
        <v/>
      </c>
      <c r="T48" s="39" t="str">
        <f t="array" ref="T48">IF(OR($A46="",T$5=""),"",IFNA(INDEX(DATA_LOG!$C:$C,MATCH(1,(DATA_LOG!$A:$A=$A46)*(TEXT(DATA_LOG!$B:$B,"yyyy-MM-dd")=TEXT(DATE($P$3,MONTH(1&amp;$N$3),VALUE(LEFT(T$5,2))),"yyyy-MM-dd")),0)),""))</f>
        <v/>
      </c>
      <c r="U48" s="39" t="str">
        <f t="array" ref="U48">IF(OR($A46="",U$5=""),"",IFNA(INDEX(DATA_LOG!$C:$C,MATCH(1,(DATA_LOG!$A:$A=$A46)*(TEXT(DATA_LOG!$B:$B,"yyyy-MM-dd")=TEXT(DATE($P$3,MONTH(1&amp;$N$3),VALUE(LEFT(U$5,2))),"yyyy-MM-dd")),0)),""))</f>
        <v/>
      </c>
      <c r="V48" s="39" t="str">
        <f t="array" ref="V48">IF(OR($A46="",V$5=""),"",IFNA(INDEX(DATA_LOG!$C:$C,MATCH(1,(DATA_LOG!$A:$A=$A46)*(TEXT(DATA_LOG!$B:$B,"yyyy-MM-dd")=TEXT(DATE($P$3,MONTH(1&amp;$N$3),VALUE(LEFT(V$5,2))),"yyyy-MM-dd")),0)),""))</f>
        <v/>
      </c>
      <c r="W48" s="39" t="str">
        <f t="array" ref="W48">IF(OR($A46="",W$5=""),"",IFNA(INDEX(DATA_LOG!$C:$C,MATCH(1,(DATA_LOG!$A:$A=$A46)*(TEXT(DATA_LOG!$B:$B,"yyyy-MM-dd")=TEXT(DATE($P$3,MONTH(1&amp;$N$3),VALUE(LEFT(W$5,2))),"yyyy-MM-dd")),0)),""))</f>
        <v/>
      </c>
      <c r="X48" s="39" t="str">
        <f t="array" ref="X48">IF(OR($A46="",X$5=""),"",IFNA(INDEX(DATA_LOG!$C:$C,MATCH(1,(DATA_LOG!$A:$A=$A46)*(TEXT(DATA_LOG!$B:$B,"yyyy-MM-dd")=TEXT(DATE($P$3,MONTH(1&amp;$N$3),VALUE(LEFT(X$5,2))),"yyyy-MM-dd")),0)),""))</f>
        <v/>
      </c>
      <c r="Y48" s="39" t="str">
        <f t="array" ref="Y48">IF(OR($A46="",Y$5=""),"",IFNA(INDEX(DATA_LOG!$C:$C,MATCH(1,(DATA_LOG!$A:$A=$A46)*(TEXT(DATA_LOG!$B:$B,"yyyy-MM-dd")=TEXT(DATE($P$3,MONTH(1&amp;$N$3),VALUE(LEFT(Y$5,2))),"yyyy-MM-dd")),0)),""))</f>
        <v/>
      </c>
      <c r="Z48" s="39" t="str">
        <f t="array" ref="Z48">IF(OR($A46="",Z$5=""),"",IFNA(INDEX(DATA_LOG!$C:$C,MATCH(1,(DATA_LOG!$A:$A=$A46)*(TEXT(DATA_LOG!$B:$B,"yyyy-MM-dd")=TEXT(DATE($P$3,MONTH(1&amp;$N$3),VALUE(LEFT(Z$5,2))),"yyyy-MM-dd")),0)),""))</f>
        <v/>
      </c>
      <c r="AA48" s="39" t="str">
        <f t="array" ref="AA48">IF(OR($A46="",AA$5=""),"",IFNA(INDEX(DATA_LOG!$C:$C,MATCH(1,(DATA_LOG!$A:$A=$A46)*(TEXT(DATA_LOG!$B:$B,"yyyy-MM-dd")=TEXT(DATE($P$3,MONTH(1&amp;$N$3),VALUE(LEFT(AA$5,2))),"yyyy-MM-dd")),0)),""))</f>
        <v/>
      </c>
      <c r="AB48" s="39" t="str">
        <f t="array" ref="AB48">IF(OR($A46="",AB$5=""),"",IFNA(INDEX(DATA_LOG!$C:$C,MATCH(1,(DATA_LOG!$A:$A=$A46)*(TEXT(DATA_LOG!$B:$B,"yyyy-MM-dd")=TEXT(DATE($P$3,MONTH(1&amp;$N$3),VALUE(LEFT(AB$5,2))),"yyyy-MM-dd")),0)),""))</f>
        <v/>
      </c>
      <c r="AC48" s="39" t="str">
        <f t="array" ref="AC48">IF(OR($A46="",AC$5=""),"",IFNA(INDEX(DATA_LOG!$C:$C,MATCH(1,(DATA_LOG!$A:$A=$A46)*(TEXT(DATA_LOG!$B:$B,"yyyy-MM-dd")=TEXT(DATE($P$3,MONTH(1&amp;$N$3),VALUE(LEFT(AC$5,2))),"yyyy-MM-dd")),0)),""))</f>
        <v/>
      </c>
      <c r="AD48" s="39" t="str">
        <f t="array" ref="AD48">IF(OR($A46="",AD$5=""),"",IFNA(INDEX(DATA_LOG!$C:$C,MATCH(1,(DATA_LOG!$A:$A=$A46)*(TEXT(DATA_LOG!$B:$B,"yyyy-MM-dd")=TEXT(DATE($P$3,MONTH(1&amp;$N$3),VALUE(LEFT(AD$5,2))),"yyyy-MM-dd")),0)),""))</f>
        <v/>
      </c>
      <c r="AE48" s="39" t="str">
        <f t="array" ref="AE48">IF(OR($A46="",AE$5=""),"",IFNA(INDEX(DATA_LOG!$C:$C,MATCH(1,(DATA_LOG!$A:$A=$A46)*(TEXT(DATA_LOG!$B:$B,"yyyy-MM-dd")=TEXT(DATE($P$3,MONTH(1&amp;$N$3),VALUE(LEFT(AE$5,2))),"yyyy-MM-dd")),0)),""))</f>
        <v/>
      </c>
      <c r="AF48" s="39" t="str">
        <f t="array" ref="AF48">IF(OR($A46="",AF$5=""),"",IFNA(INDEX(DATA_LOG!$C:$C,MATCH(1,(DATA_LOG!$A:$A=$A46)*(TEXT(DATA_LOG!$B:$B,"yyyy-MM-dd")=TEXT(DATE($P$3,MONTH(1&amp;$N$3),VALUE(LEFT(AF$5,2))),"yyyy-MM-dd")),0)),""))</f>
        <v/>
      </c>
    </row>
    <row r="49">
      <c r="A49" s="37" t="str">
        <f>IF($A46="", "", "OUT")</f>
        <v>OUT</v>
      </c>
      <c r="B49" s="39" t="str">
        <f t="array" ref="B49">IF(OR($A46="",B$5=""),"",IFNA(INDEX(DATA_LOG!$D:$D,MATCH(1,(DATA_LOG!$A:$A=$A46)*(TEXT(DATA_LOG!$B:$B,"yyyy-MM-dd")=TEXT(DATE($P$3,MONTH(1&amp;$N$3),VALUE(LEFT(B$5,2))),"yyyy-MM-dd")),0)),""))</f>
        <v/>
      </c>
      <c r="C49" s="39" t="str">
        <f t="array" ref="C49">IF(OR($A46="",C$5=""),"",IFNA(INDEX(DATA_LOG!$D:$D,MATCH(1,(DATA_LOG!$A:$A=$A46)*(TEXT(DATA_LOG!$B:$B,"yyyy-MM-dd")=TEXT(DATE($P$3,MONTH(1&amp;$N$3),VALUE(LEFT(C$5,2))),"yyyy-MM-dd")),0)),""))</f>
        <v/>
      </c>
      <c r="D49" s="39" t="str">
        <f t="array" ref="D49">IF(OR($A46="",D$5=""),"",IFNA(INDEX(DATA_LOG!$D:$D,MATCH(1,(DATA_LOG!$A:$A=$A46)*(TEXT(DATA_LOG!$B:$B,"yyyy-MM-dd")=TEXT(DATE($P$3,MONTH(1&amp;$N$3),VALUE(LEFT(D$5,2))),"yyyy-MM-dd")),0)),""))</f>
        <v/>
      </c>
      <c r="E49" s="39" t="str">
        <f t="array" ref="E49">IF(OR($A46="",E$5=""),"",IFNA(INDEX(DATA_LOG!$D:$D,MATCH(1,(DATA_LOG!$A:$A=$A46)*(TEXT(DATA_LOG!$B:$B,"yyyy-MM-dd")=TEXT(DATE($P$3,MONTH(1&amp;$N$3),VALUE(LEFT(E$5,2))),"yyyy-MM-dd")),0)),""))</f>
        <v/>
      </c>
      <c r="F49" s="39" t="str">
        <f t="array" ref="F49">IF(OR($A46="",F$5=""),"",IFNA(INDEX(DATA_LOG!$D:$D,MATCH(1,(DATA_LOG!$A:$A=$A46)*(TEXT(DATA_LOG!$B:$B,"yyyy-MM-dd")=TEXT(DATE($P$3,MONTH(1&amp;$N$3),VALUE(LEFT(F$5,2))),"yyyy-MM-dd")),0)),""))</f>
        <v/>
      </c>
      <c r="G49" s="39" t="str">
        <f t="array" ref="G49">IF(OR($A46="",G$5=""),"",IFNA(INDEX(DATA_LOG!$D:$D,MATCH(1,(DATA_LOG!$A:$A=$A46)*(TEXT(DATA_LOG!$B:$B,"yyyy-MM-dd")=TEXT(DATE($P$3,MONTH(1&amp;$N$3),VALUE(LEFT(G$5,2))),"yyyy-MM-dd")),0)),""))</f>
        <v/>
      </c>
      <c r="H49" s="39" t="str">
        <f t="array" ref="H49">IF(OR($A46="",H$5=""),"",IFNA(INDEX(DATA_LOG!$D:$D,MATCH(1,(DATA_LOG!$A:$A=$A46)*(TEXT(DATA_LOG!$B:$B,"yyyy-MM-dd")=TEXT(DATE($P$3,MONTH(1&amp;$N$3),VALUE(LEFT(H$5,2))),"yyyy-MM-dd")),0)),""))</f>
        <v/>
      </c>
      <c r="I49" s="39" t="str">
        <f t="array" ref="I49">IF(OR($A46="",I$5=""),"",IFNA(INDEX(DATA_LOG!$D:$D,MATCH(1,(DATA_LOG!$A:$A=$A46)*(TEXT(DATA_LOG!$B:$B,"yyyy-MM-dd")=TEXT(DATE($P$3,MONTH(1&amp;$N$3),VALUE(LEFT(I$5,2))),"yyyy-MM-dd")),0)),""))</f>
        <v/>
      </c>
      <c r="J49" s="39" t="str">
        <f t="array" ref="J49">IF(OR($A46="",J$5=""),"",IFNA(INDEX(DATA_LOG!$D:$D,MATCH(1,(DATA_LOG!$A:$A=$A46)*(TEXT(DATA_LOG!$B:$B,"yyyy-MM-dd")=TEXT(DATE($P$3,MONTH(1&amp;$N$3),VALUE(LEFT(J$5,2))),"yyyy-MM-dd")),0)),""))</f>
        <v/>
      </c>
      <c r="K49" s="39" t="str">
        <f t="array" ref="K49">IF(OR($A46="",K$5=""),"",IFNA(INDEX(DATA_LOG!$D:$D,MATCH(1,(DATA_LOG!$A:$A=$A46)*(TEXT(DATA_LOG!$B:$B,"yyyy-MM-dd")=TEXT(DATE($P$3,MONTH(1&amp;$N$3),VALUE(LEFT(K$5,2))),"yyyy-MM-dd")),0)),""))</f>
        <v/>
      </c>
      <c r="L49" s="39" t="str">
        <f t="array" ref="L49">IF(OR($A46="",L$5=""),"",IFNA(INDEX(DATA_LOG!$D:$D,MATCH(1,(DATA_LOG!$A:$A=$A46)*(TEXT(DATA_LOG!$B:$B,"yyyy-MM-dd")=TEXT(DATE($P$3,MONTH(1&amp;$N$3),VALUE(LEFT(L$5,2))),"yyyy-MM-dd")),0)),""))</f>
        <v/>
      </c>
      <c r="M49" s="39" t="str">
        <f t="array" ref="M49">IF(OR($A46="",M$5=""),"",IFNA(INDEX(DATA_LOG!$D:$D,MATCH(1,(DATA_LOG!$A:$A=$A46)*(TEXT(DATA_LOG!$B:$B,"yyyy-MM-dd")=TEXT(DATE($P$3,MONTH(1&amp;$N$3),VALUE(LEFT(M$5,2))),"yyyy-MM-dd")),0)),""))</f>
        <v/>
      </c>
      <c r="N49" s="39" t="str">
        <f t="array" ref="N49">IF(OR($A46="",N$5=""),"",IFNA(INDEX(DATA_LOG!$D:$D,MATCH(1,(DATA_LOG!$A:$A=$A46)*(TEXT(DATA_LOG!$B:$B,"yyyy-MM-dd")=TEXT(DATE($P$3,MONTH(1&amp;$N$3),VALUE(LEFT(N$5,2))),"yyyy-MM-dd")),0)),""))</f>
        <v/>
      </c>
      <c r="O49" s="39" t="str">
        <f t="array" ref="O49">IF(OR($A46="",O$5=""),"",IFNA(INDEX(DATA_LOG!$D:$D,MATCH(1,(DATA_LOG!$A:$A=$A46)*(TEXT(DATA_LOG!$B:$B,"yyyy-MM-dd")=TEXT(DATE($P$3,MONTH(1&amp;$N$3),VALUE(LEFT(O$5,2))),"yyyy-MM-dd")),0)),""))</f>
        <v/>
      </c>
      <c r="P49" s="39" t="str">
        <f t="array" ref="P49">IF(OR($A46="",P$5=""),"",IFNA(INDEX(DATA_LOG!$D:$D,MATCH(1,(DATA_LOG!$A:$A=$A46)*(TEXT(DATA_LOG!$B:$B,"yyyy-MM-dd")=TEXT(DATE($P$3,MONTH(1&amp;$N$3),VALUE(LEFT(P$5,2))),"yyyy-MM-dd")),0)),""))</f>
        <v/>
      </c>
      <c r="Q49" s="39" t="str">
        <f t="array" ref="Q49">IF(OR($A46="",Q$5=""),"",IFNA(INDEX(DATA_LOG!$D:$D,MATCH(1,(DATA_LOG!$A:$A=$A46)*(TEXT(DATA_LOG!$B:$B,"yyyy-MM-dd")=TEXT(DATE($P$3,MONTH(1&amp;$N$3),VALUE(LEFT(Q$5,2))),"yyyy-MM-dd")),0)),""))</f>
        <v/>
      </c>
      <c r="R49" s="39" t="str">
        <f t="array" ref="R49">IF(OR($A46="",R$5=""),"",IFNA(INDEX(DATA_LOG!$D:$D,MATCH(1,(DATA_LOG!$A:$A=$A46)*(TEXT(DATA_LOG!$B:$B,"yyyy-MM-dd")=TEXT(DATE($P$3,MONTH(1&amp;$N$3),VALUE(LEFT(R$5,2))),"yyyy-MM-dd")),0)),""))</f>
        <v/>
      </c>
      <c r="S49" s="39" t="str">
        <f t="array" ref="S49">IF(OR($A46="",S$5=""),"",IFNA(INDEX(DATA_LOG!$D:$D,MATCH(1,(DATA_LOG!$A:$A=$A46)*(TEXT(DATA_LOG!$B:$B,"yyyy-MM-dd")=TEXT(DATE($P$3,MONTH(1&amp;$N$3),VALUE(LEFT(S$5,2))),"yyyy-MM-dd")),0)),""))</f>
        <v/>
      </c>
      <c r="T49" s="39" t="str">
        <f t="array" ref="T49">IF(OR($A46="",T$5=""),"",IFNA(INDEX(DATA_LOG!$D:$D,MATCH(1,(DATA_LOG!$A:$A=$A46)*(TEXT(DATA_LOG!$B:$B,"yyyy-MM-dd")=TEXT(DATE($P$3,MONTH(1&amp;$N$3),VALUE(LEFT(T$5,2))),"yyyy-MM-dd")),0)),""))</f>
        <v/>
      </c>
      <c r="U49" s="39" t="str">
        <f t="array" ref="U49">IF(OR($A46="",U$5=""),"",IFNA(INDEX(DATA_LOG!$D:$D,MATCH(1,(DATA_LOG!$A:$A=$A46)*(TEXT(DATA_LOG!$B:$B,"yyyy-MM-dd")=TEXT(DATE($P$3,MONTH(1&amp;$N$3),VALUE(LEFT(U$5,2))),"yyyy-MM-dd")),0)),""))</f>
        <v/>
      </c>
      <c r="V49" s="39" t="str">
        <f t="array" ref="V49">IF(OR($A46="",V$5=""),"",IFNA(INDEX(DATA_LOG!$D:$D,MATCH(1,(DATA_LOG!$A:$A=$A46)*(TEXT(DATA_LOG!$B:$B,"yyyy-MM-dd")=TEXT(DATE($P$3,MONTH(1&amp;$N$3),VALUE(LEFT(V$5,2))),"yyyy-MM-dd")),0)),""))</f>
        <v/>
      </c>
      <c r="W49" s="39" t="str">
        <f t="array" ref="W49">IF(OR($A46="",W$5=""),"",IFNA(INDEX(DATA_LOG!$D:$D,MATCH(1,(DATA_LOG!$A:$A=$A46)*(TEXT(DATA_LOG!$B:$B,"yyyy-MM-dd")=TEXT(DATE($P$3,MONTH(1&amp;$N$3),VALUE(LEFT(W$5,2))),"yyyy-MM-dd")),0)),""))</f>
        <v/>
      </c>
      <c r="X49" s="39" t="str">
        <f t="array" ref="X49">IF(OR($A46="",X$5=""),"",IFNA(INDEX(DATA_LOG!$D:$D,MATCH(1,(DATA_LOG!$A:$A=$A46)*(TEXT(DATA_LOG!$B:$B,"yyyy-MM-dd")=TEXT(DATE($P$3,MONTH(1&amp;$N$3),VALUE(LEFT(X$5,2))),"yyyy-MM-dd")),0)),""))</f>
        <v/>
      </c>
      <c r="Y49" s="39" t="str">
        <f t="array" ref="Y49">IF(OR($A46="",Y$5=""),"",IFNA(INDEX(DATA_LOG!$D:$D,MATCH(1,(DATA_LOG!$A:$A=$A46)*(TEXT(DATA_LOG!$B:$B,"yyyy-MM-dd")=TEXT(DATE($P$3,MONTH(1&amp;$N$3),VALUE(LEFT(Y$5,2))),"yyyy-MM-dd")),0)),""))</f>
        <v/>
      </c>
      <c r="Z49" s="39" t="str">
        <f t="array" ref="Z49">IF(OR($A46="",Z$5=""),"",IFNA(INDEX(DATA_LOG!$D:$D,MATCH(1,(DATA_LOG!$A:$A=$A46)*(TEXT(DATA_LOG!$B:$B,"yyyy-MM-dd")=TEXT(DATE($P$3,MONTH(1&amp;$N$3),VALUE(LEFT(Z$5,2))),"yyyy-MM-dd")),0)),""))</f>
        <v/>
      </c>
      <c r="AA49" s="39" t="str">
        <f t="array" ref="AA49">IF(OR($A46="",AA$5=""),"",IFNA(INDEX(DATA_LOG!$D:$D,MATCH(1,(DATA_LOG!$A:$A=$A46)*(TEXT(DATA_LOG!$B:$B,"yyyy-MM-dd")=TEXT(DATE($P$3,MONTH(1&amp;$N$3),VALUE(LEFT(AA$5,2))),"yyyy-MM-dd")),0)),""))</f>
        <v/>
      </c>
      <c r="AB49" s="39" t="str">
        <f t="array" ref="AB49">IF(OR($A46="",AB$5=""),"",IFNA(INDEX(DATA_LOG!$D:$D,MATCH(1,(DATA_LOG!$A:$A=$A46)*(TEXT(DATA_LOG!$B:$B,"yyyy-MM-dd")=TEXT(DATE($P$3,MONTH(1&amp;$N$3),VALUE(LEFT(AB$5,2))),"yyyy-MM-dd")),0)),""))</f>
        <v/>
      </c>
      <c r="AC49" s="39" t="str">
        <f t="array" ref="AC49">IF(OR($A46="",AC$5=""),"",IFNA(INDEX(DATA_LOG!$D:$D,MATCH(1,(DATA_LOG!$A:$A=$A46)*(TEXT(DATA_LOG!$B:$B,"yyyy-MM-dd")=TEXT(DATE($P$3,MONTH(1&amp;$N$3),VALUE(LEFT(AC$5,2))),"yyyy-MM-dd")),0)),""))</f>
        <v/>
      </c>
      <c r="AD49" s="39" t="str">
        <f t="array" ref="AD49">IF(OR($A46="",AD$5=""),"",IFNA(INDEX(DATA_LOG!$D:$D,MATCH(1,(DATA_LOG!$A:$A=$A46)*(TEXT(DATA_LOG!$B:$B,"yyyy-MM-dd")=TEXT(DATE($P$3,MONTH(1&amp;$N$3),VALUE(LEFT(AD$5,2))),"yyyy-MM-dd")),0)),""))</f>
        <v/>
      </c>
      <c r="AE49" s="39" t="str">
        <f t="array" ref="AE49">IF(OR($A46="",AE$5=""),"",IFNA(INDEX(DATA_LOG!$D:$D,MATCH(1,(DATA_LOG!$A:$A=$A46)*(TEXT(DATA_LOG!$B:$B,"yyyy-MM-dd")=TEXT(DATE($P$3,MONTH(1&amp;$N$3),VALUE(LEFT(AE$5,2))),"yyyy-MM-dd")),0)),""))</f>
        <v/>
      </c>
      <c r="AF49" s="39" t="str">
        <f t="array" ref="AF49">IF(OR($A46="",AF$5=""),"",IFNA(INDEX(DATA_LOG!$D:$D,MATCH(1,(DATA_LOG!$A:$A=$A46)*(TEXT(DATA_LOG!$B:$B,"yyyy-MM-dd")=TEXT(DATE($P$3,MONTH(1&amp;$N$3),VALUE(LEFT(AF$5,2))),"yyyy-MM-dd")),0)),""))</f>
        <v/>
      </c>
    </row>
    <row r="50">
      <c r="A50" s="40" t="str">
        <f>IF($A46="", "", "TOTAL")</f>
        <v>TOTAL</v>
      </c>
      <c r="B50" s="41" t="str">
        <f t="shared" ref="B50:AF50" si="7">IF(OR(B48="",B49=""),"",B49-B48)</f>
        <v/>
      </c>
      <c r="C50" s="34" t="str">
        <f t="shared" si="7"/>
        <v/>
      </c>
      <c r="D50" s="34" t="str">
        <f t="shared" si="7"/>
        <v/>
      </c>
      <c r="E50" s="34" t="str">
        <f t="shared" si="7"/>
        <v/>
      </c>
      <c r="F50" s="34" t="str">
        <f t="shared" si="7"/>
        <v/>
      </c>
      <c r="G50" s="34" t="str">
        <f t="shared" si="7"/>
        <v/>
      </c>
      <c r="H50" s="34" t="str">
        <f t="shared" si="7"/>
        <v/>
      </c>
      <c r="I50" s="34" t="str">
        <f t="shared" si="7"/>
        <v/>
      </c>
      <c r="J50" s="34" t="str">
        <f t="shared" si="7"/>
        <v/>
      </c>
      <c r="K50" s="34" t="str">
        <f t="shared" si="7"/>
        <v/>
      </c>
      <c r="L50" s="34" t="str">
        <f t="shared" si="7"/>
        <v/>
      </c>
      <c r="M50" s="34" t="str">
        <f t="shared" si="7"/>
        <v/>
      </c>
      <c r="N50" s="34" t="str">
        <f t="shared" si="7"/>
        <v/>
      </c>
      <c r="O50" s="34" t="str">
        <f t="shared" si="7"/>
        <v/>
      </c>
      <c r="P50" s="34" t="str">
        <f t="shared" si="7"/>
        <v/>
      </c>
      <c r="Q50" s="34" t="str">
        <f t="shared" si="7"/>
        <v/>
      </c>
      <c r="R50" s="34" t="str">
        <f t="shared" si="7"/>
        <v/>
      </c>
      <c r="S50" s="34" t="str">
        <f t="shared" si="7"/>
        <v/>
      </c>
      <c r="T50" s="34" t="str">
        <f t="shared" si="7"/>
        <v/>
      </c>
      <c r="U50" s="34" t="str">
        <f t="shared" si="7"/>
        <v/>
      </c>
      <c r="V50" s="34" t="str">
        <f t="shared" si="7"/>
        <v/>
      </c>
      <c r="W50" s="34" t="str">
        <f t="shared" si="7"/>
        <v/>
      </c>
      <c r="X50" s="34" t="str">
        <f t="shared" si="7"/>
        <v/>
      </c>
      <c r="Y50" s="34" t="str">
        <f t="shared" si="7"/>
        <v/>
      </c>
      <c r="Z50" s="34" t="str">
        <f t="shared" si="7"/>
        <v/>
      </c>
      <c r="AA50" s="34" t="str">
        <f t="shared" si="7"/>
        <v/>
      </c>
      <c r="AB50" s="34" t="str">
        <f t="shared" si="7"/>
        <v/>
      </c>
      <c r="AC50" s="34" t="str">
        <f t="shared" si="7"/>
        <v/>
      </c>
      <c r="AD50" s="34" t="str">
        <f t="shared" si="7"/>
        <v/>
      </c>
      <c r="AE50" s="34" t="str">
        <f t="shared" si="7"/>
        <v/>
      </c>
      <c r="AF50" s="34" t="str">
        <f t="shared" si="7"/>
        <v/>
      </c>
    </row>
    <row r="51">
      <c r="A51" s="42" t="str">
        <f>IF($A46="", "", "STATUS")</f>
        <v>STATUS</v>
      </c>
      <c r="B51" s="43" t="str">
        <f>IFERROR(__xludf.DUMMYFUNCTION("IF($A46="""","""",IF(B$47="""","""",LET(logStatus,IFNA(INDEX(DATA_LOG!$E:$E,MATCH(1,(DATA_LOG!$A:$A=$A46)*(TEXT(DATA_LOG!$B:$B,""yyyy-MM-dd"")=TEXT(DATE($P$3,MONTH(1&amp;$N$3),VALUE(LEFT(B$47,2))),""yyyy-MM-dd"")),0)),""""),selectedDate,DATE($P$3,MONTH(1&amp;$N$3"&amp;"),VALUE(LEFT(B$47,2))),IF(logStatus&lt;&gt;"""",UPPER(logStatus),IF(selectedDate&gt;TODAY(),""-"",IF(REGEXMATCH(B$47,""SUN""),""WO"",IF(B$50&lt;&gt;"""",IF(VALUE(B$50)&gt;=9/24,""FD"",""HD""),""A"")))))))"),"A")</f>
        <v>A</v>
      </c>
      <c r="C51" s="43" t="str">
        <f>IFERROR(__xludf.DUMMYFUNCTION("IF($A46="""","""",IF(C$47="""","""",LET(logStatus,IFNA(INDEX(DATA_LOG!$E:$E,MATCH(1,(DATA_LOG!$A:$A=$A46)*(TEXT(DATA_LOG!$B:$B,""yyyy-MM-dd"")=TEXT(DATE($P$3,MONTH(1&amp;$N$3),VALUE(LEFT(C$47,2))),""yyyy-MM-dd"")),0)),""""),selectedDate,DATE($P$3,MONTH(1&amp;$N$3"&amp;"),VALUE(LEFT(C$47,2))),IF(logStatus&lt;&gt;"""",UPPER(logStatus),IF(selectedDate&gt;TODAY(),""-"",IF(REGEXMATCH(C$47,""SUN""),""WO"",IF(C$50&lt;&gt;"""",IF(VALUE(C$50)&gt;=9/24,""FD"",""HD""),""A"")))))))"),"A")</f>
        <v>A</v>
      </c>
      <c r="D51" s="43" t="str">
        <f>IFERROR(__xludf.DUMMYFUNCTION("IF($A46="""","""",IF(D$47="""","""",LET(logStatus,IFNA(INDEX(DATA_LOG!$E:$E,MATCH(1,(DATA_LOG!$A:$A=$A46)*(TEXT(DATA_LOG!$B:$B,""yyyy-MM-dd"")=TEXT(DATE($P$3,MONTH(1&amp;$N$3),VALUE(LEFT(D$47,2))),""yyyy-MM-dd"")),0)),""""),selectedDate,DATE($P$3,MONTH(1&amp;$N$3"&amp;"),VALUE(LEFT(D$47,2))),IF(logStatus&lt;&gt;"""",UPPER(logStatus),IF(selectedDate&gt;TODAY(),""-"",IF(REGEXMATCH(D$47,""SUN""),""WO"",IF(D$50&lt;&gt;"""",IF(VALUE(D$50)&gt;=9/24,""FD"",""HD""),""A"")))))))"),"A")</f>
        <v>A</v>
      </c>
      <c r="E51" s="43" t="str">
        <f>IFERROR(__xludf.DUMMYFUNCTION("IF($A46="""","""",IF(E$47="""","""",LET(logStatus,IFNA(INDEX(DATA_LOG!$E:$E,MATCH(1,(DATA_LOG!$A:$A=$A46)*(TEXT(DATA_LOG!$B:$B,""yyyy-MM-dd"")=TEXT(DATE($P$3,MONTH(1&amp;$N$3),VALUE(LEFT(E$47,2))),""yyyy-MM-dd"")),0)),""""),selectedDate,DATE($P$3,MONTH(1&amp;$N$3"&amp;"),VALUE(LEFT(E$47,2))),IF(logStatus&lt;&gt;"""",UPPER(logStatus),IF(selectedDate&gt;TODAY(),""-"",IF(REGEXMATCH(E$47,""SUN""),""WO"",IF(E$50&lt;&gt;"""",IF(VALUE(E$50)&gt;=9/24,""FD"",""HD""),""A"")))))))"),"A")</f>
        <v>A</v>
      </c>
      <c r="F51" s="43" t="str">
        <f>IFERROR(__xludf.DUMMYFUNCTION("IF($A46="""","""",IF(F$47="""","""",LET(logStatus,IFNA(INDEX(DATA_LOG!$E:$E,MATCH(1,(DATA_LOG!$A:$A=$A46)*(TEXT(DATA_LOG!$B:$B,""yyyy-MM-dd"")=TEXT(DATE($P$3,MONTH(1&amp;$N$3),VALUE(LEFT(F$47,2))),""yyyy-MM-dd"")),0)),""""),selectedDate,DATE($P$3,MONTH(1&amp;$N$3"&amp;"),VALUE(LEFT(F$47,2))),IF(logStatus&lt;&gt;"""",UPPER(logStatus),IF(selectedDate&gt;TODAY(),""-"",IF(REGEXMATCH(F$47,""SUN""),""WO"",IF(F$50&lt;&gt;"""",IF(VALUE(F$50)&gt;=9/24,""FD"",""HD""),""A"")))))))"),"A")</f>
        <v>A</v>
      </c>
      <c r="G51" s="43" t="str">
        <f>IFERROR(__xludf.DUMMYFUNCTION("IF($A46="""","""",IF(G$47="""","""",LET(logStatus,IFNA(INDEX(DATA_LOG!$E:$E,MATCH(1,(DATA_LOG!$A:$A=$A46)*(TEXT(DATA_LOG!$B:$B,""yyyy-MM-dd"")=TEXT(DATE($P$3,MONTH(1&amp;$N$3),VALUE(LEFT(G$47,2))),""yyyy-MM-dd"")),0)),""""),selectedDate,DATE($P$3,MONTH(1&amp;$N$3"&amp;"),VALUE(LEFT(G$47,2))),IF(logStatus&lt;&gt;"""",UPPER(logStatus),IF(selectedDate&gt;TODAY(),""-"",IF(REGEXMATCH(G$47,""SUN""),""WO"",IF(G$50&lt;&gt;"""",IF(VALUE(G$50)&gt;=9/24,""FD"",""HD""),""A"")))))))"),"WO")</f>
        <v>WO</v>
      </c>
      <c r="H51" s="43" t="str">
        <f>IFERROR(__xludf.DUMMYFUNCTION("IF($A46="""","""",IF(H$47="""","""",LET(logStatus,IFNA(INDEX(DATA_LOG!$E:$E,MATCH(1,(DATA_LOG!$A:$A=$A46)*(TEXT(DATA_LOG!$B:$B,""yyyy-MM-dd"")=TEXT(DATE($P$3,MONTH(1&amp;$N$3),VALUE(LEFT(H$47,2))),""yyyy-MM-dd"")),0)),""""),selectedDate,DATE($P$3,MONTH(1&amp;$N$3"&amp;"),VALUE(LEFT(H$47,2))),IF(logStatus&lt;&gt;"""",UPPER(logStatus),IF(selectedDate&gt;TODAY(),""-"",IF(REGEXMATCH(H$47,""SUN""),""WO"",IF(H$50&lt;&gt;"""",IF(VALUE(H$50)&gt;=9/24,""FD"",""HD""),""A"")))))))"),"A")</f>
        <v>A</v>
      </c>
      <c r="I51" s="43" t="str">
        <f>IFERROR(__xludf.DUMMYFUNCTION("IF($A46="""","""",IF(I$47="""","""",LET(logStatus,IFNA(INDEX(DATA_LOG!$E:$E,MATCH(1,(DATA_LOG!$A:$A=$A46)*(TEXT(DATA_LOG!$B:$B,""yyyy-MM-dd"")=TEXT(DATE($P$3,MONTH(1&amp;$N$3),VALUE(LEFT(I$47,2))),""yyyy-MM-dd"")),0)),""""),selectedDate,DATE($P$3,MONTH(1&amp;$N$3"&amp;"),VALUE(LEFT(I$47,2))),IF(logStatus&lt;&gt;"""",UPPER(logStatus),IF(selectedDate&gt;TODAY(),""-"",IF(REGEXMATCH(I$47,""SUN""),""WO"",IF(I$50&lt;&gt;"""",IF(VALUE(I$50)&gt;=9/24,""FD"",""HD""),""A"")))))))"),"A")</f>
        <v>A</v>
      </c>
      <c r="J51" s="43" t="str">
        <f>IFERROR(__xludf.DUMMYFUNCTION("IF($A46="""","""",IF(J$47="""","""",LET(logStatus,IFNA(INDEX(DATA_LOG!$E:$E,MATCH(1,(DATA_LOG!$A:$A=$A46)*(TEXT(DATA_LOG!$B:$B,""yyyy-MM-dd"")=TEXT(DATE($P$3,MONTH(1&amp;$N$3),VALUE(LEFT(J$47,2))),""yyyy-MM-dd"")),0)),""""),selectedDate,DATE($P$3,MONTH(1&amp;$N$3"&amp;"),VALUE(LEFT(J$47,2))),IF(logStatus&lt;&gt;"""",UPPER(logStatus),IF(selectedDate&gt;TODAY(),""-"",IF(REGEXMATCH(J$47,""SUN""),""WO"",IF(J$50&lt;&gt;"""",IF(VALUE(J$50)&gt;=9/24,""FD"",""HD""),""A"")))))))"),"A")</f>
        <v>A</v>
      </c>
      <c r="K51" s="43" t="str">
        <f>IFERROR(__xludf.DUMMYFUNCTION("IF($A46="""","""",IF(K$47="""","""",LET(logStatus,IFNA(INDEX(DATA_LOG!$E:$E,MATCH(1,(DATA_LOG!$A:$A=$A46)*(TEXT(DATA_LOG!$B:$B,""yyyy-MM-dd"")=TEXT(DATE($P$3,MONTH(1&amp;$N$3),VALUE(LEFT(K$47,2))),""yyyy-MM-dd"")),0)),""""),selectedDate,DATE($P$3,MONTH(1&amp;$N$3"&amp;"),VALUE(LEFT(K$47,2))),IF(logStatus&lt;&gt;"""",UPPER(logStatus),IF(selectedDate&gt;TODAY(),""-"",IF(REGEXMATCH(K$47,""SUN""),""WO"",IF(K$50&lt;&gt;"""",IF(VALUE(K$50)&gt;=9/24,""FD"",""HD""),""A"")))))))"),"A")</f>
        <v>A</v>
      </c>
      <c r="L51" s="43" t="str">
        <f>IFERROR(__xludf.DUMMYFUNCTION("IF($A46="""","""",IF(L$47="""","""",LET(logStatus,IFNA(INDEX(DATA_LOG!$E:$E,MATCH(1,(DATA_LOG!$A:$A=$A46)*(TEXT(DATA_LOG!$B:$B,""yyyy-MM-dd"")=TEXT(DATE($P$3,MONTH(1&amp;$N$3),VALUE(LEFT(L$47,2))),""yyyy-MM-dd"")),0)),""""),selectedDate,DATE($P$3,MONTH(1&amp;$N$3"&amp;"),VALUE(LEFT(L$47,2))),IF(logStatus&lt;&gt;"""",UPPER(logStatus),IF(selectedDate&gt;TODAY(),""-"",IF(REGEXMATCH(L$47,""SUN""),""WO"",IF(L$50&lt;&gt;"""",IF(VALUE(L$50)&gt;=9/24,""FD"",""HD""),""A"")))))))"),"A")</f>
        <v>A</v>
      </c>
      <c r="M51" s="43" t="str">
        <f>IFERROR(__xludf.DUMMYFUNCTION("IF($A46="""","""",IF(M$47="""","""",LET(logStatus,IFNA(INDEX(DATA_LOG!$E:$E,MATCH(1,(DATA_LOG!$A:$A=$A46)*(TEXT(DATA_LOG!$B:$B,""yyyy-MM-dd"")=TEXT(DATE($P$3,MONTH(1&amp;$N$3),VALUE(LEFT(M$47,2))),""yyyy-MM-dd"")),0)),""""),selectedDate,DATE($P$3,MONTH(1&amp;$N$3"&amp;"),VALUE(LEFT(M$47,2))),IF(logStatus&lt;&gt;"""",UPPER(logStatus),IF(selectedDate&gt;TODAY(),""-"",IF(REGEXMATCH(M$47,""SUN""),""WO"",IF(M$50&lt;&gt;"""",IF(VALUE(M$50)&gt;=9/24,""FD"",""HD""),""A"")))))))"),"-")</f>
        <v>-</v>
      </c>
      <c r="N51" s="43" t="str">
        <f>IFERROR(__xludf.DUMMYFUNCTION("IF($A46="""","""",IF(N$47="""","""",LET(logStatus,IFNA(INDEX(DATA_LOG!$E:$E,MATCH(1,(DATA_LOG!$A:$A=$A46)*(TEXT(DATA_LOG!$B:$B,""yyyy-MM-dd"")=TEXT(DATE($P$3,MONTH(1&amp;$N$3),VALUE(LEFT(N$47,2))),""yyyy-MM-dd"")),0)),""""),selectedDate,DATE($P$3,MONTH(1&amp;$N$3"&amp;"),VALUE(LEFT(N$47,2))),IF(logStatus&lt;&gt;"""",UPPER(logStatus),IF(selectedDate&gt;TODAY(),""-"",IF(REGEXMATCH(N$47,""SUN""),""WO"",IF(N$50&lt;&gt;"""",IF(VALUE(N$50)&gt;=9/24,""FD"",""HD""),""A"")))))))"),"-")</f>
        <v>-</v>
      </c>
      <c r="O51" s="43" t="str">
        <f>IFERROR(__xludf.DUMMYFUNCTION("IF($A46="""","""",IF(O$47="""","""",LET(logStatus,IFNA(INDEX(DATA_LOG!$E:$E,MATCH(1,(DATA_LOG!$A:$A=$A46)*(TEXT(DATA_LOG!$B:$B,""yyyy-MM-dd"")=TEXT(DATE($P$3,MONTH(1&amp;$N$3),VALUE(LEFT(O$47,2))),""yyyy-MM-dd"")),0)),""""),selectedDate,DATE($P$3,MONTH(1&amp;$N$3"&amp;"),VALUE(LEFT(O$47,2))),IF(logStatus&lt;&gt;"""",UPPER(logStatus),IF(selectedDate&gt;TODAY(),""-"",IF(REGEXMATCH(O$47,""SUN""),""WO"",IF(O$50&lt;&gt;"""",IF(VALUE(O$50)&gt;=9/24,""FD"",""HD""),""A"")))))))"),"-")</f>
        <v>-</v>
      </c>
      <c r="P51" s="43" t="str">
        <f>IFERROR(__xludf.DUMMYFUNCTION("IF($A46="""","""",IF(P$47="""","""",LET(logStatus,IFNA(INDEX(DATA_LOG!$E:$E,MATCH(1,(DATA_LOG!$A:$A=$A46)*(TEXT(DATA_LOG!$B:$B,""yyyy-MM-dd"")=TEXT(DATE($P$3,MONTH(1&amp;$N$3),VALUE(LEFT(P$47,2))),""yyyy-MM-dd"")),0)),""""),selectedDate,DATE($P$3,MONTH(1&amp;$N$3"&amp;"),VALUE(LEFT(P$47,2))),IF(logStatus&lt;&gt;"""",UPPER(logStatus),IF(selectedDate&gt;TODAY(),""-"",IF(REGEXMATCH(P$47,""SUN""),""WO"",IF(P$50&lt;&gt;"""",IF(VALUE(P$50)&gt;=9/24,""FD"",""HD""),""A"")))))))"),"-")</f>
        <v>-</v>
      </c>
      <c r="Q51" s="43" t="str">
        <f>IFERROR(__xludf.DUMMYFUNCTION("IF($A46="""","""",IF(Q$47="""","""",LET(logStatus,IFNA(INDEX(DATA_LOG!$E:$E,MATCH(1,(DATA_LOG!$A:$A=$A46)*(TEXT(DATA_LOG!$B:$B,""yyyy-MM-dd"")=TEXT(DATE($P$3,MONTH(1&amp;$N$3),VALUE(LEFT(Q$47,2))),""yyyy-MM-dd"")),0)),""""),selectedDate,DATE($P$3,MONTH(1&amp;$N$3"&amp;"),VALUE(LEFT(Q$47,2))),IF(logStatus&lt;&gt;"""",UPPER(logStatus),IF(selectedDate&gt;TODAY(),""-"",IF(REGEXMATCH(Q$47,""SUN""),""WO"",IF(Q$50&lt;&gt;"""",IF(VALUE(Q$50)&gt;=9/24,""FD"",""HD""),""A"")))))))"),"-")</f>
        <v>-</v>
      </c>
      <c r="R51" s="43" t="str">
        <f>IFERROR(__xludf.DUMMYFUNCTION("IF($A46="""","""",IF(R$47="""","""",LET(logStatus,IFNA(INDEX(DATA_LOG!$E:$E,MATCH(1,(DATA_LOG!$A:$A=$A46)*(TEXT(DATA_LOG!$B:$B,""yyyy-MM-dd"")=TEXT(DATE($P$3,MONTH(1&amp;$N$3),VALUE(LEFT(R$47,2))),""yyyy-MM-dd"")),0)),""""),selectedDate,DATE($P$3,MONTH(1&amp;$N$3"&amp;"),VALUE(LEFT(R$47,2))),IF(logStatus&lt;&gt;"""",UPPER(logStatus),IF(selectedDate&gt;TODAY(),""-"",IF(REGEXMATCH(R$47,""SUN""),""WO"",IF(R$50&lt;&gt;"""",IF(VALUE(R$50)&gt;=9/24,""FD"",""HD""),""A"")))))))"),"-")</f>
        <v>-</v>
      </c>
      <c r="S51" s="43" t="str">
        <f>IFERROR(__xludf.DUMMYFUNCTION("IF($A46="""","""",IF(S$47="""","""",LET(logStatus,IFNA(INDEX(DATA_LOG!$E:$E,MATCH(1,(DATA_LOG!$A:$A=$A46)*(TEXT(DATA_LOG!$B:$B,""yyyy-MM-dd"")=TEXT(DATE($P$3,MONTH(1&amp;$N$3),VALUE(LEFT(S$47,2))),""yyyy-MM-dd"")),0)),""""),selectedDate,DATE($P$3,MONTH(1&amp;$N$3"&amp;"),VALUE(LEFT(S$47,2))),IF(logStatus&lt;&gt;"""",UPPER(logStatus),IF(selectedDate&gt;TODAY(),""-"",IF(REGEXMATCH(S$47,""SUN""),""WO"",IF(S$50&lt;&gt;"""",IF(VALUE(S$50)&gt;=9/24,""FD"",""HD""),""A"")))))))"),"-")</f>
        <v>-</v>
      </c>
      <c r="T51" s="43" t="str">
        <f>IFERROR(__xludf.DUMMYFUNCTION("IF($A46="""","""",IF(T$47="""","""",LET(logStatus,IFNA(INDEX(DATA_LOG!$E:$E,MATCH(1,(DATA_LOG!$A:$A=$A46)*(TEXT(DATA_LOG!$B:$B,""yyyy-MM-dd"")=TEXT(DATE($P$3,MONTH(1&amp;$N$3),VALUE(LEFT(T$47,2))),""yyyy-MM-dd"")),0)),""""),selectedDate,DATE($P$3,MONTH(1&amp;$N$3"&amp;"),VALUE(LEFT(T$47,2))),IF(logStatus&lt;&gt;"""",UPPER(logStatus),IF(selectedDate&gt;TODAY(),""-"",IF(REGEXMATCH(T$47,""SUN""),""WO"",IF(T$50&lt;&gt;"""",IF(VALUE(T$50)&gt;=9/24,""FD"",""HD""),""A"")))))))"),"-")</f>
        <v>-</v>
      </c>
      <c r="U51" s="43" t="str">
        <f>IFERROR(__xludf.DUMMYFUNCTION("IF($A46="""","""",IF(U$47="""","""",LET(logStatus,IFNA(INDEX(DATA_LOG!$E:$E,MATCH(1,(DATA_LOG!$A:$A=$A46)*(TEXT(DATA_LOG!$B:$B,""yyyy-MM-dd"")=TEXT(DATE($P$3,MONTH(1&amp;$N$3),VALUE(LEFT(U$47,2))),""yyyy-MM-dd"")),0)),""""),selectedDate,DATE($P$3,MONTH(1&amp;$N$3"&amp;"),VALUE(LEFT(U$47,2))),IF(logStatus&lt;&gt;"""",UPPER(logStatus),IF(selectedDate&gt;TODAY(),""-"",IF(REGEXMATCH(U$47,""SUN""),""WO"",IF(U$50&lt;&gt;"""",IF(VALUE(U$50)&gt;=9/24,""FD"",""HD""),""A"")))))))"),"-")</f>
        <v>-</v>
      </c>
      <c r="V51" s="43" t="str">
        <f>IFERROR(__xludf.DUMMYFUNCTION("IF($A46="""","""",IF(V$47="""","""",LET(logStatus,IFNA(INDEX(DATA_LOG!$E:$E,MATCH(1,(DATA_LOG!$A:$A=$A46)*(TEXT(DATA_LOG!$B:$B,""yyyy-MM-dd"")=TEXT(DATE($P$3,MONTH(1&amp;$N$3),VALUE(LEFT(V$47,2))),""yyyy-MM-dd"")),0)),""""),selectedDate,DATE($P$3,MONTH(1&amp;$N$3"&amp;"),VALUE(LEFT(V$47,2))),IF(logStatus&lt;&gt;"""",UPPER(logStatus),IF(selectedDate&gt;TODAY(),""-"",IF(REGEXMATCH(V$47,""SUN""),""WO"",IF(V$50&lt;&gt;"""",IF(VALUE(V$50)&gt;=9/24,""FD"",""HD""),""A"")))))))"),"-")</f>
        <v>-</v>
      </c>
      <c r="W51" s="43" t="str">
        <f>IFERROR(__xludf.DUMMYFUNCTION("IF($A46="""","""",IF(W$47="""","""",LET(logStatus,IFNA(INDEX(DATA_LOG!$E:$E,MATCH(1,(DATA_LOG!$A:$A=$A46)*(TEXT(DATA_LOG!$B:$B,""yyyy-MM-dd"")=TEXT(DATE($P$3,MONTH(1&amp;$N$3),VALUE(LEFT(W$47,2))),""yyyy-MM-dd"")),0)),""""),selectedDate,DATE($P$3,MONTH(1&amp;$N$3"&amp;"),VALUE(LEFT(W$47,2))),IF(logStatus&lt;&gt;"""",UPPER(logStatus),IF(selectedDate&gt;TODAY(),""-"",IF(REGEXMATCH(W$47,""SUN""),""WO"",IF(W$50&lt;&gt;"""",IF(VALUE(W$50)&gt;=9/24,""FD"",""HD""),""A"")))))))"),"-")</f>
        <v>-</v>
      </c>
      <c r="X51" s="43" t="str">
        <f>IFERROR(__xludf.DUMMYFUNCTION("IF($A46="""","""",IF(X$47="""","""",LET(logStatus,IFNA(INDEX(DATA_LOG!$E:$E,MATCH(1,(DATA_LOG!$A:$A=$A46)*(TEXT(DATA_LOG!$B:$B,""yyyy-MM-dd"")=TEXT(DATE($P$3,MONTH(1&amp;$N$3),VALUE(LEFT(X$47,2))),""yyyy-MM-dd"")),0)),""""),selectedDate,DATE($P$3,MONTH(1&amp;$N$3"&amp;"),VALUE(LEFT(X$47,2))),IF(logStatus&lt;&gt;"""",UPPER(logStatus),IF(selectedDate&gt;TODAY(),""-"",IF(REGEXMATCH(X$47,""SUN""),""WO"",IF(X$50&lt;&gt;"""",IF(VALUE(X$50)&gt;=9/24,""FD"",""HD""),""A"")))))))"),"-")</f>
        <v>-</v>
      </c>
      <c r="Y51" s="43" t="str">
        <f>IFERROR(__xludf.DUMMYFUNCTION("IF($A46="""","""",IF(Y$47="""","""",LET(logStatus,IFNA(INDEX(DATA_LOG!$E:$E,MATCH(1,(DATA_LOG!$A:$A=$A46)*(TEXT(DATA_LOG!$B:$B,""yyyy-MM-dd"")=TEXT(DATE($P$3,MONTH(1&amp;$N$3),VALUE(LEFT(Y$47,2))),""yyyy-MM-dd"")),0)),""""),selectedDate,DATE($P$3,MONTH(1&amp;$N$3"&amp;"),VALUE(LEFT(Y$47,2))),IF(logStatus&lt;&gt;"""",UPPER(logStatus),IF(selectedDate&gt;TODAY(),""-"",IF(REGEXMATCH(Y$47,""SUN""),""WO"",IF(Y$50&lt;&gt;"""",IF(VALUE(Y$50)&gt;=9/24,""FD"",""HD""),""A"")))))))"),"-")</f>
        <v>-</v>
      </c>
      <c r="Z51" s="43" t="str">
        <f>IFERROR(__xludf.DUMMYFUNCTION("IF($A46="""","""",IF(Z$47="""","""",LET(logStatus,IFNA(INDEX(DATA_LOG!$E:$E,MATCH(1,(DATA_LOG!$A:$A=$A46)*(TEXT(DATA_LOG!$B:$B,""yyyy-MM-dd"")=TEXT(DATE($P$3,MONTH(1&amp;$N$3),VALUE(LEFT(Z$47,2))),""yyyy-MM-dd"")),0)),""""),selectedDate,DATE($P$3,MONTH(1&amp;$N$3"&amp;"),VALUE(LEFT(Z$47,2))),IF(logStatus&lt;&gt;"""",UPPER(logStatus),IF(selectedDate&gt;TODAY(),""-"",IF(REGEXMATCH(Z$47,""SUN""),""WO"",IF(Z$50&lt;&gt;"""",IF(VALUE(Z$50)&gt;=9/24,""FD"",""HD""),""A"")))))))"),"-")</f>
        <v>-</v>
      </c>
      <c r="AA51" s="43" t="str">
        <f>IFERROR(__xludf.DUMMYFUNCTION("IF($A46="""","""",IF(AA$47="""","""",LET(logStatus,IFNA(INDEX(DATA_LOG!$E:$E,MATCH(1,(DATA_LOG!$A:$A=$A46)*(TEXT(DATA_LOG!$B:$B,""yyyy-MM-dd"")=TEXT(DATE($P$3,MONTH(1&amp;$N$3),VALUE(LEFT(AA$47,2))),""yyyy-MM-dd"")),0)),""""),selectedDate,DATE($P$3,MONTH(1&amp;$N"&amp;"$3),VALUE(LEFT(AA$47,2))),IF(logStatus&lt;&gt;"""",UPPER(logStatus),IF(selectedDate&gt;TODAY(),""-"",IF(REGEXMATCH(AA$47,""SUN""),""WO"",IF(AA$50&lt;&gt;"""",IF(VALUE(AA$50)&gt;=9/24,""FD"",""HD""),""A"")))))))"),"-")</f>
        <v>-</v>
      </c>
      <c r="AB51" s="43" t="str">
        <f>IFERROR(__xludf.DUMMYFUNCTION("IF($A46="""","""",IF(AB$47="""","""",LET(logStatus,IFNA(INDEX(DATA_LOG!$E:$E,MATCH(1,(DATA_LOG!$A:$A=$A46)*(TEXT(DATA_LOG!$B:$B,""yyyy-MM-dd"")=TEXT(DATE($P$3,MONTH(1&amp;$N$3),VALUE(LEFT(AB$47,2))),""yyyy-MM-dd"")),0)),""""),selectedDate,DATE($P$3,MONTH(1&amp;$N"&amp;"$3),VALUE(LEFT(AB$47,2))),IF(logStatus&lt;&gt;"""",UPPER(logStatus),IF(selectedDate&gt;TODAY(),""-"",IF(REGEXMATCH(AB$47,""SUN""),""WO"",IF(AB$50&lt;&gt;"""",IF(VALUE(AB$50)&gt;=9/24,""FD"",""HD""),""A"")))))))"),"-")</f>
        <v>-</v>
      </c>
      <c r="AC51" s="43" t="str">
        <f>IFERROR(__xludf.DUMMYFUNCTION("IF($A46="""","""",IF(AC$47="""","""",LET(logStatus,IFNA(INDEX(DATA_LOG!$E:$E,MATCH(1,(DATA_LOG!$A:$A=$A46)*(TEXT(DATA_LOG!$B:$B,""yyyy-MM-dd"")=TEXT(DATE($P$3,MONTH(1&amp;$N$3),VALUE(LEFT(AC$47,2))),""yyyy-MM-dd"")),0)),""""),selectedDate,DATE($P$3,MONTH(1&amp;$N"&amp;"$3),VALUE(LEFT(AC$47,2))),IF(logStatus&lt;&gt;"""",UPPER(logStatus),IF(selectedDate&gt;TODAY(),""-"",IF(REGEXMATCH(AC$47,""SUN""),""WO"",IF(AC$50&lt;&gt;"""",IF(VALUE(AC$50)&gt;=9/24,""FD"",""HD""),""A"")))))))"),"-")</f>
        <v>-</v>
      </c>
      <c r="AD51" s="43" t="str">
        <f>IFERROR(__xludf.DUMMYFUNCTION("IF($A46="""","""",IF(AD$47="""","""",LET(logStatus,IFNA(INDEX(DATA_LOG!$E:$E,MATCH(1,(DATA_LOG!$A:$A=$A46)*(TEXT(DATA_LOG!$B:$B,""yyyy-MM-dd"")=TEXT(DATE($P$3,MONTH(1&amp;$N$3),VALUE(LEFT(AD$47,2))),""yyyy-MM-dd"")),0)),""""),selectedDate,DATE($P$3,MONTH(1&amp;$N"&amp;"$3),VALUE(LEFT(AD$47,2))),IF(logStatus&lt;&gt;"""",UPPER(logStatus),IF(selectedDate&gt;TODAY(),""-"",IF(REGEXMATCH(AD$47,""SUN""),""WO"",IF(AD$50&lt;&gt;"""",IF(VALUE(AD$50)&gt;=9/24,""FD"",""HD""),""A"")))))))"),"-")</f>
        <v>-</v>
      </c>
      <c r="AE51" s="43" t="str">
        <f>IFERROR(__xludf.DUMMYFUNCTION("IF($A46="""","""",IF(AE$47="""","""",LET(logStatus,IFNA(INDEX(DATA_LOG!$E:$E,MATCH(1,(DATA_LOG!$A:$A=$A46)*(TEXT(DATA_LOG!$B:$B,""yyyy-MM-dd"")=TEXT(DATE($P$3,MONTH(1&amp;$N$3),VALUE(LEFT(AE$47,2))),""yyyy-MM-dd"")),0)),""""),selectedDate,DATE($P$3,MONTH(1&amp;$N"&amp;"$3),VALUE(LEFT(AE$47,2))),IF(logStatus&lt;&gt;"""",UPPER(logStatus),IF(selectedDate&gt;TODAY(),""-"",IF(REGEXMATCH(AE$47,""SUN""),""WO"",IF(AE$50&lt;&gt;"""",IF(VALUE(AE$50)&gt;=9/24,""FD"",""HD""),""A"")))))))"),"-")</f>
        <v>-</v>
      </c>
      <c r="AF51" s="43" t="str">
        <f>IFERROR(__xludf.DUMMYFUNCTION("IF($A46="""","""",IF(AF$47="""","""",LET(logStatus,IFNA(INDEX(DATA_LOG!$E:$E,MATCH(1,(DATA_LOG!$A:$A=$A46)*(TEXT(DATA_LOG!$B:$B,""yyyy-MM-dd"")=TEXT(DATE($P$3,MONTH(1&amp;$N$3),VALUE(LEFT(AF$47,2))),""yyyy-MM-dd"")),0)),""""),selectedDate,DATE($P$3,MONTH(1&amp;$N"&amp;"$3),VALUE(LEFT(AF$47,2))),IF(logStatus&lt;&gt;"""",UPPER(logStatus),IF(selectedDate&gt;TODAY(),""-"",IF(REGEXMATCH(AF$47,""SUN""),""WO"",IF(AF$50&lt;&gt;"""",IF(VALUE(AF$50)&gt;=9/24,""FD"",""HD""),""A"")))))))"),"")</f>
        <v/>
      </c>
    </row>
    <row r="52">
      <c r="A52" s="44"/>
    </row>
    <row r="53">
      <c r="A53" s="25" t="str">
        <f t="array" ref="A53">INDEX(EMPLOYEE_LIST!$A:$A,INT((ROW()-4)/7)+2)</f>
        <v>NITESH DUGGA</v>
      </c>
      <c r="B53" s="26"/>
      <c r="C53" s="27"/>
      <c r="D53" s="28" t="str">
        <f>IF(A53="", "", IFERROR(VLOOKUP(A53, EMPLOYEE_LIST!$A:$H, 2, FALSE), ""))</f>
        <v>AYV82</v>
      </c>
      <c r="E53" s="26"/>
      <c r="F53" s="26"/>
      <c r="G53" s="27"/>
      <c r="H53" s="29" t="str">
        <f>IF(A53="", "", IFERROR(VLOOKUP(A53, EMPLOYEE_LIST!$A:$H, 3, FALSE), ""))</f>
        <v>SUPERVISOR</v>
      </c>
      <c r="I53" s="26"/>
      <c r="J53" s="26"/>
      <c r="K53" s="27"/>
      <c r="L53" s="29" t="str">
        <f>IF(A53="", "", IFERROR(VLOOKUP(A53, EMPLOYEE_LIST!$A:$H, 4, FALSE), ""))</f>
        <v>SUPERVISOR</v>
      </c>
      <c r="M53" s="26"/>
      <c r="N53" s="26"/>
      <c r="O53" s="27"/>
      <c r="P53" s="30" t="str">
        <f>IF($A53="", "", "Full Day: " &amp; COUNTIF(B58:AF58, "FD"))</f>
        <v>Full Day: 0</v>
      </c>
      <c r="Q53" s="26"/>
      <c r="R53" s="27"/>
      <c r="S53" s="31" t="str">
        <f>IF($A53="", "", "HALF Day: " &amp; COUNTIF(B58:AF58, "HD"))</f>
        <v>HALF Day: 0</v>
      </c>
      <c r="T53" s="26"/>
      <c r="U53" s="27"/>
      <c r="V53" s="31" t="str">
        <f>IF($A53="", "", "ABSENT: " &amp; COUNTIF(B58:AF58, "A"))</f>
        <v>ABSENT: 10</v>
      </c>
      <c r="W53" s="26"/>
      <c r="X53" s="27"/>
      <c r="Y53" s="31" t="str">
        <f>IF($A53="", "", "WEEK OFF: " &amp; COUNTIF(B58:AF58, "WO"))</f>
        <v>WEEK OFF: 1</v>
      </c>
      <c r="Z53" s="26"/>
      <c r="AA53" s="27"/>
      <c r="AB53" s="31" t="str">
        <f>IF($A53="", "", "LEAVE: " &amp; COUNTIF(B58:AF58, "L"))</f>
        <v>LEAVE: 0</v>
      </c>
      <c r="AC53" s="27"/>
      <c r="AD53" s="31" t="str">
        <f>IF($A53="", "", "HOLIDAY: " &amp; COUNTIF(B58:AF58, "HL"))</f>
        <v>HOLIDAY: 0</v>
      </c>
      <c r="AE53" s="26"/>
      <c r="AF53" s="27"/>
    </row>
    <row r="54">
      <c r="A54" s="32" t="str">
        <f>IF($A53="", "", "DATE")</f>
        <v>DATE</v>
      </c>
      <c r="B54" s="33" t="str">
        <f t="array" ref="B54:AE54">IF($A53="","",LET(mNum,MONTH(1&amp;$N$3),start,DATE($P$3,mNum,1),days,DAY(EOMONTH(start,0)),MAP(SEQUENCE(1,days,0),LAMBDA(n,UPPER(TEXT(start+n,"dd (ddd)"))))))</f>
        <v>01 (TUE)</v>
      </c>
      <c r="C54" s="34" t="s">
        <v>89</v>
      </c>
      <c r="D54" s="34" t="s">
        <v>90</v>
      </c>
      <c r="E54" s="34" t="s">
        <v>91</v>
      </c>
      <c r="F54" s="34" t="s">
        <v>92</v>
      </c>
      <c r="G54" s="34" t="s">
        <v>93</v>
      </c>
      <c r="H54" s="34" t="s">
        <v>94</v>
      </c>
      <c r="I54" s="34" t="s">
        <v>95</v>
      </c>
      <c r="J54" s="34" t="s">
        <v>96</v>
      </c>
      <c r="K54" s="34" t="s">
        <v>97</v>
      </c>
      <c r="L54" s="34" t="s">
        <v>98</v>
      </c>
      <c r="M54" s="34" t="s">
        <v>99</v>
      </c>
      <c r="N54" s="34" t="s">
        <v>100</v>
      </c>
      <c r="O54" s="34" t="s">
        <v>101</v>
      </c>
      <c r="P54" s="34" t="s">
        <v>102</v>
      </c>
      <c r="Q54" s="34" t="s">
        <v>103</v>
      </c>
      <c r="R54" s="34" t="s">
        <v>104</v>
      </c>
      <c r="S54" s="34" t="s">
        <v>105</v>
      </c>
      <c r="T54" s="34" t="s">
        <v>106</v>
      </c>
      <c r="U54" s="34" t="s">
        <v>107</v>
      </c>
      <c r="V54" s="34" t="s">
        <v>108</v>
      </c>
      <c r="W54" s="34" t="s">
        <v>109</v>
      </c>
      <c r="X54" s="34" t="s">
        <v>110</v>
      </c>
      <c r="Y54" s="34" t="s">
        <v>111</v>
      </c>
      <c r="Z54" s="34" t="s">
        <v>112</v>
      </c>
      <c r="AA54" s="34" t="s">
        <v>113</v>
      </c>
      <c r="AB54" s="34" t="s">
        <v>114</v>
      </c>
      <c r="AC54" s="34" t="s">
        <v>115</v>
      </c>
      <c r="AD54" s="34" t="s">
        <v>116</v>
      </c>
      <c r="AE54" s="34" t="s">
        <v>117</v>
      </c>
      <c r="AF54" s="34"/>
    </row>
    <row r="55">
      <c r="A55" s="37" t="str">
        <f>IF($A53="", "", "IN")</f>
        <v>IN</v>
      </c>
      <c r="B55" s="38" t="str">
        <f t="array" ref="B55">IF(OR($A53="",B$54=""),"",IFNA(INDEX(DATA_LOG!$C:$C,MATCH(1,(DATA_LOG!$A:$A=$A53)*(TEXT(DATA_LOG!$B:$B,"yyyy-MM-dd")=TEXT(DATE($P$3,MONTH(1&amp;$N$3),VALUE(LEFT(B$54,2))),"yyyy-MM-dd")),0)),""))</f>
        <v/>
      </c>
      <c r="C55" s="39" t="str">
        <f t="array" ref="C55">IF(OR($A53="",C$5=""),"",IFNA(INDEX(DATA_LOG!$C:$C,MATCH(1,(DATA_LOG!$A:$A=$A53)*(TEXT(DATA_LOG!$B:$B,"yyyy-MM-dd")=TEXT(DATE($P$3,MONTH(1&amp;$N$3),VALUE(LEFT(C$5,2))),"yyyy-MM-dd")),0)),""))</f>
        <v/>
      </c>
      <c r="D55" s="39" t="str">
        <f t="array" ref="D55">IF(OR($A53="",D$5=""),"",IFNA(INDEX(DATA_LOG!$C:$C,MATCH(1,(DATA_LOG!$A:$A=$A53)*(TEXT(DATA_LOG!$B:$B,"yyyy-MM-dd")=TEXT(DATE($P$3,MONTH(1&amp;$N$3),VALUE(LEFT(D$5,2))),"yyyy-MM-dd")),0)),""))</f>
        <v/>
      </c>
      <c r="E55" s="39" t="str">
        <f t="array" ref="E55">IF(OR($A53="",E$5=""),"",IFNA(INDEX(DATA_LOG!$C:$C,MATCH(1,(DATA_LOG!$A:$A=$A53)*(TEXT(DATA_LOG!$B:$B,"yyyy-MM-dd")=TEXT(DATE($P$3,MONTH(1&amp;$N$3),VALUE(LEFT(E$5,2))),"yyyy-MM-dd")),0)),""))</f>
        <v/>
      </c>
      <c r="F55" s="39" t="str">
        <f t="array" ref="F55">IF(OR($A53="",F$5=""),"",IFNA(INDEX(DATA_LOG!$C:$C,MATCH(1,(DATA_LOG!$A:$A=$A53)*(TEXT(DATA_LOG!$B:$B,"yyyy-MM-dd")=TEXT(DATE($P$3,MONTH(1&amp;$N$3),VALUE(LEFT(F$5,2))),"yyyy-MM-dd")),0)),""))</f>
        <v/>
      </c>
      <c r="G55" s="39" t="str">
        <f t="array" ref="G55">IF(OR($A53="",G$5=""),"",IFNA(INDEX(DATA_LOG!$C:$C,MATCH(1,(DATA_LOG!$A:$A=$A53)*(TEXT(DATA_LOG!$B:$B,"yyyy-MM-dd")=TEXT(DATE($P$3,MONTH(1&amp;$N$3),VALUE(LEFT(G$5,2))),"yyyy-MM-dd")),0)),""))</f>
        <v/>
      </c>
      <c r="H55" s="39" t="str">
        <f t="array" ref="H55">IF(OR($A53="",H$5=""),"",IFNA(INDEX(DATA_LOG!$C:$C,MATCH(1,(DATA_LOG!$A:$A=$A53)*(TEXT(DATA_LOG!$B:$B,"yyyy-MM-dd")=TEXT(DATE($P$3,MONTH(1&amp;$N$3),VALUE(LEFT(H$5,2))),"yyyy-MM-dd")),0)),""))</f>
        <v/>
      </c>
      <c r="I55" s="39" t="str">
        <f t="array" ref="I55">IF(OR($A53="",I$5=""),"",IFNA(INDEX(DATA_LOG!$C:$C,MATCH(1,(DATA_LOG!$A:$A=$A53)*(TEXT(DATA_LOG!$B:$B,"yyyy-MM-dd")=TEXT(DATE($P$3,MONTH(1&amp;$N$3),VALUE(LEFT(I$5,2))),"yyyy-MM-dd")),0)),""))</f>
        <v/>
      </c>
      <c r="J55" s="39" t="str">
        <f t="array" ref="J55">IF(OR($A53="",J$5=""),"",IFNA(INDEX(DATA_LOG!$C:$C,MATCH(1,(DATA_LOG!$A:$A=$A53)*(TEXT(DATA_LOG!$B:$B,"yyyy-MM-dd")=TEXT(DATE($P$3,MONTH(1&amp;$N$3),VALUE(LEFT(J$5,2))),"yyyy-MM-dd")),0)),""))</f>
        <v/>
      </c>
      <c r="K55" s="39" t="str">
        <f t="array" ref="K55">IF(OR($A53="",K$5=""),"",IFNA(INDEX(DATA_LOG!$C:$C,MATCH(1,(DATA_LOG!$A:$A=$A53)*(TEXT(DATA_LOG!$B:$B,"yyyy-MM-dd")=TEXT(DATE($P$3,MONTH(1&amp;$N$3),VALUE(LEFT(K$5,2))),"yyyy-MM-dd")),0)),""))</f>
        <v/>
      </c>
      <c r="L55" s="39" t="str">
        <f t="array" ref="L55">IF(OR($A53="",L$5=""),"",IFNA(INDEX(DATA_LOG!$C:$C,MATCH(1,(DATA_LOG!$A:$A=$A53)*(TEXT(DATA_LOG!$B:$B,"yyyy-MM-dd")=TEXT(DATE($P$3,MONTH(1&amp;$N$3),VALUE(LEFT(L$5,2))),"yyyy-MM-dd")),0)),""))</f>
        <v/>
      </c>
      <c r="M55" s="39" t="str">
        <f t="array" ref="M55">IF(OR($A53="",M$5=""),"",IFNA(INDEX(DATA_LOG!$C:$C,MATCH(1,(DATA_LOG!$A:$A=$A53)*(TEXT(DATA_LOG!$B:$B,"yyyy-MM-dd")=TEXT(DATE($P$3,MONTH(1&amp;$N$3),VALUE(LEFT(M$5,2))),"yyyy-MM-dd")),0)),""))</f>
        <v/>
      </c>
      <c r="N55" s="39" t="str">
        <f t="array" ref="N55">IF(OR($A53="",N$5=""),"",IFNA(INDEX(DATA_LOG!$C:$C,MATCH(1,(DATA_LOG!$A:$A=$A53)*(TEXT(DATA_LOG!$B:$B,"yyyy-MM-dd")=TEXT(DATE($P$3,MONTH(1&amp;$N$3),VALUE(LEFT(N$5,2))),"yyyy-MM-dd")),0)),""))</f>
        <v/>
      </c>
      <c r="O55" s="39" t="str">
        <f t="array" ref="O55">IF(OR($A53="",O$5=""),"",IFNA(INDEX(DATA_LOG!$C:$C,MATCH(1,(DATA_LOG!$A:$A=$A53)*(TEXT(DATA_LOG!$B:$B,"yyyy-MM-dd")=TEXT(DATE($P$3,MONTH(1&amp;$N$3),VALUE(LEFT(O$5,2))),"yyyy-MM-dd")),0)),""))</f>
        <v/>
      </c>
      <c r="P55" s="39" t="str">
        <f t="array" ref="P55">IF(OR($A53="",P$5=""),"",IFNA(INDEX(DATA_LOG!$C:$C,MATCH(1,(DATA_LOG!$A:$A=$A53)*(TEXT(DATA_LOG!$B:$B,"yyyy-MM-dd")=TEXT(DATE($P$3,MONTH(1&amp;$N$3),VALUE(LEFT(P$5,2))),"yyyy-MM-dd")),0)),""))</f>
        <v/>
      </c>
      <c r="Q55" s="39" t="str">
        <f t="array" ref="Q55">IF(OR($A53="",Q$5=""),"",IFNA(INDEX(DATA_LOG!$C:$C,MATCH(1,(DATA_LOG!$A:$A=$A53)*(TEXT(DATA_LOG!$B:$B,"yyyy-MM-dd")=TEXT(DATE($P$3,MONTH(1&amp;$N$3),VALUE(LEFT(Q$5,2))),"yyyy-MM-dd")),0)),""))</f>
        <v/>
      </c>
      <c r="R55" s="39" t="str">
        <f t="array" ref="R55">IF(OR($A53="",R$5=""),"",IFNA(INDEX(DATA_LOG!$C:$C,MATCH(1,(DATA_LOG!$A:$A=$A53)*(TEXT(DATA_LOG!$B:$B,"yyyy-MM-dd")=TEXT(DATE($P$3,MONTH(1&amp;$N$3),VALUE(LEFT(R$5,2))),"yyyy-MM-dd")),0)),""))</f>
        <v/>
      </c>
      <c r="S55" s="39" t="str">
        <f t="array" ref="S55">IF(OR($A53="",S$5=""),"",IFNA(INDEX(DATA_LOG!$C:$C,MATCH(1,(DATA_LOG!$A:$A=$A53)*(TEXT(DATA_LOG!$B:$B,"yyyy-MM-dd")=TEXT(DATE($P$3,MONTH(1&amp;$N$3),VALUE(LEFT(S$5,2))),"yyyy-MM-dd")),0)),""))</f>
        <v/>
      </c>
      <c r="T55" s="39" t="str">
        <f t="array" ref="T55">IF(OR($A53="",T$5=""),"",IFNA(INDEX(DATA_LOG!$C:$C,MATCH(1,(DATA_LOG!$A:$A=$A53)*(TEXT(DATA_LOG!$B:$B,"yyyy-MM-dd")=TEXT(DATE($P$3,MONTH(1&amp;$N$3),VALUE(LEFT(T$5,2))),"yyyy-MM-dd")),0)),""))</f>
        <v/>
      </c>
      <c r="U55" s="39" t="str">
        <f t="array" ref="U55">IF(OR($A53="",U$5=""),"",IFNA(INDEX(DATA_LOG!$C:$C,MATCH(1,(DATA_LOG!$A:$A=$A53)*(TEXT(DATA_LOG!$B:$B,"yyyy-MM-dd")=TEXT(DATE($P$3,MONTH(1&amp;$N$3),VALUE(LEFT(U$5,2))),"yyyy-MM-dd")),0)),""))</f>
        <v/>
      </c>
      <c r="V55" s="39" t="str">
        <f t="array" ref="V55">IF(OR($A53="",V$5=""),"",IFNA(INDEX(DATA_LOG!$C:$C,MATCH(1,(DATA_LOG!$A:$A=$A53)*(TEXT(DATA_LOG!$B:$B,"yyyy-MM-dd")=TEXT(DATE($P$3,MONTH(1&amp;$N$3),VALUE(LEFT(V$5,2))),"yyyy-MM-dd")),0)),""))</f>
        <v/>
      </c>
      <c r="W55" s="39" t="str">
        <f t="array" ref="W55">IF(OR($A53="",W$5=""),"",IFNA(INDEX(DATA_LOG!$C:$C,MATCH(1,(DATA_LOG!$A:$A=$A53)*(TEXT(DATA_LOG!$B:$B,"yyyy-MM-dd")=TEXT(DATE($P$3,MONTH(1&amp;$N$3),VALUE(LEFT(W$5,2))),"yyyy-MM-dd")),0)),""))</f>
        <v/>
      </c>
      <c r="X55" s="39" t="str">
        <f t="array" ref="X55">IF(OR($A53="",X$5=""),"",IFNA(INDEX(DATA_LOG!$C:$C,MATCH(1,(DATA_LOG!$A:$A=$A53)*(TEXT(DATA_LOG!$B:$B,"yyyy-MM-dd")=TEXT(DATE($P$3,MONTH(1&amp;$N$3),VALUE(LEFT(X$5,2))),"yyyy-MM-dd")),0)),""))</f>
        <v/>
      </c>
      <c r="Y55" s="39" t="str">
        <f t="array" ref="Y55">IF(OR($A53="",Y$5=""),"",IFNA(INDEX(DATA_LOG!$C:$C,MATCH(1,(DATA_LOG!$A:$A=$A53)*(TEXT(DATA_LOG!$B:$B,"yyyy-MM-dd")=TEXT(DATE($P$3,MONTH(1&amp;$N$3),VALUE(LEFT(Y$5,2))),"yyyy-MM-dd")),0)),""))</f>
        <v/>
      </c>
      <c r="Z55" s="39" t="str">
        <f t="array" ref="Z55">IF(OR($A53="",Z$5=""),"",IFNA(INDEX(DATA_LOG!$C:$C,MATCH(1,(DATA_LOG!$A:$A=$A53)*(TEXT(DATA_LOG!$B:$B,"yyyy-MM-dd")=TEXT(DATE($P$3,MONTH(1&amp;$N$3),VALUE(LEFT(Z$5,2))),"yyyy-MM-dd")),0)),""))</f>
        <v/>
      </c>
      <c r="AA55" s="39" t="str">
        <f t="array" ref="AA55">IF(OR($A53="",AA$5=""),"",IFNA(INDEX(DATA_LOG!$C:$C,MATCH(1,(DATA_LOG!$A:$A=$A53)*(TEXT(DATA_LOG!$B:$B,"yyyy-MM-dd")=TEXT(DATE($P$3,MONTH(1&amp;$N$3),VALUE(LEFT(AA$5,2))),"yyyy-MM-dd")),0)),""))</f>
        <v/>
      </c>
      <c r="AB55" s="39" t="str">
        <f t="array" ref="AB55">IF(OR($A53="",AB$5=""),"",IFNA(INDEX(DATA_LOG!$C:$C,MATCH(1,(DATA_LOG!$A:$A=$A53)*(TEXT(DATA_LOG!$B:$B,"yyyy-MM-dd")=TEXT(DATE($P$3,MONTH(1&amp;$N$3),VALUE(LEFT(AB$5,2))),"yyyy-MM-dd")),0)),""))</f>
        <v/>
      </c>
      <c r="AC55" s="39" t="str">
        <f t="array" ref="AC55">IF(OR($A53="",AC$5=""),"",IFNA(INDEX(DATA_LOG!$C:$C,MATCH(1,(DATA_LOG!$A:$A=$A53)*(TEXT(DATA_LOG!$B:$B,"yyyy-MM-dd")=TEXT(DATE($P$3,MONTH(1&amp;$N$3),VALUE(LEFT(AC$5,2))),"yyyy-MM-dd")),0)),""))</f>
        <v/>
      </c>
      <c r="AD55" s="39" t="str">
        <f t="array" ref="AD55">IF(OR($A53="",AD$5=""),"",IFNA(INDEX(DATA_LOG!$C:$C,MATCH(1,(DATA_LOG!$A:$A=$A53)*(TEXT(DATA_LOG!$B:$B,"yyyy-MM-dd")=TEXT(DATE($P$3,MONTH(1&amp;$N$3),VALUE(LEFT(AD$5,2))),"yyyy-MM-dd")),0)),""))</f>
        <v/>
      </c>
      <c r="AE55" s="39" t="str">
        <f t="array" ref="AE55">IF(OR($A53="",AE$5=""),"",IFNA(INDEX(DATA_LOG!$C:$C,MATCH(1,(DATA_LOG!$A:$A=$A53)*(TEXT(DATA_LOG!$B:$B,"yyyy-MM-dd")=TEXT(DATE($P$3,MONTH(1&amp;$N$3),VALUE(LEFT(AE$5,2))),"yyyy-MM-dd")),0)),""))</f>
        <v/>
      </c>
      <c r="AF55" s="39" t="str">
        <f t="array" ref="AF55">IF(OR($A53="",AF$5=""),"",IFNA(INDEX(DATA_LOG!$C:$C,MATCH(1,(DATA_LOG!$A:$A=$A53)*(TEXT(DATA_LOG!$B:$B,"yyyy-MM-dd")=TEXT(DATE($P$3,MONTH(1&amp;$N$3),VALUE(LEFT(AF$5,2))),"yyyy-MM-dd")),0)),""))</f>
        <v/>
      </c>
    </row>
    <row r="56">
      <c r="A56" s="37" t="str">
        <f>IF($A53="", "", "OUT")</f>
        <v>OUT</v>
      </c>
      <c r="B56" s="39" t="str">
        <f t="array" ref="B56">IF(OR($A53="",B$5=""),"",IFNA(INDEX(DATA_LOG!$D:$D,MATCH(1,(DATA_LOG!$A:$A=$A53)*(TEXT(DATA_LOG!$B:$B,"yyyy-MM-dd")=TEXT(DATE($P$3,MONTH(1&amp;$N$3),VALUE(LEFT(B$5,2))),"yyyy-MM-dd")),0)),""))</f>
        <v/>
      </c>
      <c r="C56" s="39" t="str">
        <f t="array" ref="C56">IF(OR($A53="",C$5=""),"",IFNA(INDEX(DATA_LOG!$D:$D,MATCH(1,(DATA_LOG!$A:$A=$A53)*(TEXT(DATA_LOG!$B:$B,"yyyy-MM-dd")=TEXT(DATE($P$3,MONTH(1&amp;$N$3),VALUE(LEFT(C$5,2))),"yyyy-MM-dd")),0)),""))</f>
        <v/>
      </c>
      <c r="D56" s="39" t="str">
        <f t="array" ref="D56">IF(OR($A53="",D$5=""),"",IFNA(INDEX(DATA_LOG!$D:$D,MATCH(1,(DATA_LOG!$A:$A=$A53)*(TEXT(DATA_LOG!$B:$B,"yyyy-MM-dd")=TEXT(DATE($P$3,MONTH(1&amp;$N$3),VALUE(LEFT(D$5,2))),"yyyy-MM-dd")),0)),""))</f>
        <v/>
      </c>
      <c r="E56" s="39" t="str">
        <f t="array" ref="E56">IF(OR($A53="",E$5=""),"",IFNA(INDEX(DATA_LOG!$D:$D,MATCH(1,(DATA_LOG!$A:$A=$A53)*(TEXT(DATA_LOG!$B:$B,"yyyy-MM-dd")=TEXT(DATE($P$3,MONTH(1&amp;$N$3),VALUE(LEFT(E$5,2))),"yyyy-MM-dd")),0)),""))</f>
        <v/>
      </c>
      <c r="F56" s="39" t="str">
        <f t="array" ref="F56">IF(OR($A53="",F$5=""),"",IFNA(INDEX(DATA_LOG!$D:$D,MATCH(1,(DATA_LOG!$A:$A=$A53)*(TEXT(DATA_LOG!$B:$B,"yyyy-MM-dd")=TEXT(DATE($P$3,MONTH(1&amp;$N$3),VALUE(LEFT(F$5,2))),"yyyy-MM-dd")),0)),""))</f>
        <v/>
      </c>
      <c r="G56" s="39" t="str">
        <f t="array" ref="G56">IF(OR($A53="",G$5=""),"",IFNA(INDEX(DATA_LOG!$D:$D,MATCH(1,(DATA_LOG!$A:$A=$A53)*(TEXT(DATA_LOG!$B:$B,"yyyy-MM-dd")=TEXT(DATE($P$3,MONTH(1&amp;$N$3),VALUE(LEFT(G$5,2))),"yyyy-MM-dd")),0)),""))</f>
        <v/>
      </c>
      <c r="H56" s="39" t="str">
        <f t="array" ref="H56">IF(OR($A53="",H$5=""),"",IFNA(INDEX(DATA_LOG!$D:$D,MATCH(1,(DATA_LOG!$A:$A=$A53)*(TEXT(DATA_LOG!$B:$B,"yyyy-MM-dd")=TEXT(DATE($P$3,MONTH(1&amp;$N$3),VALUE(LEFT(H$5,2))),"yyyy-MM-dd")),0)),""))</f>
        <v/>
      </c>
      <c r="I56" s="39" t="str">
        <f t="array" ref="I56">IF(OR($A53="",I$5=""),"",IFNA(INDEX(DATA_LOG!$D:$D,MATCH(1,(DATA_LOG!$A:$A=$A53)*(TEXT(DATA_LOG!$B:$B,"yyyy-MM-dd")=TEXT(DATE($P$3,MONTH(1&amp;$N$3),VALUE(LEFT(I$5,2))),"yyyy-MM-dd")),0)),""))</f>
        <v/>
      </c>
      <c r="J56" s="39" t="str">
        <f t="array" ref="J56">IF(OR($A53="",J$5=""),"",IFNA(INDEX(DATA_LOG!$D:$D,MATCH(1,(DATA_LOG!$A:$A=$A53)*(TEXT(DATA_LOG!$B:$B,"yyyy-MM-dd")=TEXT(DATE($P$3,MONTH(1&amp;$N$3),VALUE(LEFT(J$5,2))),"yyyy-MM-dd")),0)),""))</f>
        <v/>
      </c>
      <c r="K56" s="39" t="str">
        <f t="array" ref="K56">IF(OR($A53="",K$5=""),"",IFNA(INDEX(DATA_LOG!$D:$D,MATCH(1,(DATA_LOG!$A:$A=$A53)*(TEXT(DATA_LOG!$B:$B,"yyyy-MM-dd")=TEXT(DATE($P$3,MONTH(1&amp;$N$3),VALUE(LEFT(K$5,2))),"yyyy-MM-dd")),0)),""))</f>
        <v/>
      </c>
      <c r="L56" s="39" t="str">
        <f t="array" ref="L56">IF(OR($A53="",L$5=""),"",IFNA(INDEX(DATA_LOG!$D:$D,MATCH(1,(DATA_LOG!$A:$A=$A53)*(TEXT(DATA_LOG!$B:$B,"yyyy-MM-dd")=TEXT(DATE($P$3,MONTH(1&amp;$N$3),VALUE(LEFT(L$5,2))),"yyyy-MM-dd")),0)),""))</f>
        <v/>
      </c>
      <c r="M56" s="39" t="str">
        <f t="array" ref="M56">IF(OR($A53="",M$5=""),"",IFNA(INDEX(DATA_LOG!$D:$D,MATCH(1,(DATA_LOG!$A:$A=$A53)*(TEXT(DATA_LOG!$B:$B,"yyyy-MM-dd")=TEXT(DATE($P$3,MONTH(1&amp;$N$3),VALUE(LEFT(M$5,2))),"yyyy-MM-dd")),0)),""))</f>
        <v/>
      </c>
      <c r="N56" s="39" t="str">
        <f t="array" ref="N56">IF(OR($A53="",N$5=""),"",IFNA(INDEX(DATA_LOG!$D:$D,MATCH(1,(DATA_LOG!$A:$A=$A53)*(TEXT(DATA_LOG!$B:$B,"yyyy-MM-dd")=TEXT(DATE($P$3,MONTH(1&amp;$N$3),VALUE(LEFT(N$5,2))),"yyyy-MM-dd")),0)),""))</f>
        <v/>
      </c>
      <c r="O56" s="39" t="str">
        <f t="array" ref="O56">IF(OR($A53="",O$5=""),"",IFNA(INDEX(DATA_LOG!$D:$D,MATCH(1,(DATA_LOG!$A:$A=$A53)*(TEXT(DATA_LOG!$B:$B,"yyyy-MM-dd")=TEXT(DATE($P$3,MONTH(1&amp;$N$3),VALUE(LEFT(O$5,2))),"yyyy-MM-dd")),0)),""))</f>
        <v/>
      </c>
      <c r="P56" s="39" t="str">
        <f t="array" ref="P56">IF(OR($A53="",P$5=""),"",IFNA(INDEX(DATA_LOG!$D:$D,MATCH(1,(DATA_LOG!$A:$A=$A53)*(TEXT(DATA_LOG!$B:$B,"yyyy-MM-dd")=TEXT(DATE($P$3,MONTH(1&amp;$N$3),VALUE(LEFT(P$5,2))),"yyyy-MM-dd")),0)),""))</f>
        <v/>
      </c>
      <c r="Q56" s="39" t="str">
        <f t="array" ref="Q56">IF(OR($A53="",Q$5=""),"",IFNA(INDEX(DATA_LOG!$D:$D,MATCH(1,(DATA_LOG!$A:$A=$A53)*(TEXT(DATA_LOG!$B:$B,"yyyy-MM-dd")=TEXT(DATE($P$3,MONTH(1&amp;$N$3),VALUE(LEFT(Q$5,2))),"yyyy-MM-dd")),0)),""))</f>
        <v/>
      </c>
      <c r="R56" s="39" t="str">
        <f t="array" ref="R56">IF(OR($A53="",R$5=""),"",IFNA(INDEX(DATA_LOG!$D:$D,MATCH(1,(DATA_LOG!$A:$A=$A53)*(TEXT(DATA_LOG!$B:$B,"yyyy-MM-dd")=TEXT(DATE($P$3,MONTH(1&amp;$N$3),VALUE(LEFT(R$5,2))),"yyyy-MM-dd")),0)),""))</f>
        <v/>
      </c>
      <c r="S56" s="39" t="str">
        <f t="array" ref="S56">IF(OR($A53="",S$5=""),"",IFNA(INDEX(DATA_LOG!$D:$D,MATCH(1,(DATA_LOG!$A:$A=$A53)*(TEXT(DATA_LOG!$B:$B,"yyyy-MM-dd")=TEXT(DATE($P$3,MONTH(1&amp;$N$3),VALUE(LEFT(S$5,2))),"yyyy-MM-dd")),0)),""))</f>
        <v/>
      </c>
      <c r="T56" s="39" t="str">
        <f t="array" ref="T56">IF(OR($A53="",T$5=""),"",IFNA(INDEX(DATA_LOG!$D:$D,MATCH(1,(DATA_LOG!$A:$A=$A53)*(TEXT(DATA_LOG!$B:$B,"yyyy-MM-dd")=TEXT(DATE($P$3,MONTH(1&amp;$N$3),VALUE(LEFT(T$5,2))),"yyyy-MM-dd")),0)),""))</f>
        <v/>
      </c>
      <c r="U56" s="39" t="str">
        <f t="array" ref="U56">IF(OR($A53="",U$5=""),"",IFNA(INDEX(DATA_LOG!$D:$D,MATCH(1,(DATA_LOG!$A:$A=$A53)*(TEXT(DATA_LOG!$B:$B,"yyyy-MM-dd")=TEXT(DATE($P$3,MONTH(1&amp;$N$3),VALUE(LEFT(U$5,2))),"yyyy-MM-dd")),0)),""))</f>
        <v/>
      </c>
      <c r="V56" s="39" t="str">
        <f t="array" ref="V56">IF(OR($A53="",V$5=""),"",IFNA(INDEX(DATA_LOG!$D:$D,MATCH(1,(DATA_LOG!$A:$A=$A53)*(TEXT(DATA_LOG!$B:$B,"yyyy-MM-dd")=TEXT(DATE($P$3,MONTH(1&amp;$N$3),VALUE(LEFT(V$5,2))),"yyyy-MM-dd")),0)),""))</f>
        <v/>
      </c>
      <c r="W56" s="39" t="str">
        <f t="array" ref="W56">IF(OR($A53="",W$5=""),"",IFNA(INDEX(DATA_LOG!$D:$D,MATCH(1,(DATA_LOG!$A:$A=$A53)*(TEXT(DATA_LOG!$B:$B,"yyyy-MM-dd")=TEXT(DATE($P$3,MONTH(1&amp;$N$3),VALUE(LEFT(W$5,2))),"yyyy-MM-dd")),0)),""))</f>
        <v/>
      </c>
      <c r="X56" s="39" t="str">
        <f t="array" ref="X56">IF(OR($A53="",X$5=""),"",IFNA(INDEX(DATA_LOG!$D:$D,MATCH(1,(DATA_LOG!$A:$A=$A53)*(TEXT(DATA_LOG!$B:$B,"yyyy-MM-dd")=TEXT(DATE($P$3,MONTH(1&amp;$N$3),VALUE(LEFT(X$5,2))),"yyyy-MM-dd")),0)),""))</f>
        <v/>
      </c>
      <c r="Y56" s="39" t="str">
        <f t="array" ref="Y56">IF(OR($A53="",Y$5=""),"",IFNA(INDEX(DATA_LOG!$D:$D,MATCH(1,(DATA_LOG!$A:$A=$A53)*(TEXT(DATA_LOG!$B:$B,"yyyy-MM-dd")=TEXT(DATE($P$3,MONTH(1&amp;$N$3),VALUE(LEFT(Y$5,2))),"yyyy-MM-dd")),0)),""))</f>
        <v/>
      </c>
      <c r="Z56" s="39" t="str">
        <f t="array" ref="Z56">IF(OR($A53="",Z$5=""),"",IFNA(INDEX(DATA_LOG!$D:$D,MATCH(1,(DATA_LOG!$A:$A=$A53)*(TEXT(DATA_LOG!$B:$B,"yyyy-MM-dd")=TEXT(DATE($P$3,MONTH(1&amp;$N$3),VALUE(LEFT(Z$5,2))),"yyyy-MM-dd")),0)),""))</f>
        <v/>
      </c>
      <c r="AA56" s="39" t="str">
        <f t="array" ref="AA56">IF(OR($A53="",AA$5=""),"",IFNA(INDEX(DATA_LOG!$D:$D,MATCH(1,(DATA_LOG!$A:$A=$A53)*(TEXT(DATA_LOG!$B:$B,"yyyy-MM-dd")=TEXT(DATE($P$3,MONTH(1&amp;$N$3),VALUE(LEFT(AA$5,2))),"yyyy-MM-dd")),0)),""))</f>
        <v/>
      </c>
      <c r="AB56" s="39" t="str">
        <f t="array" ref="AB56">IF(OR($A53="",AB$5=""),"",IFNA(INDEX(DATA_LOG!$D:$D,MATCH(1,(DATA_LOG!$A:$A=$A53)*(TEXT(DATA_LOG!$B:$B,"yyyy-MM-dd")=TEXT(DATE($P$3,MONTH(1&amp;$N$3),VALUE(LEFT(AB$5,2))),"yyyy-MM-dd")),0)),""))</f>
        <v/>
      </c>
      <c r="AC56" s="39" t="str">
        <f t="array" ref="AC56">IF(OR($A53="",AC$5=""),"",IFNA(INDEX(DATA_LOG!$D:$D,MATCH(1,(DATA_LOG!$A:$A=$A53)*(TEXT(DATA_LOG!$B:$B,"yyyy-MM-dd")=TEXT(DATE($P$3,MONTH(1&amp;$N$3),VALUE(LEFT(AC$5,2))),"yyyy-MM-dd")),0)),""))</f>
        <v/>
      </c>
      <c r="AD56" s="39" t="str">
        <f t="array" ref="AD56">IF(OR($A53="",AD$5=""),"",IFNA(INDEX(DATA_LOG!$D:$D,MATCH(1,(DATA_LOG!$A:$A=$A53)*(TEXT(DATA_LOG!$B:$B,"yyyy-MM-dd")=TEXT(DATE($P$3,MONTH(1&amp;$N$3),VALUE(LEFT(AD$5,2))),"yyyy-MM-dd")),0)),""))</f>
        <v/>
      </c>
      <c r="AE56" s="39" t="str">
        <f t="array" ref="AE56">IF(OR($A53="",AE$5=""),"",IFNA(INDEX(DATA_LOG!$D:$D,MATCH(1,(DATA_LOG!$A:$A=$A53)*(TEXT(DATA_LOG!$B:$B,"yyyy-MM-dd")=TEXT(DATE($P$3,MONTH(1&amp;$N$3),VALUE(LEFT(AE$5,2))),"yyyy-MM-dd")),0)),""))</f>
        <v/>
      </c>
      <c r="AF56" s="39" t="str">
        <f t="array" ref="AF56">IF(OR($A53="",AF$5=""),"",IFNA(INDEX(DATA_LOG!$D:$D,MATCH(1,(DATA_LOG!$A:$A=$A53)*(TEXT(DATA_LOG!$B:$B,"yyyy-MM-dd")=TEXT(DATE($P$3,MONTH(1&amp;$N$3),VALUE(LEFT(AF$5,2))),"yyyy-MM-dd")),0)),""))</f>
        <v/>
      </c>
    </row>
    <row r="57">
      <c r="A57" s="40" t="str">
        <f>IF($A53="", "", "TOTAL")</f>
        <v>TOTAL</v>
      </c>
      <c r="B57" s="41" t="str">
        <f t="shared" ref="B57:AF57" si="8">IF(OR(B55="",B56=""),"",B56-B55)</f>
        <v/>
      </c>
      <c r="C57" s="34" t="str">
        <f t="shared" si="8"/>
        <v/>
      </c>
      <c r="D57" s="34" t="str">
        <f t="shared" si="8"/>
        <v/>
      </c>
      <c r="E57" s="34" t="str">
        <f t="shared" si="8"/>
        <v/>
      </c>
      <c r="F57" s="34" t="str">
        <f t="shared" si="8"/>
        <v/>
      </c>
      <c r="G57" s="34" t="str">
        <f t="shared" si="8"/>
        <v/>
      </c>
      <c r="H57" s="34" t="str">
        <f t="shared" si="8"/>
        <v/>
      </c>
      <c r="I57" s="34" t="str">
        <f t="shared" si="8"/>
        <v/>
      </c>
      <c r="J57" s="34" t="str">
        <f t="shared" si="8"/>
        <v/>
      </c>
      <c r="K57" s="34" t="str">
        <f t="shared" si="8"/>
        <v/>
      </c>
      <c r="L57" s="34" t="str">
        <f t="shared" si="8"/>
        <v/>
      </c>
      <c r="M57" s="34" t="str">
        <f t="shared" si="8"/>
        <v/>
      </c>
      <c r="N57" s="34" t="str">
        <f t="shared" si="8"/>
        <v/>
      </c>
      <c r="O57" s="34" t="str">
        <f t="shared" si="8"/>
        <v/>
      </c>
      <c r="P57" s="34" t="str">
        <f t="shared" si="8"/>
        <v/>
      </c>
      <c r="Q57" s="34" t="str">
        <f t="shared" si="8"/>
        <v/>
      </c>
      <c r="R57" s="34" t="str">
        <f t="shared" si="8"/>
        <v/>
      </c>
      <c r="S57" s="34" t="str">
        <f t="shared" si="8"/>
        <v/>
      </c>
      <c r="T57" s="34" t="str">
        <f t="shared" si="8"/>
        <v/>
      </c>
      <c r="U57" s="34" t="str">
        <f t="shared" si="8"/>
        <v/>
      </c>
      <c r="V57" s="34" t="str">
        <f t="shared" si="8"/>
        <v/>
      </c>
      <c r="W57" s="34" t="str">
        <f t="shared" si="8"/>
        <v/>
      </c>
      <c r="X57" s="34" t="str">
        <f t="shared" si="8"/>
        <v/>
      </c>
      <c r="Y57" s="34" t="str">
        <f t="shared" si="8"/>
        <v/>
      </c>
      <c r="Z57" s="34" t="str">
        <f t="shared" si="8"/>
        <v/>
      </c>
      <c r="AA57" s="34" t="str">
        <f t="shared" si="8"/>
        <v/>
      </c>
      <c r="AB57" s="34" t="str">
        <f t="shared" si="8"/>
        <v/>
      </c>
      <c r="AC57" s="34" t="str">
        <f t="shared" si="8"/>
        <v/>
      </c>
      <c r="AD57" s="34" t="str">
        <f t="shared" si="8"/>
        <v/>
      </c>
      <c r="AE57" s="34" t="str">
        <f t="shared" si="8"/>
        <v/>
      </c>
      <c r="AF57" s="34" t="str">
        <f t="shared" si="8"/>
        <v/>
      </c>
    </row>
    <row r="58">
      <c r="A58" s="42" t="str">
        <f>IF($A53="", "", "STATUS")</f>
        <v>STATUS</v>
      </c>
      <c r="B58" s="43" t="str">
        <f>IFERROR(__xludf.DUMMYFUNCTION("IF($A53="""","""",IF(B$54="""","""",LET(logStatus,IFNA(INDEX(DATA_LOG!$E:$E,MATCH(1,(DATA_LOG!$A:$A=$A53)*(TEXT(DATA_LOG!$B:$B,""yyyy-MM-dd"")=TEXT(DATE($P$3,MONTH(1&amp;$N$3),VALUE(LEFT(B$54,2))),""yyyy-MM-dd"")),0)),""""),selectedDate,DATE($P$3,MONTH(1&amp;$N$3"&amp;"),VALUE(LEFT(B$54,2))),IF(logStatus&lt;&gt;"""",UPPER(logStatus),IF(selectedDate&gt;TODAY(),""-"",IF(REGEXMATCH(B$54,""SUN""),""WO"",IF(B$57&lt;&gt;"""",IF(VALUE(B$57)&gt;=9/24,""FD"",""HD""),""A"")))))))"),"A")</f>
        <v>A</v>
      </c>
      <c r="C58" s="43" t="str">
        <f>IFERROR(__xludf.DUMMYFUNCTION("IF($A53="""","""",IF(C$54="""","""",LET(logStatus,IFNA(INDEX(DATA_LOG!$E:$E,MATCH(1,(DATA_LOG!$A:$A=$A53)*(TEXT(DATA_LOG!$B:$B,""yyyy-MM-dd"")=TEXT(DATE($P$3,MONTH(1&amp;$N$3),VALUE(LEFT(C$54,2))),""yyyy-MM-dd"")),0)),""""),selectedDate,DATE($P$3,MONTH(1&amp;$N$3"&amp;"),VALUE(LEFT(C$54,2))),IF(logStatus&lt;&gt;"""",UPPER(logStatus),IF(selectedDate&gt;TODAY(),""-"",IF(REGEXMATCH(C$54,""SUN""),""WO"",IF(C$57&lt;&gt;"""",IF(VALUE(C$57)&gt;=9/24,""FD"",""HD""),""A"")))))))"),"A")</f>
        <v>A</v>
      </c>
      <c r="D58" s="43" t="str">
        <f>IFERROR(__xludf.DUMMYFUNCTION("IF($A53="""","""",IF(D$54="""","""",LET(logStatus,IFNA(INDEX(DATA_LOG!$E:$E,MATCH(1,(DATA_LOG!$A:$A=$A53)*(TEXT(DATA_LOG!$B:$B,""yyyy-MM-dd"")=TEXT(DATE($P$3,MONTH(1&amp;$N$3),VALUE(LEFT(D$54,2))),""yyyy-MM-dd"")),0)),""""),selectedDate,DATE($P$3,MONTH(1&amp;$N$3"&amp;"),VALUE(LEFT(D$54,2))),IF(logStatus&lt;&gt;"""",UPPER(logStatus),IF(selectedDate&gt;TODAY(),""-"",IF(REGEXMATCH(D$54,""SUN""),""WO"",IF(D$57&lt;&gt;"""",IF(VALUE(D$57)&gt;=9/24,""FD"",""HD""),""A"")))))))"),"A")</f>
        <v>A</v>
      </c>
      <c r="E58" s="43" t="str">
        <f>IFERROR(__xludf.DUMMYFUNCTION("IF($A53="""","""",IF(E$54="""","""",LET(logStatus,IFNA(INDEX(DATA_LOG!$E:$E,MATCH(1,(DATA_LOG!$A:$A=$A53)*(TEXT(DATA_LOG!$B:$B,""yyyy-MM-dd"")=TEXT(DATE($P$3,MONTH(1&amp;$N$3),VALUE(LEFT(E$54,2))),""yyyy-MM-dd"")),0)),""""),selectedDate,DATE($P$3,MONTH(1&amp;$N$3"&amp;"),VALUE(LEFT(E$54,2))),IF(logStatus&lt;&gt;"""",UPPER(logStatus),IF(selectedDate&gt;TODAY(),""-"",IF(REGEXMATCH(E$54,""SUN""),""WO"",IF(E$57&lt;&gt;"""",IF(VALUE(E$57)&gt;=9/24,""FD"",""HD""),""A"")))))))"),"A")</f>
        <v>A</v>
      </c>
      <c r="F58" s="43" t="str">
        <f>IFERROR(__xludf.DUMMYFUNCTION("IF($A53="""","""",IF(F$54="""","""",LET(logStatus,IFNA(INDEX(DATA_LOG!$E:$E,MATCH(1,(DATA_LOG!$A:$A=$A53)*(TEXT(DATA_LOG!$B:$B,""yyyy-MM-dd"")=TEXT(DATE($P$3,MONTH(1&amp;$N$3),VALUE(LEFT(F$54,2))),""yyyy-MM-dd"")),0)),""""),selectedDate,DATE($P$3,MONTH(1&amp;$N$3"&amp;"),VALUE(LEFT(F$54,2))),IF(logStatus&lt;&gt;"""",UPPER(logStatus),IF(selectedDate&gt;TODAY(),""-"",IF(REGEXMATCH(F$54,""SUN""),""WO"",IF(F$57&lt;&gt;"""",IF(VALUE(F$57)&gt;=9/24,""FD"",""HD""),""A"")))))))"),"A")</f>
        <v>A</v>
      </c>
      <c r="G58" s="43" t="str">
        <f>IFERROR(__xludf.DUMMYFUNCTION("IF($A53="""","""",IF(G$54="""","""",LET(logStatus,IFNA(INDEX(DATA_LOG!$E:$E,MATCH(1,(DATA_LOG!$A:$A=$A53)*(TEXT(DATA_LOG!$B:$B,""yyyy-MM-dd"")=TEXT(DATE($P$3,MONTH(1&amp;$N$3),VALUE(LEFT(G$54,2))),""yyyy-MM-dd"")),0)),""""),selectedDate,DATE($P$3,MONTH(1&amp;$N$3"&amp;"),VALUE(LEFT(G$54,2))),IF(logStatus&lt;&gt;"""",UPPER(logStatus),IF(selectedDate&gt;TODAY(),""-"",IF(REGEXMATCH(G$54,""SUN""),""WO"",IF(G$57&lt;&gt;"""",IF(VALUE(G$57)&gt;=9/24,""FD"",""HD""),""A"")))))))"),"WO")</f>
        <v>WO</v>
      </c>
      <c r="H58" s="43" t="str">
        <f>IFERROR(__xludf.DUMMYFUNCTION("IF($A53="""","""",IF(H$54="""","""",LET(logStatus,IFNA(INDEX(DATA_LOG!$E:$E,MATCH(1,(DATA_LOG!$A:$A=$A53)*(TEXT(DATA_LOG!$B:$B,""yyyy-MM-dd"")=TEXT(DATE($P$3,MONTH(1&amp;$N$3),VALUE(LEFT(H$54,2))),""yyyy-MM-dd"")),0)),""""),selectedDate,DATE($P$3,MONTH(1&amp;$N$3"&amp;"),VALUE(LEFT(H$54,2))),IF(logStatus&lt;&gt;"""",UPPER(logStatus),IF(selectedDate&gt;TODAY(),""-"",IF(REGEXMATCH(H$54,""SUN""),""WO"",IF(H$57&lt;&gt;"""",IF(VALUE(H$57)&gt;=9/24,""FD"",""HD""),""A"")))))))"),"A")</f>
        <v>A</v>
      </c>
      <c r="I58" s="43" t="str">
        <f>IFERROR(__xludf.DUMMYFUNCTION("IF($A53="""","""",IF(I$54="""","""",LET(logStatus,IFNA(INDEX(DATA_LOG!$E:$E,MATCH(1,(DATA_LOG!$A:$A=$A53)*(TEXT(DATA_LOG!$B:$B,""yyyy-MM-dd"")=TEXT(DATE($P$3,MONTH(1&amp;$N$3),VALUE(LEFT(I$54,2))),""yyyy-MM-dd"")),0)),""""),selectedDate,DATE($P$3,MONTH(1&amp;$N$3"&amp;"),VALUE(LEFT(I$54,2))),IF(logStatus&lt;&gt;"""",UPPER(logStatus),IF(selectedDate&gt;TODAY(),""-"",IF(REGEXMATCH(I$54,""SUN""),""WO"",IF(I$57&lt;&gt;"""",IF(VALUE(I$57)&gt;=9/24,""FD"",""HD""),""A"")))))))"),"A")</f>
        <v>A</v>
      </c>
      <c r="J58" s="43" t="str">
        <f>IFERROR(__xludf.DUMMYFUNCTION("IF($A53="""","""",IF(J$54="""","""",LET(logStatus,IFNA(INDEX(DATA_LOG!$E:$E,MATCH(1,(DATA_LOG!$A:$A=$A53)*(TEXT(DATA_LOG!$B:$B,""yyyy-MM-dd"")=TEXT(DATE($P$3,MONTH(1&amp;$N$3),VALUE(LEFT(J$54,2))),""yyyy-MM-dd"")),0)),""""),selectedDate,DATE($P$3,MONTH(1&amp;$N$3"&amp;"),VALUE(LEFT(J$54,2))),IF(logStatus&lt;&gt;"""",UPPER(logStatus),IF(selectedDate&gt;TODAY(),""-"",IF(REGEXMATCH(J$54,""SUN""),""WO"",IF(J$57&lt;&gt;"""",IF(VALUE(J$57)&gt;=9/24,""FD"",""HD""),""A"")))))))"),"A")</f>
        <v>A</v>
      </c>
      <c r="K58" s="43" t="str">
        <f>IFERROR(__xludf.DUMMYFUNCTION("IF($A53="""","""",IF(K$54="""","""",LET(logStatus,IFNA(INDEX(DATA_LOG!$E:$E,MATCH(1,(DATA_LOG!$A:$A=$A53)*(TEXT(DATA_LOG!$B:$B,""yyyy-MM-dd"")=TEXT(DATE($P$3,MONTH(1&amp;$N$3),VALUE(LEFT(K$54,2))),""yyyy-MM-dd"")),0)),""""),selectedDate,DATE($P$3,MONTH(1&amp;$N$3"&amp;"),VALUE(LEFT(K$54,2))),IF(logStatus&lt;&gt;"""",UPPER(logStatus),IF(selectedDate&gt;TODAY(),""-"",IF(REGEXMATCH(K$54,""SUN""),""WO"",IF(K$57&lt;&gt;"""",IF(VALUE(K$57)&gt;=9/24,""FD"",""HD""),""A"")))))))"),"A")</f>
        <v>A</v>
      </c>
      <c r="L58" s="43" t="str">
        <f>IFERROR(__xludf.DUMMYFUNCTION("IF($A53="""","""",IF(L$54="""","""",LET(logStatus,IFNA(INDEX(DATA_LOG!$E:$E,MATCH(1,(DATA_LOG!$A:$A=$A53)*(TEXT(DATA_LOG!$B:$B,""yyyy-MM-dd"")=TEXT(DATE($P$3,MONTH(1&amp;$N$3),VALUE(LEFT(L$54,2))),""yyyy-MM-dd"")),0)),""""),selectedDate,DATE($P$3,MONTH(1&amp;$N$3"&amp;"),VALUE(LEFT(L$54,2))),IF(logStatus&lt;&gt;"""",UPPER(logStatus),IF(selectedDate&gt;TODAY(),""-"",IF(REGEXMATCH(L$54,""SUN""),""WO"",IF(L$57&lt;&gt;"""",IF(VALUE(L$57)&gt;=9/24,""FD"",""HD""),""A"")))))))"),"A")</f>
        <v>A</v>
      </c>
      <c r="M58" s="43" t="str">
        <f>IFERROR(__xludf.DUMMYFUNCTION("IF($A53="""","""",IF(M$54="""","""",LET(logStatus,IFNA(INDEX(DATA_LOG!$E:$E,MATCH(1,(DATA_LOG!$A:$A=$A53)*(TEXT(DATA_LOG!$B:$B,""yyyy-MM-dd"")=TEXT(DATE($P$3,MONTH(1&amp;$N$3),VALUE(LEFT(M$54,2))),""yyyy-MM-dd"")),0)),""""),selectedDate,DATE($P$3,MONTH(1&amp;$N$3"&amp;"),VALUE(LEFT(M$54,2))),IF(logStatus&lt;&gt;"""",UPPER(logStatus),IF(selectedDate&gt;TODAY(),""-"",IF(REGEXMATCH(M$54,""SUN""),""WO"",IF(M$57&lt;&gt;"""",IF(VALUE(M$57)&gt;=9/24,""FD"",""HD""),""A"")))))))"),"-")</f>
        <v>-</v>
      </c>
      <c r="N58" s="43" t="str">
        <f>IFERROR(__xludf.DUMMYFUNCTION("IF($A53="""","""",IF(N$54="""","""",LET(logStatus,IFNA(INDEX(DATA_LOG!$E:$E,MATCH(1,(DATA_LOG!$A:$A=$A53)*(TEXT(DATA_LOG!$B:$B,""yyyy-MM-dd"")=TEXT(DATE($P$3,MONTH(1&amp;$N$3),VALUE(LEFT(N$54,2))),""yyyy-MM-dd"")),0)),""""),selectedDate,DATE($P$3,MONTH(1&amp;$N$3"&amp;"),VALUE(LEFT(N$54,2))),IF(logStatus&lt;&gt;"""",UPPER(logStatus),IF(selectedDate&gt;TODAY(),""-"",IF(REGEXMATCH(N$54,""SUN""),""WO"",IF(N$57&lt;&gt;"""",IF(VALUE(N$57)&gt;=9/24,""FD"",""HD""),""A"")))))))"),"-")</f>
        <v>-</v>
      </c>
      <c r="O58" s="43" t="str">
        <f>IFERROR(__xludf.DUMMYFUNCTION("IF($A53="""","""",IF(O$54="""","""",LET(logStatus,IFNA(INDEX(DATA_LOG!$E:$E,MATCH(1,(DATA_LOG!$A:$A=$A53)*(TEXT(DATA_LOG!$B:$B,""yyyy-MM-dd"")=TEXT(DATE($P$3,MONTH(1&amp;$N$3),VALUE(LEFT(O$54,2))),""yyyy-MM-dd"")),0)),""""),selectedDate,DATE($P$3,MONTH(1&amp;$N$3"&amp;"),VALUE(LEFT(O$54,2))),IF(logStatus&lt;&gt;"""",UPPER(logStatus),IF(selectedDate&gt;TODAY(),""-"",IF(REGEXMATCH(O$54,""SUN""),""WO"",IF(O$57&lt;&gt;"""",IF(VALUE(O$57)&gt;=9/24,""FD"",""HD""),""A"")))))))"),"-")</f>
        <v>-</v>
      </c>
      <c r="P58" s="43" t="str">
        <f>IFERROR(__xludf.DUMMYFUNCTION("IF($A53="""","""",IF(P$54="""","""",LET(logStatus,IFNA(INDEX(DATA_LOG!$E:$E,MATCH(1,(DATA_LOG!$A:$A=$A53)*(TEXT(DATA_LOG!$B:$B,""yyyy-MM-dd"")=TEXT(DATE($P$3,MONTH(1&amp;$N$3),VALUE(LEFT(P$54,2))),""yyyy-MM-dd"")),0)),""""),selectedDate,DATE($P$3,MONTH(1&amp;$N$3"&amp;"),VALUE(LEFT(P$54,2))),IF(logStatus&lt;&gt;"""",UPPER(logStatus),IF(selectedDate&gt;TODAY(),""-"",IF(REGEXMATCH(P$54,""SUN""),""WO"",IF(P$57&lt;&gt;"""",IF(VALUE(P$57)&gt;=9/24,""FD"",""HD""),""A"")))))))"),"-")</f>
        <v>-</v>
      </c>
      <c r="Q58" s="43" t="str">
        <f>IFERROR(__xludf.DUMMYFUNCTION("IF($A53="""","""",IF(Q$54="""","""",LET(logStatus,IFNA(INDEX(DATA_LOG!$E:$E,MATCH(1,(DATA_LOG!$A:$A=$A53)*(TEXT(DATA_LOG!$B:$B,""yyyy-MM-dd"")=TEXT(DATE($P$3,MONTH(1&amp;$N$3),VALUE(LEFT(Q$54,2))),""yyyy-MM-dd"")),0)),""""),selectedDate,DATE($P$3,MONTH(1&amp;$N$3"&amp;"),VALUE(LEFT(Q$54,2))),IF(logStatus&lt;&gt;"""",UPPER(logStatus),IF(selectedDate&gt;TODAY(),""-"",IF(REGEXMATCH(Q$54,""SUN""),""WO"",IF(Q$57&lt;&gt;"""",IF(VALUE(Q$57)&gt;=9/24,""FD"",""HD""),""A"")))))))"),"-")</f>
        <v>-</v>
      </c>
      <c r="R58" s="43" t="str">
        <f>IFERROR(__xludf.DUMMYFUNCTION("IF($A53="""","""",IF(R$54="""","""",LET(logStatus,IFNA(INDEX(DATA_LOG!$E:$E,MATCH(1,(DATA_LOG!$A:$A=$A53)*(TEXT(DATA_LOG!$B:$B,""yyyy-MM-dd"")=TEXT(DATE($P$3,MONTH(1&amp;$N$3),VALUE(LEFT(R$54,2))),""yyyy-MM-dd"")),0)),""""),selectedDate,DATE($P$3,MONTH(1&amp;$N$3"&amp;"),VALUE(LEFT(R$54,2))),IF(logStatus&lt;&gt;"""",UPPER(logStatus),IF(selectedDate&gt;TODAY(),""-"",IF(REGEXMATCH(R$54,""SUN""),""WO"",IF(R$57&lt;&gt;"""",IF(VALUE(R$57)&gt;=9/24,""FD"",""HD""),""A"")))))))"),"-")</f>
        <v>-</v>
      </c>
      <c r="S58" s="43" t="str">
        <f>IFERROR(__xludf.DUMMYFUNCTION("IF($A53="""","""",IF(S$54="""","""",LET(logStatus,IFNA(INDEX(DATA_LOG!$E:$E,MATCH(1,(DATA_LOG!$A:$A=$A53)*(TEXT(DATA_LOG!$B:$B,""yyyy-MM-dd"")=TEXT(DATE($P$3,MONTH(1&amp;$N$3),VALUE(LEFT(S$54,2))),""yyyy-MM-dd"")),0)),""""),selectedDate,DATE($P$3,MONTH(1&amp;$N$3"&amp;"),VALUE(LEFT(S$54,2))),IF(logStatus&lt;&gt;"""",UPPER(logStatus),IF(selectedDate&gt;TODAY(),""-"",IF(REGEXMATCH(S$54,""SUN""),""WO"",IF(S$57&lt;&gt;"""",IF(VALUE(S$57)&gt;=9/24,""FD"",""HD""),""A"")))))))"),"-")</f>
        <v>-</v>
      </c>
      <c r="T58" s="43" t="str">
        <f>IFERROR(__xludf.DUMMYFUNCTION("IF($A53="""","""",IF(T$54="""","""",LET(logStatus,IFNA(INDEX(DATA_LOG!$E:$E,MATCH(1,(DATA_LOG!$A:$A=$A53)*(TEXT(DATA_LOG!$B:$B,""yyyy-MM-dd"")=TEXT(DATE($P$3,MONTH(1&amp;$N$3),VALUE(LEFT(T$54,2))),""yyyy-MM-dd"")),0)),""""),selectedDate,DATE($P$3,MONTH(1&amp;$N$3"&amp;"),VALUE(LEFT(T$54,2))),IF(logStatus&lt;&gt;"""",UPPER(logStatus),IF(selectedDate&gt;TODAY(),""-"",IF(REGEXMATCH(T$54,""SUN""),""WO"",IF(T$57&lt;&gt;"""",IF(VALUE(T$57)&gt;=9/24,""FD"",""HD""),""A"")))))))"),"-")</f>
        <v>-</v>
      </c>
      <c r="U58" s="43" t="str">
        <f>IFERROR(__xludf.DUMMYFUNCTION("IF($A53="""","""",IF(U$54="""","""",LET(logStatus,IFNA(INDEX(DATA_LOG!$E:$E,MATCH(1,(DATA_LOG!$A:$A=$A53)*(TEXT(DATA_LOG!$B:$B,""yyyy-MM-dd"")=TEXT(DATE($P$3,MONTH(1&amp;$N$3),VALUE(LEFT(U$54,2))),""yyyy-MM-dd"")),0)),""""),selectedDate,DATE($P$3,MONTH(1&amp;$N$3"&amp;"),VALUE(LEFT(U$54,2))),IF(logStatus&lt;&gt;"""",UPPER(logStatus),IF(selectedDate&gt;TODAY(),""-"",IF(REGEXMATCH(U$54,""SUN""),""WO"",IF(U$57&lt;&gt;"""",IF(VALUE(U$57)&gt;=9/24,""FD"",""HD""),""A"")))))))"),"-")</f>
        <v>-</v>
      </c>
      <c r="V58" s="43" t="str">
        <f>IFERROR(__xludf.DUMMYFUNCTION("IF($A53="""","""",IF(V$54="""","""",LET(logStatus,IFNA(INDEX(DATA_LOG!$E:$E,MATCH(1,(DATA_LOG!$A:$A=$A53)*(TEXT(DATA_LOG!$B:$B,""yyyy-MM-dd"")=TEXT(DATE($P$3,MONTH(1&amp;$N$3),VALUE(LEFT(V$54,2))),""yyyy-MM-dd"")),0)),""""),selectedDate,DATE($P$3,MONTH(1&amp;$N$3"&amp;"),VALUE(LEFT(V$54,2))),IF(logStatus&lt;&gt;"""",UPPER(logStatus),IF(selectedDate&gt;TODAY(),""-"",IF(REGEXMATCH(V$54,""SUN""),""WO"",IF(V$57&lt;&gt;"""",IF(VALUE(V$57)&gt;=9/24,""FD"",""HD""),""A"")))))))"),"-")</f>
        <v>-</v>
      </c>
      <c r="W58" s="43" t="str">
        <f>IFERROR(__xludf.DUMMYFUNCTION("IF($A53="""","""",IF(W$54="""","""",LET(logStatus,IFNA(INDEX(DATA_LOG!$E:$E,MATCH(1,(DATA_LOG!$A:$A=$A53)*(TEXT(DATA_LOG!$B:$B,""yyyy-MM-dd"")=TEXT(DATE($P$3,MONTH(1&amp;$N$3),VALUE(LEFT(W$54,2))),""yyyy-MM-dd"")),0)),""""),selectedDate,DATE($P$3,MONTH(1&amp;$N$3"&amp;"),VALUE(LEFT(W$54,2))),IF(logStatus&lt;&gt;"""",UPPER(logStatus),IF(selectedDate&gt;TODAY(),""-"",IF(REGEXMATCH(W$54,""SUN""),""WO"",IF(W$57&lt;&gt;"""",IF(VALUE(W$57)&gt;=9/24,""FD"",""HD""),""A"")))))))"),"-")</f>
        <v>-</v>
      </c>
      <c r="X58" s="43" t="str">
        <f>IFERROR(__xludf.DUMMYFUNCTION("IF($A53="""","""",IF(X$54="""","""",LET(logStatus,IFNA(INDEX(DATA_LOG!$E:$E,MATCH(1,(DATA_LOG!$A:$A=$A53)*(TEXT(DATA_LOG!$B:$B,""yyyy-MM-dd"")=TEXT(DATE($P$3,MONTH(1&amp;$N$3),VALUE(LEFT(X$54,2))),""yyyy-MM-dd"")),0)),""""),selectedDate,DATE($P$3,MONTH(1&amp;$N$3"&amp;"),VALUE(LEFT(X$54,2))),IF(logStatus&lt;&gt;"""",UPPER(logStatus),IF(selectedDate&gt;TODAY(),""-"",IF(REGEXMATCH(X$54,""SUN""),""WO"",IF(X$57&lt;&gt;"""",IF(VALUE(X$57)&gt;=9/24,""FD"",""HD""),""A"")))))))"),"-")</f>
        <v>-</v>
      </c>
      <c r="Y58" s="43" t="str">
        <f>IFERROR(__xludf.DUMMYFUNCTION("IF($A53="""","""",IF(Y$54="""","""",LET(logStatus,IFNA(INDEX(DATA_LOG!$E:$E,MATCH(1,(DATA_LOG!$A:$A=$A53)*(TEXT(DATA_LOG!$B:$B,""yyyy-MM-dd"")=TEXT(DATE($P$3,MONTH(1&amp;$N$3),VALUE(LEFT(Y$54,2))),""yyyy-MM-dd"")),0)),""""),selectedDate,DATE($P$3,MONTH(1&amp;$N$3"&amp;"),VALUE(LEFT(Y$54,2))),IF(logStatus&lt;&gt;"""",UPPER(logStatus),IF(selectedDate&gt;TODAY(),""-"",IF(REGEXMATCH(Y$54,""SUN""),""WO"",IF(Y$57&lt;&gt;"""",IF(VALUE(Y$57)&gt;=9/24,""FD"",""HD""),""A"")))))))"),"-")</f>
        <v>-</v>
      </c>
      <c r="Z58" s="43" t="str">
        <f>IFERROR(__xludf.DUMMYFUNCTION("IF($A53="""","""",IF(Z$54="""","""",LET(logStatus,IFNA(INDEX(DATA_LOG!$E:$E,MATCH(1,(DATA_LOG!$A:$A=$A53)*(TEXT(DATA_LOG!$B:$B,""yyyy-MM-dd"")=TEXT(DATE($P$3,MONTH(1&amp;$N$3),VALUE(LEFT(Z$54,2))),""yyyy-MM-dd"")),0)),""""),selectedDate,DATE($P$3,MONTH(1&amp;$N$3"&amp;"),VALUE(LEFT(Z$54,2))),IF(logStatus&lt;&gt;"""",UPPER(logStatus),IF(selectedDate&gt;TODAY(),""-"",IF(REGEXMATCH(Z$54,""SUN""),""WO"",IF(Z$57&lt;&gt;"""",IF(VALUE(Z$57)&gt;=9/24,""FD"",""HD""),""A"")))))))"),"-")</f>
        <v>-</v>
      </c>
      <c r="AA58" s="43" t="str">
        <f>IFERROR(__xludf.DUMMYFUNCTION("IF($A53="""","""",IF(AA$54="""","""",LET(logStatus,IFNA(INDEX(DATA_LOG!$E:$E,MATCH(1,(DATA_LOG!$A:$A=$A53)*(TEXT(DATA_LOG!$B:$B,""yyyy-MM-dd"")=TEXT(DATE($P$3,MONTH(1&amp;$N$3),VALUE(LEFT(AA$54,2))),""yyyy-MM-dd"")),0)),""""),selectedDate,DATE($P$3,MONTH(1&amp;$N"&amp;"$3),VALUE(LEFT(AA$54,2))),IF(logStatus&lt;&gt;"""",UPPER(logStatus),IF(selectedDate&gt;TODAY(),""-"",IF(REGEXMATCH(AA$54,""SUN""),""WO"",IF(AA$57&lt;&gt;"""",IF(VALUE(AA$57)&gt;=9/24,""FD"",""HD""),""A"")))))))"),"-")</f>
        <v>-</v>
      </c>
      <c r="AB58" s="43" t="str">
        <f>IFERROR(__xludf.DUMMYFUNCTION("IF($A53="""","""",IF(AB$54="""","""",LET(logStatus,IFNA(INDEX(DATA_LOG!$E:$E,MATCH(1,(DATA_LOG!$A:$A=$A53)*(TEXT(DATA_LOG!$B:$B,""yyyy-MM-dd"")=TEXT(DATE($P$3,MONTH(1&amp;$N$3),VALUE(LEFT(AB$54,2))),""yyyy-MM-dd"")),0)),""""),selectedDate,DATE($P$3,MONTH(1&amp;$N"&amp;"$3),VALUE(LEFT(AB$54,2))),IF(logStatus&lt;&gt;"""",UPPER(logStatus),IF(selectedDate&gt;TODAY(),""-"",IF(REGEXMATCH(AB$54,""SUN""),""WO"",IF(AB$57&lt;&gt;"""",IF(VALUE(AB$57)&gt;=9/24,""FD"",""HD""),""A"")))))))"),"-")</f>
        <v>-</v>
      </c>
      <c r="AC58" s="43" t="str">
        <f>IFERROR(__xludf.DUMMYFUNCTION("IF($A53="""","""",IF(AC$54="""","""",LET(logStatus,IFNA(INDEX(DATA_LOG!$E:$E,MATCH(1,(DATA_LOG!$A:$A=$A53)*(TEXT(DATA_LOG!$B:$B,""yyyy-MM-dd"")=TEXT(DATE($P$3,MONTH(1&amp;$N$3),VALUE(LEFT(AC$54,2))),""yyyy-MM-dd"")),0)),""""),selectedDate,DATE($P$3,MONTH(1&amp;$N"&amp;"$3),VALUE(LEFT(AC$54,2))),IF(logStatus&lt;&gt;"""",UPPER(logStatus),IF(selectedDate&gt;TODAY(),""-"",IF(REGEXMATCH(AC$54,""SUN""),""WO"",IF(AC$57&lt;&gt;"""",IF(VALUE(AC$57)&gt;=9/24,""FD"",""HD""),""A"")))))))"),"-")</f>
        <v>-</v>
      </c>
      <c r="AD58" s="43" t="str">
        <f>IF($A53="","",IF(B$54="","",LET(logStatus,IFNA(INDEX(DATA_LOG!$E:$E,MATCH(1,(DATA_LOG!$A:$A=$A53)*(TEXT(DATA_LOG!$B:$B,"yyyy-MM-dd")=TEXT(DATE($P$3,MONTH(1&amp;$N$3),VALUE(LEFT(B$54,2))),"yyyy-MM-dd")),0)),""),selectedDate,DATE($P$3,MONTH(1&amp;$N$3),VALUE(LEFT(B$54,2))),IF(logStatus&lt;&gt;"",UPPER(logStatus),IF(selectedDate&gt;TODAY(),"-",IF(REGEXMATCH(B$54,"SUN"),"WO",IF(B$57&lt;&gt;"",IF(VALUE(B$57)&gt;=9/24,"FD","HD"),"A"))))))</f>
        <v>#ERROR!</v>
      </c>
      <c r="AE58" s="43" t="str">
        <f>IF($A53="","",IF(B$54="","",LET(logStatus,IFNA(INDEX(DATA_LOG!$E:$E,MATCH(1,(DATA_LOG!$A:$A=$A53)*(TEXT(DATA_LOG!$B:$B,"yyyy-MM-dd")=TEXT(DATE($P$3,MONTH(1&amp;$N$3),VALUE(LEFT(B$54,2))),"yyyy-MM-dd")),0)),""),selectedDate,DATE($P$3,MONTH(1&amp;$N$3),VALUE(LEFT(B$54,2))),IF(logStatus&lt;&gt;"",UPPER(logStatus),IF(selectedDate&gt;TODAY(),"-",IF(REGEXMATCH(B$54,"SUN"),"WO",IF(B$57&lt;&gt;"",IF(VALUE(B$57)&gt;=9/24,"FD","HD"),"A"))))))</f>
        <v>#ERROR!</v>
      </c>
      <c r="AF58" s="43" t="str">
        <f>IF($A53="","",IF(B$54="","",LET(logStatus,IFNA(INDEX(DATA_LOG!$E:$E,MATCH(1,(DATA_LOG!$A:$A=$A53)*(TEXT(DATA_LOG!$B:$B,"yyyy-MM-dd")=TEXT(DATE($P$3,MONTH(1&amp;$N$3),VALUE(LEFT(B$54,2))),"yyyy-MM-dd")),0)),""),selectedDate,DATE($P$3,MONTH(1&amp;$N$3),VALUE(LEFT(B$54,2))),IF(logStatus&lt;&gt;"",UPPER(logStatus),IF(selectedDate&gt;TODAY(),"-",IF(REGEXMATCH(B$54,"SUN"),"WO",IF(B$57&lt;&gt;"",IF(VALUE(B$57)&gt;=9/24,"FD","HD"),"A"))))))</f>
        <v>#ERROR!</v>
      </c>
    </row>
    <row r="59">
      <c r="A59" s="44"/>
    </row>
    <row r="60">
      <c r="A60" s="25" t="str">
        <f t="array" ref="A60">INDEX(EMPLOYEE_LIST!$A:$A,INT((ROW()-4)/7)+2)</f>
        <v>RANVIR KUMAR</v>
      </c>
      <c r="B60" s="26"/>
      <c r="C60" s="27"/>
      <c r="D60" s="28" t="str">
        <f>IF(A60="", "", IFERROR(VLOOKUP(A60, EMPLOYEE_LIST!$A:$H, 2, FALSE), ""))</f>
        <v>AYV31</v>
      </c>
      <c r="E60" s="26"/>
      <c r="F60" s="26"/>
      <c r="G60" s="27"/>
      <c r="H60" s="29" t="str">
        <f>IF(A60="", "", IFERROR(VLOOKUP(A60, EMPLOYEE_LIST!$A:$H, 3, FALSE), ""))</f>
        <v>ENGINEERING</v>
      </c>
      <c r="I60" s="26"/>
      <c r="J60" s="26"/>
      <c r="K60" s="27"/>
      <c r="L60" s="29" t="str">
        <f>IF(A60="", "", IFERROR(VLOOKUP(A60, EMPLOYEE_LIST!$A:$H, 4, FALSE), ""))</f>
        <v>SITE ENGINEER</v>
      </c>
      <c r="M60" s="26"/>
      <c r="N60" s="26"/>
      <c r="O60" s="27"/>
      <c r="P60" s="30" t="str">
        <f>IF($A60="", "", "Full Day: " &amp; COUNTIF(B65:AF65, "FD"))</f>
        <v>Full Day: 0</v>
      </c>
      <c r="Q60" s="26"/>
      <c r="R60" s="27"/>
      <c r="S60" s="31" t="str">
        <f>IF($A60="", "", "HALF Day: " &amp; COUNTIF(B65:AF65, "HD"))</f>
        <v>HALF Day: 0</v>
      </c>
      <c r="T60" s="26"/>
      <c r="U60" s="27"/>
      <c r="V60" s="31" t="str">
        <f>IF($A60="", "", "ABSENT: " &amp; COUNTIF(B65:AF65, "A"))</f>
        <v>ABSENT: 10</v>
      </c>
      <c r="W60" s="26"/>
      <c r="X60" s="27"/>
      <c r="Y60" s="31" t="str">
        <f>IF($A60="", "", "WEEK OFF: " &amp; COUNTIF(B65:AF65, "WO"))</f>
        <v>WEEK OFF: 1</v>
      </c>
      <c r="Z60" s="26"/>
      <c r="AA60" s="27"/>
      <c r="AB60" s="31" t="str">
        <f>IF($A60="", "", "LEAVE: " &amp; COUNTIF(B65:AF65, "L"))</f>
        <v>LEAVE: 0</v>
      </c>
      <c r="AC60" s="27"/>
      <c r="AD60" s="31" t="str">
        <f>IF($A60="", "", "HOLIDAY: " &amp; COUNTIF(B65:AF65, "HL"))</f>
        <v>HOLIDAY: 0</v>
      </c>
      <c r="AE60" s="26"/>
      <c r="AF60" s="27"/>
    </row>
    <row r="61">
      <c r="A61" s="32" t="str">
        <f>IF($A60="", "", "DATE")</f>
        <v>DATE</v>
      </c>
      <c r="B61" s="33" t="str">
        <f t="array" ref="B61:AE61">IF($A60="","",LET(mNum,MONTH(1&amp;$N$3),start,DATE($P$3,mNum,1),days,DAY(EOMONTH(start,0)),MAP(SEQUENCE(1,days,0),LAMBDA(n,UPPER(TEXT(start+n,"dd (ddd)"))))))</f>
        <v>01 (TUE)</v>
      </c>
      <c r="C61" s="34" t="s">
        <v>89</v>
      </c>
      <c r="D61" s="34" t="s">
        <v>90</v>
      </c>
      <c r="E61" s="34" t="s">
        <v>91</v>
      </c>
      <c r="F61" s="34" t="s">
        <v>92</v>
      </c>
      <c r="G61" s="34" t="s">
        <v>93</v>
      </c>
      <c r="H61" s="34" t="s">
        <v>94</v>
      </c>
      <c r="I61" s="34" t="s">
        <v>95</v>
      </c>
      <c r="J61" s="34" t="s">
        <v>96</v>
      </c>
      <c r="K61" s="34" t="s">
        <v>97</v>
      </c>
      <c r="L61" s="34" t="s">
        <v>98</v>
      </c>
      <c r="M61" s="34" t="s">
        <v>99</v>
      </c>
      <c r="N61" s="34" t="s">
        <v>100</v>
      </c>
      <c r="O61" s="34" t="s">
        <v>101</v>
      </c>
      <c r="P61" s="34" t="s">
        <v>102</v>
      </c>
      <c r="Q61" s="34" t="s">
        <v>103</v>
      </c>
      <c r="R61" s="34" t="s">
        <v>104</v>
      </c>
      <c r="S61" s="34" t="s">
        <v>105</v>
      </c>
      <c r="T61" s="34" t="s">
        <v>106</v>
      </c>
      <c r="U61" s="34" t="s">
        <v>107</v>
      </c>
      <c r="V61" s="34" t="s">
        <v>108</v>
      </c>
      <c r="W61" s="34" t="s">
        <v>109</v>
      </c>
      <c r="X61" s="34" t="s">
        <v>110</v>
      </c>
      <c r="Y61" s="34" t="s">
        <v>111</v>
      </c>
      <c r="Z61" s="34" t="s">
        <v>112</v>
      </c>
      <c r="AA61" s="34" t="s">
        <v>113</v>
      </c>
      <c r="AB61" s="34" t="s">
        <v>114</v>
      </c>
      <c r="AC61" s="34" t="s">
        <v>115</v>
      </c>
      <c r="AD61" s="34" t="s">
        <v>116</v>
      </c>
      <c r="AE61" s="34" t="s">
        <v>117</v>
      </c>
      <c r="AF61" s="34"/>
    </row>
    <row r="62">
      <c r="A62" s="37" t="str">
        <f>IF($A60="", "", "IN")</f>
        <v>IN</v>
      </c>
      <c r="B62" s="45" t="str">
        <f t="array" ref="B62">IF(OR($A60="",B$61=""),"",IFNA(INDEX(DATA_LOG!$C:$C,MATCH(1,(DATA_LOG!$A:$A=$A60)*(TEXT(DATA_LOG!$B:$B,"yyyy-MM-dd")=TEXT(DATE($P$3,MONTH(1&amp;$N$3),VALUE(LEFT(B$61,2))),"yyyy-MM-dd")),0)),""))</f>
        <v/>
      </c>
      <c r="C62" s="46" t="str">
        <f t="array" ref="C62">IF(OR($A60="",C$61=""),"",IFNA(INDEX(DATA_LOG!$C:$C,MATCH(1,(DATA_LOG!$A:$A=$A60)*(TEXT(DATA_LOG!$B:$B,"yyyy-MM-dd")=TEXT(DATE($P$3,MONTH(1&amp;$N$3),VALUE(LEFT(C$61,2))),"yyyy-MM-dd")),0)),""))</f>
        <v/>
      </c>
      <c r="D62" s="46" t="str">
        <f t="array" ref="D62">IF(OR($A60="",D$61=""),"",IFNA(INDEX(DATA_LOG!$C:$C,MATCH(1,(DATA_LOG!$A:$A=$A60)*(TEXT(DATA_LOG!$B:$B,"yyyy-MM-dd")=TEXT(DATE($P$3,MONTH(1&amp;$N$3),VALUE(LEFT(D$61,2))),"yyyy-MM-dd")),0)),""))</f>
        <v/>
      </c>
      <c r="E62" s="46" t="str">
        <f t="array" ref="E62">IF(OR($A60="",E$61=""),"",IFNA(INDEX(DATA_LOG!$C:$C,MATCH(1,(DATA_LOG!$A:$A=$A60)*(TEXT(DATA_LOG!$B:$B,"yyyy-MM-dd")=TEXT(DATE($P$3,MONTH(1&amp;$N$3),VALUE(LEFT(E$61,2))),"yyyy-MM-dd")),0)),""))</f>
        <v/>
      </c>
      <c r="F62" s="46" t="str">
        <f t="array" ref="F62">IF(OR($A60="",F$61=""),"",IFNA(INDEX(DATA_LOG!$C:$C,MATCH(1,(DATA_LOG!$A:$A=$A60)*(TEXT(DATA_LOG!$B:$B,"yyyy-MM-dd")=TEXT(DATE($P$3,MONTH(1&amp;$N$3),VALUE(LEFT(F$61,2))),"yyyy-MM-dd")),0)),""))</f>
        <v/>
      </c>
      <c r="G62" s="46" t="str">
        <f t="array" ref="G62">IF(OR($A60="",G$61=""),"",IFNA(INDEX(DATA_LOG!$C:$C,MATCH(1,(DATA_LOG!$A:$A=$A60)*(TEXT(DATA_LOG!$B:$B,"yyyy-MM-dd")=TEXT(DATE($P$3,MONTH(1&amp;$N$3),VALUE(LEFT(G$61,2))),"yyyy-MM-dd")),0)),""))</f>
        <v/>
      </c>
      <c r="H62" s="46" t="str">
        <f t="array" ref="H62">IF(OR($A60="",H$61=""),"",IFNA(INDEX(DATA_LOG!$C:$C,MATCH(1,(DATA_LOG!$A:$A=$A60)*(TEXT(DATA_LOG!$B:$B,"yyyy-MM-dd")=TEXT(DATE($P$3,MONTH(1&amp;$N$3),VALUE(LEFT(H$61,2))),"yyyy-MM-dd")),0)),""))</f>
        <v/>
      </c>
      <c r="I62" s="46" t="str">
        <f t="array" ref="I62">IF(OR($A60="",I$61=""),"",IFNA(INDEX(DATA_LOG!$C:$C,MATCH(1,(DATA_LOG!$A:$A=$A60)*(TEXT(DATA_LOG!$B:$B,"yyyy-MM-dd")=TEXT(DATE($P$3,MONTH(1&amp;$N$3),VALUE(LEFT(I$61,2))),"yyyy-MM-dd")),0)),""))</f>
        <v/>
      </c>
      <c r="J62" s="46" t="str">
        <f t="array" ref="J62">IF(OR($A60="",J$61=""),"",IFNA(INDEX(DATA_LOG!$C:$C,MATCH(1,(DATA_LOG!$A:$A=$A60)*(TEXT(DATA_LOG!$B:$B,"yyyy-MM-dd")=TEXT(DATE($P$3,MONTH(1&amp;$N$3),VALUE(LEFT(J$61,2))),"yyyy-MM-dd")),0)),""))</f>
        <v/>
      </c>
      <c r="K62" s="46" t="str">
        <f t="array" ref="K62">IF(OR($A60="",K$61=""),"",IFNA(INDEX(DATA_LOG!$C:$C,MATCH(1,(DATA_LOG!$A:$A=$A60)*(TEXT(DATA_LOG!$B:$B,"yyyy-MM-dd")=TEXT(DATE($P$3,MONTH(1&amp;$N$3),VALUE(LEFT(K$61,2))),"yyyy-MM-dd")),0)),""))</f>
        <v/>
      </c>
      <c r="L62" s="46" t="str">
        <f t="array" ref="L62">IF(OR($A60="",L$61=""),"",IFNA(INDEX(DATA_LOG!$C:$C,MATCH(1,(DATA_LOG!$A:$A=$A60)*(TEXT(DATA_LOG!$B:$B,"yyyy-MM-dd")=TEXT(DATE($P$3,MONTH(1&amp;$N$3),VALUE(LEFT(L$61,2))),"yyyy-MM-dd")),0)),""))</f>
        <v/>
      </c>
      <c r="M62" s="46" t="str">
        <f t="array" ref="M62">IF(OR($A60="",M$61=""),"",IFNA(INDEX(DATA_LOG!$C:$C,MATCH(1,(DATA_LOG!$A:$A=$A60)*(TEXT(DATA_LOG!$B:$B,"yyyy-MM-dd")=TEXT(DATE($P$3,MONTH(1&amp;$N$3),VALUE(LEFT(M$61,2))),"yyyy-MM-dd")),0)),""))</f>
        <v/>
      </c>
      <c r="N62" s="46" t="str">
        <f t="array" ref="N62">IF(OR($A60="",N$61=""),"",IFNA(INDEX(DATA_LOG!$C:$C,MATCH(1,(DATA_LOG!$A:$A=$A60)*(TEXT(DATA_LOG!$B:$B,"yyyy-MM-dd")=TEXT(DATE($P$3,MONTH(1&amp;$N$3),VALUE(LEFT(N$61,2))),"yyyy-MM-dd")),0)),""))</f>
        <v/>
      </c>
      <c r="O62" s="46" t="str">
        <f t="array" ref="O62">IF(OR($A60="",O$61=""),"",IFNA(INDEX(DATA_LOG!$C:$C,MATCH(1,(DATA_LOG!$A:$A=$A60)*(TEXT(DATA_LOG!$B:$B,"yyyy-MM-dd")=TEXT(DATE($P$3,MONTH(1&amp;$N$3),VALUE(LEFT(O$61,2))),"yyyy-MM-dd")),0)),""))</f>
        <v/>
      </c>
      <c r="P62" s="46" t="str">
        <f t="array" ref="P62">IF(OR($A60="",P$61=""),"",IFNA(INDEX(DATA_LOG!$C:$C,MATCH(1,(DATA_LOG!$A:$A=$A60)*(TEXT(DATA_LOG!$B:$B,"yyyy-MM-dd")=TEXT(DATE($P$3,MONTH(1&amp;$N$3),VALUE(LEFT(P$61,2))),"yyyy-MM-dd")),0)),""))</f>
        <v/>
      </c>
      <c r="Q62" s="46" t="str">
        <f t="array" ref="Q62">IF(OR($A60="",Q$61=""),"",IFNA(INDEX(DATA_LOG!$C:$C,MATCH(1,(DATA_LOG!$A:$A=$A60)*(TEXT(DATA_LOG!$B:$B,"yyyy-MM-dd")=TEXT(DATE($P$3,MONTH(1&amp;$N$3),VALUE(LEFT(Q$61,2))),"yyyy-MM-dd")),0)),""))</f>
        <v/>
      </c>
      <c r="R62" s="46" t="str">
        <f t="array" ref="R62">IF(OR($A60="",R$61=""),"",IFNA(INDEX(DATA_LOG!$C:$C,MATCH(1,(DATA_LOG!$A:$A=$A60)*(TEXT(DATA_LOG!$B:$B,"yyyy-MM-dd")=TEXT(DATE($P$3,MONTH(1&amp;$N$3),VALUE(LEFT(R$61,2))),"yyyy-MM-dd")),0)),""))</f>
        <v/>
      </c>
      <c r="S62" s="46" t="str">
        <f t="array" ref="S62">IF(OR($A60="",S$61=""),"",IFNA(INDEX(DATA_LOG!$C:$C,MATCH(1,(DATA_LOG!$A:$A=$A60)*(TEXT(DATA_LOG!$B:$B,"yyyy-MM-dd")=TEXT(DATE($P$3,MONTH(1&amp;$N$3),VALUE(LEFT(S$61,2))),"yyyy-MM-dd")),0)),""))</f>
        <v/>
      </c>
      <c r="T62" s="46" t="str">
        <f t="array" ref="T62">IF(OR($A60="",T$61=""),"",IFNA(INDEX(DATA_LOG!$C:$C,MATCH(1,(DATA_LOG!$A:$A=$A60)*(TEXT(DATA_LOG!$B:$B,"yyyy-MM-dd")=TEXT(DATE($P$3,MONTH(1&amp;$N$3),VALUE(LEFT(T$61,2))),"yyyy-MM-dd")),0)),""))</f>
        <v/>
      </c>
      <c r="U62" s="46" t="str">
        <f t="array" ref="U62">IF(OR($A60="",U$61=""),"",IFNA(INDEX(DATA_LOG!$C:$C,MATCH(1,(DATA_LOG!$A:$A=$A60)*(TEXT(DATA_LOG!$B:$B,"yyyy-MM-dd")=TEXT(DATE($P$3,MONTH(1&amp;$N$3),VALUE(LEFT(U$61,2))),"yyyy-MM-dd")),0)),""))</f>
        <v/>
      </c>
      <c r="V62" s="46" t="str">
        <f t="array" ref="V62">IF(OR($A60="",V$61=""),"",IFNA(INDEX(DATA_LOG!$C:$C,MATCH(1,(DATA_LOG!$A:$A=$A60)*(TEXT(DATA_LOG!$B:$B,"yyyy-MM-dd")=TEXT(DATE($P$3,MONTH(1&amp;$N$3),VALUE(LEFT(V$61,2))),"yyyy-MM-dd")),0)),""))</f>
        <v/>
      </c>
      <c r="W62" s="46" t="str">
        <f t="array" ref="W62">IF(OR($A60="",W$61=""),"",IFNA(INDEX(DATA_LOG!$C:$C,MATCH(1,(DATA_LOG!$A:$A=$A60)*(TEXT(DATA_LOG!$B:$B,"yyyy-MM-dd")=TEXT(DATE($P$3,MONTH(1&amp;$N$3),VALUE(LEFT(W$61,2))),"yyyy-MM-dd")),0)),""))</f>
        <v/>
      </c>
      <c r="X62" s="46" t="str">
        <f t="array" ref="X62">IF(OR($A60="",X$61=""),"",IFNA(INDEX(DATA_LOG!$C:$C,MATCH(1,(DATA_LOG!$A:$A=$A60)*(TEXT(DATA_LOG!$B:$B,"yyyy-MM-dd")=TEXT(DATE($P$3,MONTH(1&amp;$N$3),VALUE(LEFT(X$61,2))),"yyyy-MM-dd")),0)),""))</f>
        <v/>
      </c>
      <c r="Y62" s="46" t="str">
        <f t="array" ref="Y62">IF(OR($A60="",Y$61=""),"",IFNA(INDEX(DATA_LOG!$C:$C,MATCH(1,(DATA_LOG!$A:$A=$A60)*(TEXT(DATA_LOG!$B:$B,"yyyy-MM-dd")=TEXT(DATE($P$3,MONTH(1&amp;$N$3),VALUE(LEFT(Y$61,2))),"yyyy-MM-dd")),0)),""))</f>
        <v/>
      </c>
      <c r="Z62" s="46" t="str">
        <f t="array" ref="Z62">IF(OR($A60="",Z$61=""),"",IFNA(INDEX(DATA_LOG!$C:$C,MATCH(1,(DATA_LOG!$A:$A=$A60)*(TEXT(DATA_LOG!$B:$B,"yyyy-MM-dd")=TEXT(DATE($P$3,MONTH(1&amp;$N$3),VALUE(LEFT(Z$61,2))),"yyyy-MM-dd")),0)),""))</f>
        <v/>
      </c>
      <c r="AA62" s="46" t="str">
        <f t="array" ref="AA62">IF(OR($A60="",AA$61=""),"",IFNA(INDEX(DATA_LOG!$C:$C,MATCH(1,(DATA_LOG!$A:$A=$A60)*(TEXT(DATA_LOG!$B:$B,"yyyy-MM-dd")=TEXT(DATE($P$3,MONTH(1&amp;$N$3),VALUE(LEFT(AA$61,2))),"yyyy-MM-dd")),0)),""))</f>
        <v/>
      </c>
      <c r="AB62" s="46" t="str">
        <f t="array" ref="AB62">IF(OR($A60="",AB$61=""),"",IFNA(INDEX(DATA_LOG!$C:$C,MATCH(1,(DATA_LOG!$A:$A=$A60)*(TEXT(DATA_LOG!$B:$B,"yyyy-MM-dd")=TEXT(DATE($P$3,MONTH(1&amp;$N$3),VALUE(LEFT(AB$61,2))),"yyyy-MM-dd")),0)),""))</f>
        <v/>
      </c>
      <c r="AC62" s="46" t="str">
        <f t="array" ref="AC62">IF(OR($A60="",AC$61=""),"",IFNA(INDEX(DATA_LOG!$C:$C,MATCH(1,(DATA_LOG!$A:$A=$A60)*(TEXT(DATA_LOG!$B:$B,"yyyy-MM-dd")=TEXT(DATE($P$3,MONTH(1&amp;$N$3),VALUE(LEFT(AC$61,2))),"yyyy-MM-dd")),0)),""))</f>
        <v/>
      </c>
      <c r="AD62" s="46" t="str">
        <f t="array" ref="AD62">IF(OR($A60="",AD$61=""),"",IFNA(INDEX(DATA_LOG!$C:$C,MATCH(1,(DATA_LOG!$A:$A=$A60)*(TEXT(DATA_LOG!$B:$B,"yyyy-MM-dd")=TEXT(DATE($P$3,MONTH(1&amp;$N$3),VALUE(LEFT(AD$61,2))),"yyyy-MM-dd")),0)),""))</f>
        <v/>
      </c>
      <c r="AE62" s="46" t="str">
        <f t="array" ref="AE62">IF(OR($A60="",AE$61=""),"",IFNA(INDEX(DATA_LOG!$C:$C,MATCH(1,(DATA_LOG!$A:$A=$A60)*(TEXT(DATA_LOG!$B:$B,"yyyy-MM-dd")=TEXT(DATE($P$3,MONTH(1&amp;$N$3),VALUE(LEFT(AE$61,2))),"yyyy-MM-dd")),0)),""))</f>
        <v/>
      </c>
      <c r="AF62" s="46" t="str">
        <f t="array" ref="AF62">IF(OR($A60="",AF$61=""),"",IFNA(INDEX(DATA_LOG!$C:$C,MATCH(1,(DATA_LOG!$A:$A=$A60)*(TEXT(DATA_LOG!$B:$B,"yyyy-MM-dd")=TEXT(DATE($P$3,MONTH(1&amp;$N$3),VALUE(LEFT(AF$61,2))),"yyyy-MM-dd")),0)),""))</f>
        <v/>
      </c>
    </row>
    <row r="63">
      <c r="A63" s="37" t="str">
        <f>IF($A60="", "", "OUT")</f>
        <v>OUT</v>
      </c>
      <c r="B63" s="45" t="str">
        <f t="array" ref="B63">IF(OR($A60="",B$61=""),"",IFNA(INDEX(DATA_LOG!$D:$D,MATCH(1,(DATA_LOG!$A:$A=$A60)*(TEXT(DATA_LOG!$B:$B,"yyyy-MM-dd")=TEXT(DATE($P$3,MONTH(1&amp;$N$3),VALUE(LEFT(B$61,2))),"yyyy-MM-dd")),0)),""))</f>
        <v/>
      </c>
      <c r="C63" s="46" t="str">
        <f t="array" ref="C63">IF(OR($A60="",C$61=""),"",IFNA(INDEX(DATA_LOG!$D:$D,MATCH(1,(DATA_LOG!$A:$A=$A60)*(TEXT(DATA_LOG!$B:$B,"yyyy-MM-dd")=TEXT(DATE($P$3,MONTH(1&amp;$N$3),VALUE(LEFT(C$61,2))),"yyyy-MM-dd")),0)),""))</f>
        <v/>
      </c>
      <c r="D63" s="47" t="str">
        <f t="array" ref="D63">IF(OR($A60="",D$61=""),"",IFNA(INDEX(DATA_LOG!$D:$D,MATCH(1,(DATA_LOG!$A:$A=$A60)*(TEXT(DATA_LOG!$B:$B,"yyyy-MM-dd")=TEXT(DATE($P$3,MONTH(1&amp;$N$3),VALUE(LEFT(D$61,2))),"yyyy-MM-dd")),0)),""))</f>
        <v/>
      </c>
      <c r="E63" s="46" t="str">
        <f t="array" ref="E63">IF(OR($A60="",E$61=""),"",IFNA(INDEX(DATA_LOG!$D:$D,MATCH(1,(DATA_LOG!$A:$A=$A60)*(TEXT(DATA_LOG!$B:$B,"yyyy-MM-dd")=TEXT(DATE($P$3,MONTH(1&amp;$N$3),VALUE(LEFT(E$61,2))),"yyyy-MM-dd")),0)),""))</f>
        <v/>
      </c>
      <c r="F63" s="46" t="str">
        <f t="array" ref="F63">IF(OR($A60="",F$61=""),"",IFNA(INDEX(DATA_LOG!$D:$D,MATCH(1,(DATA_LOG!$A:$A=$A60)*(TEXT(DATA_LOG!$B:$B,"yyyy-MM-dd")=TEXT(DATE($P$3,MONTH(1&amp;$N$3),VALUE(LEFT(F$61,2))),"yyyy-MM-dd")),0)),""))</f>
        <v/>
      </c>
      <c r="G63" s="46" t="str">
        <f t="array" ref="G63">IF(OR($A60="",G$61=""),"",IFNA(INDEX(DATA_LOG!$D:$D,MATCH(1,(DATA_LOG!$A:$A=$A60)*(TEXT(DATA_LOG!$B:$B,"yyyy-MM-dd")=TEXT(DATE($P$3,MONTH(1&amp;$N$3),VALUE(LEFT(G$61,2))),"yyyy-MM-dd")),0)),""))</f>
        <v/>
      </c>
      <c r="H63" s="46" t="str">
        <f t="array" ref="H63">IF(OR($A60="",H$61=""),"",IFNA(INDEX(DATA_LOG!$D:$D,MATCH(1,(DATA_LOG!$A:$A=$A60)*(TEXT(DATA_LOG!$B:$B,"yyyy-MM-dd")=TEXT(DATE($P$3,MONTH(1&amp;$N$3),VALUE(LEFT(H$61,2))),"yyyy-MM-dd")),0)),""))</f>
        <v/>
      </c>
      <c r="I63" s="45" t="str">
        <f t="array" ref="I63">IF(OR($A60="",I$61=""),"",IFNA(INDEX(DATA_LOG!$D:$D,MATCH(1,(DATA_LOG!$A:$A=$A60)*(TEXT(DATA_LOG!$B:$B,"yyyy-MM-dd")=TEXT(DATE($P$3,MONTH(1&amp;$N$3),VALUE(LEFT(I$61,2))),"yyyy-MM-dd")),0)),""))</f>
        <v/>
      </c>
      <c r="J63" s="46" t="str">
        <f t="array" ref="J63">IF(OR($A60="",J$61=""),"",IFNA(INDEX(DATA_LOG!$D:$D,MATCH(1,(DATA_LOG!$A:$A=$A60)*(TEXT(DATA_LOG!$B:$B,"yyyy-MM-dd")=TEXT(DATE($P$3,MONTH(1&amp;$N$3),VALUE(LEFT(J$61,2))),"yyyy-MM-dd")),0)),""))</f>
        <v/>
      </c>
      <c r="K63" s="46" t="str">
        <f t="array" ref="K63">IF(OR($A60="",K$61=""),"",IFNA(INDEX(DATA_LOG!$D:$D,MATCH(1,(DATA_LOG!$A:$A=$A60)*(TEXT(DATA_LOG!$B:$B,"yyyy-MM-dd")=TEXT(DATE($P$3,MONTH(1&amp;$N$3),VALUE(LEFT(K$61,2))),"yyyy-MM-dd")),0)),""))</f>
        <v/>
      </c>
      <c r="L63" s="46" t="str">
        <f t="array" ref="L63">IF(OR($A60="",L$61=""),"",IFNA(INDEX(DATA_LOG!$D:$D,MATCH(1,(DATA_LOG!$A:$A=$A60)*(TEXT(DATA_LOG!$B:$B,"yyyy-MM-dd")=TEXT(DATE($P$3,MONTH(1&amp;$N$3),VALUE(LEFT(L$61,2))),"yyyy-MM-dd")),0)),""))</f>
        <v/>
      </c>
      <c r="M63" s="46" t="str">
        <f t="array" ref="M63">IF(OR($A60="",M$61=""),"",IFNA(INDEX(DATA_LOG!$D:$D,MATCH(1,(DATA_LOG!$A:$A=$A60)*(TEXT(DATA_LOG!$B:$B,"yyyy-MM-dd")=TEXT(DATE($P$3,MONTH(1&amp;$N$3),VALUE(LEFT(M$61,2))),"yyyy-MM-dd")),0)),""))</f>
        <v/>
      </c>
      <c r="N63" s="46" t="str">
        <f t="array" ref="N63">IF(OR($A60="",N$61=""),"",IFNA(INDEX(DATA_LOG!$D:$D,MATCH(1,(DATA_LOG!$A:$A=$A60)*(TEXT(DATA_LOG!$B:$B,"yyyy-MM-dd")=TEXT(DATE($P$3,MONTH(1&amp;$N$3),VALUE(LEFT(N$61,2))),"yyyy-MM-dd")),0)),""))</f>
        <v/>
      </c>
      <c r="O63" s="46" t="str">
        <f t="array" ref="O63">IF(OR($A60="",O$61=""),"",IFNA(INDEX(DATA_LOG!$D:$D,MATCH(1,(DATA_LOG!$A:$A=$A60)*(TEXT(DATA_LOG!$B:$B,"yyyy-MM-dd")=TEXT(DATE($P$3,MONTH(1&amp;$N$3),VALUE(LEFT(O$61,2))),"yyyy-MM-dd")),0)),""))</f>
        <v/>
      </c>
      <c r="P63" s="47" t="str">
        <f t="array" ref="P63">IF(OR($A60="",P$61=""),"",IFNA(INDEX(DATA_LOG!$D:$D,MATCH(1,(DATA_LOG!$A:$A=$A60)*(TEXT(DATA_LOG!$B:$B,"yyyy-MM-dd")=TEXT(DATE($P$3,MONTH(1&amp;$N$3),VALUE(LEFT(P$61,2))),"yyyy-MM-dd")),0)),""))</f>
        <v/>
      </c>
      <c r="Q63" s="46" t="str">
        <f t="array" ref="Q63">IF(OR($A60="",Q$61=""),"",IFNA(INDEX(DATA_LOG!$D:$D,MATCH(1,(DATA_LOG!$A:$A=$A60)*(TEXT(DATA_LOG!$B:$B,"yyyy-MM-dd")=TEXT(DATE($P$3,MONTH(1&amp;$N$3),VALUE(LEFT(Q$61,2))),"yyyy-MM-dd")),0)),""))</f>
        <v/>
      </c>
      <c r="R63" s="46" t="str">
        <f t="array" ref="R63">IF(OR($A60="",R$61=""),"",IFNA(INDEX(DATA_LOG!$D:$D,MATCH(1,(DATA_LOG!$A:$A=$A60)*(TEXT(DATA_LOG!$B:$B,"yyyy-MM-dd")=TEXT(DATE($P$3,MONTH(1&amp;$N$3),VALUE(LEFT(R$61,2))),"yyyy-MM-dd")),0)),""))</f>
        <v/>
      </c>
      <c r="S63" s="46" t="str">
        <f t="array" ref="S63">IF(OR($A60="",S$61=""),"",IFNA(INDEX(DATA_LOG!$D:$D,MATCH(1,(DATA_LOG!$A:$A=$A60)*(TEXT(DATA_LOG!$B:$B,"yyyy-MM-dd")=TEXT(DATE($P$3,MONTH(1&amp;$N$3),VALUE(LEFT(S$61,2))),"yyyy-MM-dd")),0)),""))</f>
        <v/>
      </c>
      <c r="T63" s="46" t="str">
        <f t="array" ref="T63">IF(OR($A60="",T$61=""),"",IFNA(INDEX(DATA_LOG!$D:$D,MATCH(1,(DATA_LOG!$A:$A=$A60)*(TEXT(DATA_LOG!$B:$B,"yyyy-MM-dd")=TEXT(DATE($P$3,MONTH(1&amp;$N$3),VALUE(LEFT(T$61,2))),"yyyy-MM-dd")),0)),""))</f>
        <v/>
      </c>
      <c r="U63" s="46" t="str">
        <f t="array" ref="U63">IF(OR($A60="",U$61=""),"",IFNA(INDEX(DATA_LOG!$D:$D,MATCH(1,(DATA_LOG!$A:$A=$A60)*(TEXT(DATA_LOG!$B:$B,"yyyy-MM-dd")=TEXT(DATE($P$3,MONTH(1&amp;$N$3),VALUE(LEFT(U$61,2))),"yyyy-MM-dd")),0)),""))</f>
        <v/>
      </c>
      <c r="V63" s="46" t="str">
        <f t="array" ref="V63">IF(OR($A60="",V$61=""),"",IFNA(INDEX(DATA_LOG!$D:$D,MATCH(1,(DATA_LOG!$A:$A=$A60)*(TEXT(DATA_LOG!$B:$B,"yyyy-MM-dd")=TEXT(DATE($P$3,MONTH(1&amp;$N$3),VALUE(LEFT(V$61,2))),"yyyy-MM-dd")),0)),""))</f>
        <v/>
      </c>
      <c r="W63" s="46" t="str">
        <f t="array" ref="W63">IF(OR($A60="",W$61=""),"",IFNA(INDEX(DATA_LOG!$D:$D,MATCH(1,(DATA_LOG!$A:$A=$A60)*(TEXT(DATA_LOG!$B:$B,"yyyy-MM-dd")=TEXT(DATE($P$3,MONTH(1&amp;$N$3),VALUE(LEFT(W$61,2))),"yyyy-MM-dd")),0)),""))</f>
        <v/>
      </c>
      <c r="X63" s="47" t="str">
        <f t="array" ref="X63">IF(OR($A60="",X$61=""),"",IFNA(INDEX(DATA_LOG!$D:$D,MATCH(1,(DATA_LOG!$A:$A=$A60)*(TEXT(DATA_LOG!$B:$B,"yyyy-MM-dd")=TEXT(DATE($P$3,MONTH(1&amp;$N$3),VALUE(LEFT(X$61,2))),"yyyy-MM-dd")),0)),""))</f>
        <v/>
      </c>
      <c r="Y63" s="46" t="str">
        <f t="array" ref="Y63">IF(OR($A60="",Y$61=""),"",IFNA(INDEX(DATA_LOG!$D:$D,MATCH(1,(DATA_LOG!$A:$A=$A60)*(TEXT(DATA_LOG!$B:$B,"yyyy-MM-dd")=TEXT(DATE($P$3,MONTH(1&amp;$N$3),VALUE(LEFT(Y$61,2))),"yyyy-MM-dd")),0)),""))</f>
        <v/>
      </c>
      <c r="Z63" s="47" t="str">
        <f t="array" ref="Z63">IF(OR($A60="",Z$61=""),"",IFNA(INDEX(DATA_LOG!$D:$D,MATCH(1,(DATA_LOG!$A:$A=$A60)*(TEXT(DATA_LOG!$B:$B,"yyyy-MM-dd")=TEXT(DATE($P$3,MONTH(1&amp;$N$3),VALUE(LEFT(Z$61,2))),"yyyy-MM-dd")),0)),""))</f>
        <v/>
      </c>
      <c r="AA63" s="46" t="str">
        <f t="array" ref="AA63">IF(OR($A60="",AA$61=""),"",IFNA(INDEX(DATA_LOG!$D:$D,MATCH(1,(DATA_LOG!$A:$A=$A60)*(TEXT(DATA_LOG!$B:$B,"yyyy-MM-dd")=TEXT(DATE($P$3,MONTH(1&amp;$N$3),VALUE(LEFT(AA$61,2))),"yyyy-MM-dd")),0)),""))</f>
        <v/>
      </c>
      <c r="AB63" s="46" t="str">
        <f t="array" ref="AB63">IF(OR($A60="",AB$61=""),"",IFNA(INDEX(DATA_LOG!$D:$D,MATCH(1,(DATA_LOG!$A:$A=$A60)*(TEXT(DATA_LOG!$B:$B,"yyyy-MM-dd")=TEXT(DATE($P$3,MONTH(1&amp;$N$3),VALUE(LEFT(AB$61,2))),"yyyy-MM-dd")),0)),""))</f>
        <v/>
      </c>
      <c r="AC63" s="46" t="str">
        <f t="array" ref="AC63">IF(OR($A60="",AC$61=""),"",IFNA(INDEX(DATA_LOG!$D:$D,MATCH(1,(DATA_LOG!$A:$A=$A60)*(TEXT(DATA_LOG!$B:$B,"yyyy-MM-dd")=TEXT(DATE($P$3,MONTH(1&amp;$N$3),VALUE(LEFT(AC$61,2))),"yyyy-MM-dd")),0)),""))</f>
        <v/>
      </c>
      <c r="AD63" s="46" t="str">
        <f t="array" ref="AD63">IF(OR($A60="",AD$61=""),"",IFNA(INDEX(DATA_LOG!$D:$D,MATCH(1,(DATA_LOG!$A:$A=$A60)*(TEXT(DATA_LOG!$B:$B,"yyyy-MM-dd")=TEXT(DATE($P$3,MONTH(1&amp;$N$3),VALUE(LEFT(AD$61,2))),"yyyy-MM-dd")),0)),""))</f>
        <v/>
      </c>
      <c r="AE63" s="46" t="str">
        <f t="array" ref="AE63">IF(OR($A60="",AE$61=""),"",IFNA(INDEX(DATA_LOG!$D:$D,MATCH(1,(DATA_LOG!$A:$A=$A60)*(TEXT(DATA_LOG!$B:$B,"yyyy-MM-dd")=TEXT(DATE($P$3,MONTH(1&amp;$N$3),VALUE(LEFT(AE$61,2))),"yyyy-MM-dd")),0)),""))</f>
        <v/>
      </c>
      <c r="AF63" s="46" t="str">
        <f t="array" ref="AF63">IF(OR($A60="",AF$61=""),"",IFNA(INDEX(DATA_LOG!$D:$D,MATCH(1,(DATA_LOG!$A:$A=$A60)*(TEXT(DATA_LOG!$B:$B,"yyyy-MM-dd")=TEXT(DATE($P$3,MONTH(1&amp;$N$3),VALUE(LEFT(AF$61,2))),"yyyy-MM-dd")),0)),""))</f>
        <v/>
      </c>
    </row>
    <row r="64">
      <c r="A64" s="40" t="str">
        <f>IF($A60="", "", "TOTAL")</f>
        <v>TOTAL</v>
      </c>
      <c r="B64" s="41" t="str">
        <f t="shared" ref="B64:AF64" si="9">IF(AND(B62&lt;&gt;"",B63&lt;&gt;""),TEXT(MOD(B63-B62,1),"hh:mm"),"")</f>
        <v/>
      </c>
      <c r="C64" s="41" t="str">
        <f t="shared" si="9"/>
        <v/>
      </c>
      <c r="D64" s="41" t="str">
        <f t="shared" si="9"/>
        <v/>
      </c>
      <c r="E64" s="41" t="str">
        <f t="shared" si="9"/>
        <v/>
      </c>
      <c r="F64" s="41" t="str">
        <f t="shared" si="9"/>
        <v/>
      </c>
      <c r="G64" s="41" t="str">
        <f t="shared" si="9"/>
        <v/>
      </c>
      <c r="H64" s="41" t="str">
        <f t="shared" si="9"/>
        <v/>
      </c>
      <c r="I64" s="41" t="str">
        <f t="shared" si="9"/>
        <v/>
      </c>
      <c r="J64" s="41" t="str">
        <f t="shared" si="9"/>
        <v/>
      </c>
      <c r="K64" s="41" t="str">
        <f t="shared" si="9"/>
        <v/>
      </c>
      <c r="L64" s="41" t="str">
        <f t="shared" si="9"/>
        <v/>
      </c>
      <c r="M64" s="41" t="str">
        <f t="shared" si="9"/>
        <v/>
      </c>
      <c r="N64" s="41" t="str">
        <f t="shared" si="9"/>
        <v/>
      </c>
      <c r="O64" s="41" t="str">
        <f t="shared" si="9"/>
        <v/>
      </c>
      <c r="P64" s="41" t="str">
        <f t="shared" si="9"/>
        <v/>
      </c>
      <c r="Q64" s="41" t="str">
        <f t="shared" si="9"/>
        <v/>
      </c>
      <c r="R64" s="41" t="str">
        <f t="shared" si="9"/>
        <v/>
      </c>
      <c r="S64" s="41" t="str">
        <f t="shared" si="9"/>
        <v/>
      </c>
      <c r="T64" s="41" t="str">
        <f t="shared" si="9"/>
        <v/>
      </c>
      <c r="U64" s="41" t="str">
        <f t="shared" si="9"/>
        <v/>
      </c>
      <c r="V64" s="41" t="str">
        <f t="shared" si="9"/>
        <v/>
      </c>
      <c r="W64" s="41" t="str">
        <f t="shared" si="9"/>
        <v/>
      </c>
      <c r="X64" s="41" t="str">
        <f t="shared" si="9"/>
        <v/>
      </c>
      <c r="Y64" s="41" t="str">
        <f t="shared" si="9"/>
        <v/>
      </c>
      <c r="Z64" s="41" t="str">
        <f t="shared" si="9"/>
        <v/>
      </c>
      <c r="AA64" s="41" t="str">
        <f t="shared" si="9"/>
        <v/>
      </c>
      <c r="AB64" s="41" t="str">
        <f t="shared" si="9"/>
        <v/>
      </c>
      <c r="AC64" s="41" t="str">
        <f t="shared" si="9"/>
        <v/>
      </c>
      <c r="AD64" s="41" t="str">
        <f t="shared" si="9"/>
        <v/>
      </c>
      <c r="AE64" s="41" t="str">
        <f t="shared" si="9"/>
        <v/>
      </c>
      <c r="AF64" s="41" t="str">
        <f t="shared" si="9"/>
        <v/>
      </c>
    </row>
    <row r="65">
      <c r="A65" s="42" t="str">
        <f>IF($A60="", "", "STATUS")</f>
        <v>STATUS</v>
      </c>
      <c r="B65" s="43" t="str">
        <f>IFERROR(__xludf.DUMMYFUNCTION("IF($A60="""","""",IF(B$61="""","""",LET(logStatus,IFNA(INDEX(DATA_LOG!$E:$E,MATCH(1,(DATA_LOG!$A:$A=$A60)*(TEXT(DATA_LOG!$B:$B,""yyyy-MM-dd"")=TEXT(DATE($P$3,MONTH(1&amp;$N$3),VALUE(LEFT(B$61,2))),""yyyy-MM-dd"")),0)),""""),selectedDate,DATE($P$3,MONTH(1&amp;$N$3"&amp;"),VALUE(LEFT(B$61,2))),IF(logStatus&lt;&gt;"""",UPPER(logStatus),IF(selectedDate&gt;TODAY(),""-"",IF(REGEXMATCH(B$61,""SUN""),""WO"",IF(B$64&lt;&gt;"""",IF(VALUE(B$64)&gt;=9/24,""FD"",""HD""),""A"")))))))"),"A")</f>
        <v>A</v>
      </c>
      <c r="C65" s="43" t="str">
        <f>IFERROR(__xludf.DUMMYFUNCTION("IF($A60="""","""",IF(C$61="""","""",LET(logStatus,IFNA(INDEX(DATA_LOG!$E:$E,MATCH(1,(DATA_LOG!$A:$A=$A60)*(TEXT(DATA_LOG!$B:$B,""yyyy-MM-dd"")=TEXT(DATE($P$3,MONTH(1&amp;$N$3),VALUE(LEFT(C$61,2))),""yyyy-MM-dd"")),0)),""""),selectedDate,DATE($P$3,MONTH(1&amp;$N$3"&amp;"),VALUE(LEFT(C$61,2))),IF(logStatus&lt;&gt;"""",UPPER(logStatus),IF(selectedDate&gt;TODAY(),""-"",IF(REGEXMATCH(C$61,""SUN""),""WO"",IF(C$64&lt;&gt;"""",IF(VALUE(C$64)&gt;=9/24,""FD"",""HD""),""A"")))))))"),"A")</f>
        <v>A</v>
      </c>
      <c r="D65" s="43" t="str">
        <f>IFERROR(__xludf.DUMMYFUNCTION("IF($A60="""","""",IF(D$61="""","""",LET(logStatus,IFNA(INDEX(DATA_LOG!$E:$E,MATCH(1,(DATA_LOG!$A:$A=$A60)*(TEXT(DATA_LOG!$B:$B,""yyyy-MM-dd"")=TEXT(DATE($P$3,MONTH(1&amp;$N$3),VALUE(LEFT(D$61,2))),""yyyy-MM-dd"")),0)),""""),selectedDate,DATE($P$3,MONTH(1&amp;$N$3"&amp;"),VALUE(LEFT(D$61,2))),IF(logStatus&lt;&gt;"""",UPPER(logStatus),IF(selectedDate&gt;TODAY(),""-"",IF(REGEXMATCH(D$61,""SUN""),""WO"",IF(D$64&lt;&gt;"""",IF(VALUE(D$64)&gt;=9/24,""FD"",""HD""),""A"")))))))"),"A")</f>
        <v>A</v>
      </c>
      <c r="E65" s="43" t="str">
        <f>IFERROR(__xludf.DUMMYFUNCTION("IF($A60="""","""",IF(E$61="""","""",LET(logStatus,IFNA(INDEX(DATA_LOG!$E:$E,MATCH(1,(DATA_LOG!$A:$A=$A60)*(TEXT(DATA_LOG!$B:$B,""yyyy-MM-dd"")=TEXT(DATE($P$3,MONTH(1&amp;$N$3),VALUE(LEFT(E$61,2))),""yyyy-MM-dd"")),0)),""""),selectedDate,DATE($P$3,MONTH(1&amp;$N$3"&amp;"),VALUE(LEFT(E$61,2))),IF(logStatus&lt;&gt;"""",UPPER(logStatus),IF(selectedDate&gt;TODAY(),""-"",IF(REGEXMATCH(E$61,""SUN""),""WO"",IF(E$64&lt;&gt;"""",IF(VALUE(E$64)&gt;=9/24,""FD"",""HD""),""A"")))))))"),"A")</f>
        <v>A</v>
      </c>
      <c r="F65" s="43" t="str">
        <f>IFERROR(__xludf.DUMMYFUNCTION("IF($A60="""","""",IF(F$61="""","""",LET(logStatus,IFNA(INDEX(DATA_LOG!$E:$E,MATCH(1,(DATA_LOG!$A:$A=$A60)*(TEXT(DATA_LOG!$B:$B,""yyyy-MM-dd"")=TEXT(DATE($P$3,MONTH(1&amp;$N$3),VALUE(LEFT(F$61,2))),""yyyy-MM-dd"")),0)),""""),selectedDate,DATE($P$3,MONTH(1&amp;$N$3"&amp;"),VALUE(LEFT(F$61,2))),IF(logStatus&lt;&gt;"""",UPPER(logStatus),IF(selectedDate&gt;TODAY(),""-"",IF(REGEXMATCH(F$61,""SUN""),""WO"",IF(F$64&lt;&gt;"""",IF(VALUE(F$64)&gt;=9/24,""FD"",""HD""),""A"")))))))"),"A")</f>
        <v>A</v>
      </c>
      <c r="G65" s="43" t="str">
        <f>IFERROR(__xludf.DUMMYFUNCTION("IF($A60="""","""",IF(G$61="""","""",LET(logStatus,IFNA(INDEX(DATA_LOG!$E:$E,MATCH(1,(DATA_LOG!$A:$A=$A60)*(TEXT(DATA_LOG!$B:$B,""yyyy-MM-dd"")=TEXT(DATE($P$3,MONTH(1&amp;$N$3),VALUE(LEFT(G$61,2))),""yyyy-MM-dd"")),0)),""""),selectedDate,DATE($P$3,MONTH(1&amp;$N$3"&amp;"),VALUE(LEFT(G$61,2))),IF(logStatus&lt;&gt;"""",UPPER(logStatus),IF(selectedDate&gt;TODAY(),""-"",IF(REGEXMATCH(G$61,""SUN""),""WO"",IF(G$64&lt;&gt;"""",IF(VALUE(G$64)&gt;=9/24,""FD"",""HD""),""A"")))))))"),"WO")</f>
        <v>WO</v>
      </c>
      <c r="H65" s="43" t="str">
        <f>IFERROR(__xludf.DUMMYFUNCTION("IF($A60="""","""",IF(H$61="""","""",LET(logStatus,IFNA(INDEX(DATA_LOG!$E:$E,MATCH(1,(DATA_LOG!$A:$A=$A60)*(TEXT(DATA_LOG!$B:$B,""yyyy-MM-dd"")=TEXT(DATE($P$3,MONTH(1&amp;$N$3),VALUE(LEFT(H$61,2))),""yyyy-MM-dd"")),0)),""""),selectedDate,DATE($P$3,MONTH(1&amp;$N$3"&amp;"),VALUE(LEFT(H$61,2))),IF(logStatus&lt;&gt;"""",UPPER(logStatus),IF(selectedDate&gt;TODAY(),""-"",IF(REGEXMATCH(H$61,""SUN""),""WO"",IF(H$64&lt;&gt;"""",IF(VALUE(H$64)&gt;=9/24,""FD"",""HD""),""A"")))))))"),"A")</f>
        <v>A</v>
      </c>
      <c r="I65" s="43" t="str">
        <f>IFERROR(__xludf.DUMMYFUNCTION("IF($A60="""","""",IF(I$61="""","""",LET(logStatus,IFNA(INDEX(DATA_LOG!$E:$E,MATCH(1,(DATA_LOG!$A:$A=$A60)*(TEXT(DATA_LOG!$B:$B,""yyyy-MM-dd"")=TEXT(DATE($P$3,MONTH(1&amp;$N$3),VALUE(LEFT(I$61,2))),""yyyy-MM-dd"")),0)),""""),selectedDate,DATE($P$3,MONTH(1&amp;$N$3"&amp;"),VALUE(LEFT(I$61,2))),IF(logStatus&lt;&gt;"""",UPPER(logStatus),IF(selectedDate&gt;TODAY(),""-"",IF(REGEXMATCH(I$61,""SUN""),""WO"",IF(I$64&lt;&gt;"""",IF(VALUE(I$64)&gt;=9/24,""FD"",""HD""),""A"")))))))"),"A")</f>
        <v>A</v>
      </c>
      <c r="J65" s="43" t="str">
        <f>IFERROR(__xludf.DUMMYFUNCTION("IF($A60="""","""",IF(J$61="""","""",LET(logStatus,IFNA(INDEX(DATA_LOG!$E:$E,MATCH(1,(DATA_LOG!$A:$A=$A60)*(TEXT(DATA_LOG!$B:$B,""yyyy-MM-dd"")=TEXT(DATE($P$3,MONTH(1&amp;$N$3),VALUE(LEFT(J$61,2))),""yyyy-MM-dd"")),0)),""""),selectedDate,DATE($P$3,MONTH(1&amp;$N$3"&amp;"),VALUE(LEFT(J$61,2))),IF(logStatus&lt;&gt;"""",UPPER(logStatus),IF(selectedDate&gt;TODAY(),""-"",IF(REGEXMATCH(J$61,""SUN""),""WO"",IF(J$64&lt;&gt;"""",IF(VALUE(J$64)&gt;=9/24,""FD"",""HD""),""A"")))))))"),"A")</f>
        <v>A</v>
      </c>
      <c r="K65" s="43" t="str">
        <f>IFERROR(__xludf.DUMMYFUNCTION("IF($A60="""","""",IF(K$61="""","""",LET(logStatus,IFNA(INDEX(DATA_LOG!$E:$E,MATCH(1,(DATA_LOG!$A:$A=$A60)*(TEXT(DATA_LOG!$B:$B,""yyyy-MM-dd"")=TEXT(DATE($P$3,MONTH(1&amp;$N$3),VALUE(LEFT(K$61,2))),""yyyy-MM-dd"")),0)),""""),selectedDate,DATE($P$3,MONTH(1&amp;$N$3"&amp;"),VALUE(LEFT(K$61,2))),IF(logStatus&lt;&gt;"""",UPPER(logStatus),IF(selectedDate&gt;TODAY(),""-"",IF(REGEXMATCH(K$61,""SUN""),""WO"",IF(K$64&lt;&gt;"""",IF(VALUE(K$64)&gt;=9/24,""FD"",""HD""),""A"")))))))"),"A")</f>
        <v>A</v>
      </c>
      <c r="L65" s="43" t="str">
        <f>IFERROR(__xludf.DUMMYFUNCTION("IF($A60="""","""",IF(L$61="""","""",LET(logStatus,IFNA(INDEX(DATA_LOG!$E:$E,MATCH(1,(DATA_LOG!$A:$A=$A60)*(TEXT(DATA_LOG!$B:$B,""yyyy-MM-dd"")=TEXT(DATE($P$3,MONTH(1&amp;$N$3),VALUE(LEFT(L$61,2))),""yyyy-MM-dd"")),0)),""""),selectedDate,DATE($P$3,MONTH(1&amp;$N$3"&amp;"),VALUE(LEFT(L$61,2))),IF(logStatus&lt;&gt;"""",UPPER(logStatus),IF(selectedDate&gt;TODAY(),""-"",IF(REGEXMATCH(L$61,""SUN""),""WO"",IF(L$64&lt;&gt;"""",IF(VALUE(L$64)&gt;=9/24,""FD"",""HD""),""A"")))))))"),"A")</f>
        <v>A</v>
      </c>
      <c r="M65" s="43" t="str">
        <f>IFERROR(__xludf.DUMMYFUNCTION("IF($A60="""","""",IF(M$61="""","""",LET(logStatus,IFNA(INDEX(DATA_LOG!$E:$E,MATCH(1,(DATA_LOG!$A:$A=$A60)*(TEXT(DATA_LOG!$B:$B,""yyyy-MM-dd"")=TEXT(DATE($P$3,MONTH(1&amp;$N$3),VALUE(LEFT(M$61,2))),""yyyy-MM-dd"")),0)),""""),selectedDate,DATE($P$3,MONTH(1&amp;$N$3"&amp;"),VALUE(LEFT(M$61,2))),IF(logStatus&lt;&gt;"""",UPPER(logStatus),IF(selectedDate&gt;TODAY(),""-"",IF(REGEXMATCH(M$61,""SUN""),""WO"",IF(M$64&lt;&gt;"""",IF(VALUE(M$64)&gt;=9/24,""FD"",""HD""),""A"")))))))"),"-")</f>
        <v>-</v>
      </c>
      <c r="N65" s="43" t="str">
        <f>IFERROR(__xludf.DUMMYFUNCTION("IF($A60="""","""",IF(N$61="""","""",LET(logStatus,IFNA(INDEX(DATA_LOG!$E:$E,MATCH(1,(DATA_LOG!$A:$A=$A60)*(TEXT(DATA_LOG!$B:$B,""yyyy-MM-dd"")=TEXT(DATE($P$3,MONTH(1&amp;$N$3),VALUE(LEFT(N$61,2))),""yyyy-MM-dd"")),0)),""""),selectedDate,DATE($P$3,MONTH(1&amp;$N$3"&amp;"),VALUE(LEFT(N$61,2))),IF(logStatus&lt;&gt;"""",UPPER(logStatus),IF(selectedDate&gt;TODAY(),""-"",IF(REGEXMATCH(N$61,""SUN""),""WO"",IF(N$64&lt;&gt;"""",IF(VALUE(N$64)&gt;=9/24,""FD"",""HD""),""A"")))))))"),"-")</f>
        <v>-</v>
      </c>
      <c r="O65" s="43" t="str">
        <f>IFERROR(__xludf.DUMMYFUNCTION("IF($A60="""","""",IF(O$61="""","""",LET(logStatus,IFNA(INDEX(DATA_LOG!$E:$E,MATCH(1,(DATA_LOG!$A:$A=$A60)*(TEXT(DATA_LOG!$B:$B,""yyyy-MM-dd"")=TEXT(DATE($P$3,MONTH(1&amp;$N$3),VALUE(LEFT(O$61,2))),""yyyy-MM-dd"")),0)),""""),selectedDate,DATE($P$3,MONTH(1&amp;$N$3"&amp;"),VALUE(LEFT(O$61,2))),IF(logStatus&lt;&gt;"""",UPPER(logStatus),IF(selectedDate&gt;TODAY(),""-"",IF(REGEXMATCH(O$61,""SUN""),""WO"",IF(O$64&lt;&gt;"""",IF(VALUE(O$64)&gt;=9/24,""FD"",""HD""),""A"")))))))"),"-")</f>
        <v>-</v>
      </c>
      <c r="P65" s="43" t="str">
        <f>IFERROR(__xludf.DUMMYFUNCTION("IF($A60="""","""",IF(P$61="""","""",LET(logStatus,IFNA(INDEX(DATA_LOG!$E:$E,MATCH(1,(DATA_LOG!$A:$A=$A60)*(TEXT(DATA_LOG!$B:$B,""yyyy-MM-dd"")=TEXT(DATE($P$3,MONTH(1&amp;$N$3),VALUE(LEFT(P$61,2))),""yyyy-MM-dd"")),0)),""""),selectedDate,DATE($P$3,MONTH(1&amp;$N$3"&amp;"),VALUE(LEFT(P$61,2))),IF(logStatus&lt;&gt;"""",UPPER(logStatus),IF(selectedDate&gt;TODAY(),""-"",IF(REGEXMATCH(P$61,""SUN""),""WO"",IF(P$64&lt;&gt;"""",IF(VALUE(P$64)&gt;=9/24,""FD"",""HD""),""A"")))))))"),"-")</f>
        <v>-</v>
      </c>
      <c r="Q65" s="43" t="str">
        <f>IFERROR(__xludf.DUMMYFUNCTION("IF($A60="""","""",IF(Q$61="""","""",LET(logStatus,IFNA(INDEX(DATA_LOG!$E:$E,MATCH(1,(DATA_LOG!$A:$A=$A60)*(TEXT(DATA_LOG!$B:$B,""yyyy-MM-dd"")=TEXT(DATE($P$3,MONTH(1&amp;$N$3),VALUE(LEFT(Q$61,2))),""yyyy-MM-dd"")),0)),""""),selectedDate,DATE($P$3,MONTH(1&amp;$N$3"&amp;"),VALUE(LEFT(Q$61,2))),IF(logStatus&lt;&gt;"""",UPPER(logStatus),IF(selectedDate&gt;TODAY(),""-"",IF(REGEXMATCH(Q$61,""SUN""),""WO"",IF(Q$64&lt;&gt;"""",IF(VALUE(Q$64)&gt;=9/24,""FD"",""HD""),""A"")))))))"),"-")</f>
        <v>-</v>
      </c>
      <c r="R65" s="43" t="str">
        <f>IFERROR(__xludf.DUMMYFUNCTION("IF($A60="""","""",IF(R$61="""","""",LET(logStatus,IFNA(INDEX(DATA_LOG!$E:$E,MATCH(1,(DATA_LOG!$A:$A=$A60)*(TEXT(DATA_LOG!$B:$B,""yyyy-MM-dd"")=TEXT(DATE($P$3,MONTH(1&amp;$N$3),VALUE(LEFT(R$61,2))),""yyyy-MM-dd"")),0)),""""),selectedDate,DATE($P$3,MONTH(1&amp;$N$3"&amp;"),VALUE(LEFT(R$61,2))),IF(logStatus&lt;&gt;"""",UPPER(logStatus),IF(selectedDate&gt;TODAY(),""-"",IF(REGEXMATCH(R$61,""SUN""),""WO"",IF(R$64&lt;&gt;"""",IF(VALUE(R$64)&gt;=9/24,""FD"",""HD""),""A"")))))))"),"-")</f>
        <v>-</v>
      </c>
      <c r="S65" s="43" t="str">
        <f>IFERROR(__xludf.DUMMYFUNCTION("IF($A60="""","""",IF(S$61="""","""",LET(logStatus,IFNA(INDEX(DATA_LOG!$E:$E,MATCH(1,(DATA_LOG!$A:$A=$A60)*(TEXT(DATA_LOG!$B:$B,""yyyy-MM-dd"")=TEXT(DATE($P$3,MONTH(1&amp;$N$3),VALUE(LEFT(S$61,2))),""yyyy-MM-dd"")),0)),""""),selectedDate,DATE($P$3,MONTH(1&amp;$N$3"&amp;"),VALUE(LEFT(S$61,2))),IF(logStatus&lt;&gt;"""",UPPER(logStatus),IF(selectedDate&gt;TODAY(),""-"",IF(REGEXMATCH(S$61,""SUN""),""WO"",IF(S$64&lt;&gt;"""",IF(VALUE(S$64)&gt;=9/24,""FD"",""HD""),""A"")))))))"),"-")</f>
        <v>-</v>
      </c>
      <c r="T65" s="43" t="str">
        <f>IFERROR(__xludf.DUMMYFUNCTION("IF($A60="""","""",IF(T$61="""","""",LET(logStatus,IFNA(INDEX(DATA_LOG!$E:$E,MATCH(1,(DATA_LOG!$A:$A=$A60)*(TEXT(DATA_LOG!$B:$B,""yyyy-MM-dd"")=TEXT(DATE($P$3,MONTH(1&amp;$N$3),VALUE(LEFT(T$61,2))),""yyyy-MM-dd"")),0)),""""),selectedDate,DATE($P$3,MONTH(1&amp;$N$3"&amp;"),VALUE(LEFT(T$61,2))),IF(logStatus&lt;&gt;"""",UPPER(logStatus),IF(selectedDate&gt;TODAY(),""-"",IF(REGEXMATCH(T$61,""SUN""),""WO"",IF(T$64&lt;&gt;"""",IF(VALUE(T$64)&gt;=9/24,""FD"",""HD""),""A"")))))))"),"-")</f>
        <v>-</v>
      </c>
      <c r="U65" s="43" t="str">
        <f>IFERROR(__xludf.DUMMYFUNCTION("IF($A60="""","""",IF(U$61="""","""",LET(logStatus,IFNA(INDEX(DATA_LOG!$E:$E,MATCH(1,(DATA_LOG!$A:$A=$A60)*(TEXT(DATA_LOG!$B:$B,""yyyy-MM-dd"")=TEXT(DATE($P$3,MONTH(1&amp;$N$3),VALUE(LEFT(U$61,2))),""yyyy-MM-dd"")),0)),""""),selectedDate,DATE($P$3,MONTH(1&amp;$N$3"&amp;"),VALUE(LEFT(U$61,2))),IF(logStatus&lt;&gt;"""",UPPER(logStatus),IF(selectedDate&gt;TODAY(),""-"",IF(REGEXMATCH(U$61,""SUN""),""WO"",IF(U$64&lt;&gt;"""",IF(VALUE(U$64)&gt;=9/24,""FD"",""HD""),""A"")))))))"),"-")</f>
        <v>-</v>
      </c>
      <c r="V65" s="43" t="str">
        <f>IFERROR(__xludf.DUMMYFUNCTION("IF($A60="""","""",IF(V$61="""","""",LET(logStatus,IFNA(INDEX(DATA_LOG!$E:$E,MATCH(1,(DATA_LOG!$A:$A=$A60)*(TEXT(DATA_LOG!$B:$B,""yyyy-MM-dd"")=TEXT(DATE($P$3,MONTH(1&amp;$N$3),VALUE(LEFT(V$61,2))),""yyyy-MM-dd"")),0)),""""),selectedDate,DATE($P$3,MONTH(1&amp;$N$3"&amp;"),VALUE(LEFT(V$61,2))),IF(logStatus&lt;&gt;"""",UPPER(logStatus),IF(selectedDate&gt;TODAY(),""-"",IF(REGEXMATCH(V$61,""SUN""),""WO"",IF(V$64&lt;&gt;"""",IF(VALUE(V$64)&gt;=9/24,""FD"",""HD""),""A"")))))))"),"-")</f>
        <v>-</v>
      </c>
      <c r="W65" s="43" t="str">
        <f>IFERROR(__xludf.DUMMYFUNCTION("IF($A60="""","""",IF(W$61="""","""",LET(logStatus,IFNA(INDEX(DATA_LOG!$E:$E,MATCH(1,(DATA_LOG!$A:$A=$A60)*(TEXT(DATA_LOG!$B:$B,""yyyy-MM-dd"")=TEXT(DATE($P$3,MONTH(1&amp;$N$3),VALUE(LEFT(W$61,2))),""yyyy-MM-dd"")),0)),""""),selectedDate,DATE($P$3,MONTH(1&amp;$N$3"&amp;"),VALUE(LEFT(W$61,2))),IF(logStatus&lt;&gt;"""",UPPER(logStatus),IF(selectedDate&gt;TODAY(),""-"",IF(REGEXMATCH(W$61,""SUN""),""WO"",IF(W$64&lt;&gt;"""",IF(VALUE(W$64)&gt;=9/24,""FD"",""HD""),""A"")))))))"),"-")</f>
        <v>-</v>
      </c>
      <c r="X65" s="43" t="str">
        <f>IFERROR(__xludf.DUMMYFUNCTION("IF($A60="""","""",IF(X$61="""","""",LET(logStatus,IFNA(INDEX(DATA_LOG!$E:$E,MATCH(1,(DATA_LOG!$A:$A=$A60)*(TEXT(DATA_LOG!$B:$B,""yyyy-MM-dd"")=TEXT(DATE($P$3,MONTH(1&amp;$N$3),VALUE(LEFT(X$61,2))),""yyyy-MM-dd"")),0)),""""),selectedDate,DATE($P$3,MONTH(1&amp;$N$3"&amp;"),VALUE(LEFT(X$61,2))),IF(logStatus&lt;&gt;"""",UPPER(logStatus),IF(selectedDate&gt;TODAY(),""-"",IF(REGEXMATCH(X$61,""SUN""),""WO"",IF(X$64&lt;&gt;"""",IF(VALUE(X$64)&gt;=9/24,""FD"",""HD""),""A"")))))))"),"-")</f>
        <v>-</v>
      </c>
      <c r="Y65" s="43" t="str">
        <f>IFERROR(__xludf.DUMMYFUNCTION("IF($A60="""","""",IF(Y$61="""","""",LET(logStatus,IFNA(INDEX(DATA_LOG!$E:$E,MATCH(1,(DATA_LOG!$A:$A=$A60)*(TEXT(DATA_LOG!$B:$B,""yyyy-MM-dd"")=TEXT(DATE($P$3,MONTH(1&amp;$N$3),VALUE(LEFT(Y$61,2))),""yyyy-MM-dd"")),0)),""""),selectedDate,DATE($P$3,MONTH(1&amp;$N$3"&amp;"),VALUE(LEFT(Y$61,2))),IF(logStatus&lt;&gt;"""",UPPER(logStatus),IF(selectedDate&gt;TODAY(),""-"",IF(REGEXMATCH(Y$61,""SUN""),""WO"",IF(Y$64&lt;&gt;"""",IF(VALUE(Y$64)&gt;=9/24,""FD"",""HD""),""A"")))))))"),"-")</f>
        <v>-</v>
      </c>
      <c r="Z65" s="43" t="str">
        <f>IFERROR(__xludf.DUMMYFUNCTION("IF($A60="""","""",IF(Z$61="""","""",LET(logStatus,IFNA(INDEX(DATA_LOG!$E:$E,MATCH(1,(DATA_LOG!$A:$A=$A60)*(TEXT(DATA_LOG!$B:$B,""yyyy-MM-dd"")=TEXT(DATE($P$3,MONTH(1&amp;$N$3),VALUE(LEFT(Z$61,2))),""yyyy-MM-dd"")),0)),""""),selectedDate,DATE($P$3,MONTH(1&amp;$N$3"&amp;"),VALUE(LEFT(Z$61,2))),IF(logStatus&lt;&gt;"""",UPPER(logStatus),IF(selectedDate&gt;TODAY(),""-"",IF(REGEXMATCH(Z$61,""SUN""),""WO"",IF(Z$64&lt;&gt;"""",IF(VALUE(Z$64)&gt;=9/24,""FD"",""HD""),""A"")))))))"),"-")</f>
        <v>-</v>
      </c>
      <c r="AA65" s="43" t="str">
        <f>IFERROR(__xludf.DUMMYFUNCTION("IF($A60="""","""",IF(AA$61="""","""",LET(logStatus,IFNA(INDEX(DATA_LOG!$E:$E,MATCH(1,(DATA_LOG!$A:$A=$A60)*(TEXT(DATA_LOG!$B:$B,""yyyy-MM-dd"")=TEXT(DATE($P$3,MONTH(1&amp;$N$3),VALUE(LEFT(AA$61,2))),""yyyy-MM-dd"")),0)),""""),selectedDate,DATE($P$3,MONTH(1&amp;$N"&amp;"$3),VALUE(LEFT(AA$61,2))),IF(logStatus&lt;&gt;"""",UPPER(logStatus),IF(selectedDate&gt;TODAY(),""-"",IF(REGEXMATCH(AA$61,""SUN""),""WO"",IF(AA$64&lt;&gt;"""",IF(VALUE(AA$64)&gt;=9/24,""FD"",""HD""),""A"")))))))"),"-")</f>
        <v>-</v>
      </c>
      <c r="AB65" s="43" t="str">
        <f>IFERROR(__xludf.DUMMYFUNCTION("IF($A60="""","""",IF(AB$61="""","""",LET(logStatus,IFNA(INDEX(DATA_LOG!$E:$E,MATCH(1,(DATA_LOG!$A:$A=$A60)*(TEXT(DATA_LOG!$B:$B,""yyyy-MM-dd"")=TEXT(DATE($P$3,MONTH(1&amp;$N$3),VALUE(LEFT(AB$61,2))),""yyyy-MM-dd"")),0)),""""),selectedDate,DATE($P$3,MONTH(1&amp;$N"&amp;"$3),VALUE(LEFT(AB$61,2))),IF(logStatus&lt;&gt;"""",UPPER(logStatus),IF(selectedDate&gt;TODAY(),""-"",IF(REGEXMATCH(AB$61,""SUN""),""WO"",IF(AB$64&lt;&gt;"""",IF(VALUE(AB$64)&gt;=9/24,""FD"",""HD""),""A"")))))))"),"-")</f>
        <v>-</v>
      </c>
      <c r="AC65" s="43" t="str">
        <f>IFERROR(__xludf.DUMMYFUNCTION("IF($A60="""","""",IF(AC$61="""","""",LET(logStatus,IFNA(INDEX(DATA_LOG!$E:$E,MATCH(1,(DATA_LOG!$A:$A=$A60)*(TEXT(DATA_LOG!$B:$B,""yyyy-MM-dd"")=TEXT(DATE($P$3,MONTH(1&amp;$N$3),VALUE(LEFT(AC$61,2))),""yyyy-MM-dd"")),0)),""""),selectedDate,DATE($P$3,MONTH(1&amp;$N"&amp;"$3),VALUE(LEFT(AC$61,2))),IF(logStatus&lt;&gt;"""",UPPER(logStatus),IF(selectedDate&gt;TODAY(),""-"",IF(REGEXMATCH(AC$61,""SUN""),""WO"",IF(AC$64&lt;&gt;"""",IF(VALUE(AC$64)&gt;=9/24,""FD"",""HD""),""A"")))))))"),"-")</f>
        <v>-</v>
      </c>
      <c r="AD65" s="43" t="str">
        <f>IFERROR(__xludf.DUMMYFUNCTION("IF($A60="""","""",IF(AD$61="""","""",LET(logStatus,IFNA(INDEX(DATA_LOG!$E:$E,MATCH(1,(DATA_LOG!$A:$A=$A60)*(TEXT(DATA_LOG!$B:$B,""yyyy-MM-dd"")=TEXT(DATE($P$3,MONTH(1&amp;$N$3),VALUE(LEFT(AD$61,2))),""yyyy-MM-dd"")),0)),""""),selectedDate,DATE($P$3,MONTH(1&amp;$N"&amp;"$3),VALUE(LEFT(AD$61,2))),IF(logStatus&lt;&gt;"""",UPPER(logStatus),IF(selectedDate&gt;TODAY(),""-"",IF(REGEXMATCH(AD$61,""SUN""),""WO"",IF(AD$64&lt;&gt;"""",IF(VALUE(AD$64)&gt;=9/24,""FD"",""HD""),""A"")))))))"),"-")</f>
        <v>-</v>
      </c>
      <c r="AE65" s="43" t="str">
        <f>IFERROR(__xludf.DUMMYFUNCTION("IF($A60="""","""",IF(AE$61="""","""",LET(logStatus,IFNA(INDEX(DATA_LOG!$E:$E,MATCH(1,(DATA_LOG!$A:$A=$A60)*(TEXT(DATA_LOG!$B:$B,""yyyy-MM-dd"")=TEXT(DATE($P$3,MONTH(1&amp;$N$3),VALUE(LEFT(AE$61,2))),""yyyy-MM-dd"")),0)),""""),selectedDate,DATE($P$3,MONTH(1&amp;$N"&amp;"$3),VALUE(LEFT(AE$61,2))),IF(logStatus&lt;&gt;"""",UPPER(logStatus),IF(selectedDate&gt;TODAY(),""-"",IF(REGEXMATCH(AE$61,""SUN""),""WO"",IF(AE$64&lt;&gt;"""",IF(VALUE(AE$64)&gt;=9/24,""FD"",""HD""),""A"")))))))"),"-")</f>
        <v>-</v>
      </c>
      <c r="AF65" s="43" t="str">
        <f>IFERROR(__xludf.DUMMYFUNCTION("IF($A60="""","""",IF(AF$61="""","""",LET(logStatus,IFNA(INDEX(DATA_LOG!$E:$E,MATCH(1,(DATA_LOG!$A:$A=$A60)*(TEXT(DATA_LOG!$B:$B,""yyyy-MM-dd"")=TEXT(DATE($P$3,MONTH(1&amp;$N$3),VALUE(LEFT(AF$61,2))),""yyyy-MM-dd"")),0)),""""),selectedDate,DATE($P$3,MONTH(1&amp;$N"&amp;"$3),VALUE(LEFT(AF$61,2))),IF(logStatus&lt;&gt;"""",UPPER(logStatus),IF(selectedDate&gt;TODAY(),""-"",IF(REGEXMATCH(AF$61,""SUN""),""WO"",IF(AF$64&lt;&gt;"""",IF(VALUE(AF$64)&gt;=9/24,""FD"",""HD""),""A"")))))))"),"")</f>
        <v/>
      </c>
    </row>
    <row r="66">
      <c r="A66" s="44"/>
    </row>
    <row r="67">
      <c r="A67" s="25" t="str">
        <f t="array" ref="A67">INDEX(EMPLOYEE_LIST!$A:$A,INT((ROW()-4)/7)+2)</f>
        <v>ROSHAN VISHWAKARMA</v>
      </c>
      <c r="B67" s="26"/>
      <c r="C67" s="27"/>
      <c r="D67" s="28" t="str">
        <f>IF(A67="", "", IFERROR(VLOOKUP(A67, EMPLOYEE_LIST!$A:$H, 2, FALSE), ""))</f>
        <v>AYV-34</v>
      </c>
      <c r="E67" s="26"/>
      <c r="F67" s="26"/>
      <c r="G67" s="27"/>
      <c r="H67" s="29" t="str">
        <f>IF(A67="", "", IFERROR(VLOOKUP(A67, EMPLOYEE_LIST!$A:$H, 3, FALSE), ""))</f>
        <v>ENGINEERING</v>
      </c>
      <c r="I67" s="26"/>
      <c r="J67" s="26"/>
      <c r="K67" s="27"/>
      <c r="L67" s="29" t="str">
        <f>IF(A67="", "", IFERROR(VLOOKUP(A67, EMPLOYEE_LIST!$A:$H, 4, FALSE), ""))</f>
        <v>SUPERVISOR</v>
      </c>
      <c r="M67" s="26"/>
      <c r="N67" s="26"/>
      <c r="O67" s="27"/>
      <c r="P67" s="30" t="str">
        <f>IF($A67="", "", "Full Day: " &amp; COUNTIF(B72:AF72, "FD"))</f>
        <v>Full Day: 0</v>
      </c>
      <c r="Q67" s="26"/>
      <c r="R67" s="27"/>
      <c r="S67" s="31" t="str">
        <f>IF($A67="", "", "HALF Day: " &amp; COUNTIF(B72:AF72, "HD"))</f>
        <v>HALF Day: 0</v>
      </c>
      <c r="T67" s="26"/>
      <c r="U67" s="27"/>
      <c r="V67" s="31" t="str">
        <f>IF($A67="", "", "ABSENT: " &amp; COUNTIF(B72:AF72, "A"))</f>
        <v>ABSENT: 10</v>
      </c>
      <c r="W67" s="26"/>
      <c r="X67" s="27"/>
      <c r="Y67" s="31" t="str">
        <f>IF($A67="", "", "WEEK OFF: " &amp; COUNTIF(B72:AF72, "WO"))</f>
        <v>WEEK OFF: 1</v>
      </c>
      <c r="Z67" s="26"/>
      <c r="AA67" s="27"/>
      <c r="AB67" s="31" t="str">
        <f>IF($A67="", "", "LEAVE: " &amp; COUNTIF(B72:AF72, "L"))</f>
        <v>LEAVE: 0</v>
      </c>
      <c r="AC67" s="27"/>
      <c r="AD67" s="31" t="str">
        <f>IF($A67="", "", "HOLIDAY: " &amp; COUNTIF(B72:AF72, "HL"))</f>
        <v>HOLIDAY: 0</v>
      </c>
      <c r="AE67" s="26"/>
      <c r="AF67" s="27"/>
    </row>
    <row r="68">
      <c r="A68" s="32" t="str">
        <f>IF($A67="", "", "DATE")</f>
        <v>DATE</v>
      </c>
      <c r="B68" s="33" t="str">
        <f t="array" ref="B68:AE68">IF($A67="","",LET(mNum,MONTH(1&amp;$N$3),start,DATE($P$3,mNum,1),days,DAY(EOMONTH(start,0)),MAP(SEQUENCE(1,days,0),LAMBDA(n,UPPER(TEXT(start+n,"dd (ddd)"))))))</f>
        <v>01 (TUE)</v>
      </c>
      <c r="C68" s="34" t="s">
        <v>89</v>
      </c>
      <c r="D68" s="34" t="s">
        <v>90</v>
      </c>
      <c r="E68" s="34" t="s">
        <v>91</v>
      </c>
      <c r="F68" s="34" t="s">
        <v>92</v>
      </c>
      <c r="G68" s="34" t="s">
        <v>93</v>
      </c>
      <c r="H68" s="34" t="s">
        <v>94</v>
      </c>
      <c r="I68" s="34" t="s">
        <v>95</v>
      </c>
      <c r="J68" s="34" t="s">
        <v>96</v>
      </c>
      <c r="K68" s="34" t="s">
        <v>97</v>
      </c>
      <c r="L68" s="34" t="s">
        <v>98</v>
      </c>
      <c r="M68" s="34" t="s">
        <v>99</v>
      </c>
      <c r="N68" s="34" t="s">
        <v>100</v>
      </c>
      <c r="O68" s="34" t="s">
        <v>101</v>
      </c>
      <c r="P68" s="34" t="s">
        <v>102</v>
      </c>
      <c r="Q68" s="34" t="s">
        <v>103</v>
      </c>
      <c r="R68" s="34" t="s">
        <v>104</v>
      </c>
      <c r="S68" s="34" t="s">
        <v>105</v>
      </c>
      <c r="T68" s="34" t="s">
        <v>106</v>
      </c>
      <c r="U68" s="34" t="s">
        <v>107</v>
      </c>
      <c r="V68" s="34" t="s">
        <v>108</v>
      </c>
      <c r="W68" s="34" t="s">
        <v>109</v>
      </c>
      <c r="X68" s="34" t="s">
        <v>110</v>
      </c>
      <c r="Y68" s="34" t="s">
        <v>111</v>
      </c>
      <c r="Z68" s="34" t="s">
        <v>112</v>
      </c>
      <c r="AA68" s="34" t="s">
        <v>113</v>
      </c>
      <c r="AB68" s="34" t="s">
        <v>114</v>
      </c>
      <c r="AC68" s="34" t="s">
        <v>115</v>
      </c>
      <c r="AD68" s="34" t="s">
        <v>116</v>
      </c>
      <c r="AE68" s="34" t="s">
        <v>117</v>
      </c>
      <c r="AF68" s="34"/>
    </row>
    <row r="69">
      <c r="A69" s="37" t="str">
        <f>IF($A67="", "", "IN")</f>
        <v>IN</v>
      </c>
      <c r="B69" s="45" t="str">
        <f t="array" ref="B69">IF(OR($A67="",B$68=""),"",IFNA(INDEX(DATA_LOG!$C:$C,MATCH(1,(DATA_LOG!$A:$A=$A67)*(TEXT(DATA_LOG!$B:$B,"yyyy-MM-dd")=TEXT(DATE($P$3,MONTH(1&amp;$N$3),VALUE(LEFT(B$68,2))),"yyyy-MM-dd")),0)),""))</f>
        <v/>
      </c>
      <c r="C69" s="38" t="str">
        <f t="array" ref="C69">IF(OR($A67="",C$68=""),"",IFNA(INDEX(DATA_LOG!$C:$C,MATCH(1,(DATA_LOG!$A:$A=$A67)*(TEXT(DATA_LOG!$B:$B,"yyyy-MM-dd")=TEXT(DATE($P$3,MONTH(1&amp;$N$3),VALUE(LEFT(C$68,2))),"yyyy-MM-dd")),0)),""))</f>
        <v/>
      </c>
      <c r="D69" s="39" t="str">
        <f t="array" ref="D69">IF(OR($A67="",D$5=""),"",IFNA(INDEX(DATA_LOG!$C:$C,MATCH(1,(DATA_LOG!$A:$A=$A67)*(TEXT(DATA_LOG!$B:$B,"yyyy-MM-dd")=TEXT(DATE($P$3,MONTH(1&amp;$N$3),VALUE(LEFT(D$5,2))),"yyyy-MM-dd")),0)),""))</f>
        <v/>
      </c>
      <c r="E69" s="39" t="str">
        <f t="array" ref="E69">IF(OR($A67="",E$5=""),"",IFNA(INDEX(DATA_LOG!$C:$C,MATCH(1,(DATA_LOG!$A:$A=$A67)*(TEXT(DATA_LOG!$B:$B,"yyyy-MM-dd")=TEXT(DATE($P$3,MONTH(1&amp;$N$3),VALUE(LEFT(E$5,2))),"yyyy-MM-dd")),0)),""))</f>
        <v/>
      </c>
      <c r="F69" s="39" t="str">
        <f t="array" ref="F69">IF(OR($A67="",F$5=""),"",IFNA(INDEX(DATA_LOG!$C:$C,MATCH(1,(DATA_LOG!$A:$A=$A67)*(TEXT(DATA_LOG!$B:$B,"yyyy-MM-dd")=TEXT(DATE($P$3,MONTH(1&amp;$N$3),VALUE(LEFT(F$5,2))),"yyyy-MM-dd")),0)),""))</f>
        <v/>
      </c>
      <c r="G69" s="39" t="str">
        <f t="array" ref="G69">IF(OR($A67="",G$5=""),"",IFNA(INDEX(DATA_LOG!$C:$C,MATCH(1,(DATA_LOG!$A:$A=$A67)*(TEXT(DATA_LOG!$B:$B,"yyyy-MM-dd")=TEXT(DATE($P$3,MONTH(1&amp;$N$3),VALUE(LEFT(G$5,2))),"yyyy-MM-dd")),0)),""))</f>
        <v/>
      </c>
      <c r="H69" s="39" t="str">
        <f t="array" ref="H69">IF(OR($A67="",H$5=""),"",IFNA(INDEX(DATA_LOG!$C:$C,MATCH(1,(DATA_LOG!$A:$A=$A67)*(TEXT(DATA_LOG!$B:$B,"yyyy-MM-dd")=TEXT(DATE($P$3,MONTH(1&amp;$N$3),VALUE(LEFT(H$5,2))),"yyyy-MM-dd")),0)),""))</f>
        <v/>
      </c>
      <c r="I69" s="39" t="str">
        <f t="array" ref="I69">IF(OR($A67="",I$5=""),"",IFNA(INDEX(DATA_LOG!$C:$C,MATCH(1,(DATA_LOG!$A:$A=$A67)*(TEXT(DATA_LOG!$B:$B,"yyyy-MM-dd")=TEXT(DATE($P$3,MONTH(1&amp;$N$3),VALUE(LEFT(I$5,2))),"yyyy-MM-dd")),0)),""))</f>
        <v/>
      </c>
      <c r="J69" s="39" t="str">
        <f t="array" ref="J69">IF(OR($A67="",J$5=""),"",IFNA(INDEX(DATA_LOG!$C:$C,MATCH(1,(DATA_LOG!$A:$A=$A67)*(TEXT(DATA_LOG!$B:$B,"yyyy-MM-dd")=TEXT(DATE($P$3,MONTH(1&amp;$N$3),VALUE(LEFT(J$5,2))),"yyyy-MM-dd")),0)),""))</f>
        <v/>
      </c>
      <c r="K69" s="39" t="str">
        <f t="array" ref="K69">IF(OR($A67="",K$5=""),"",IFNA(INDEX(DATA_LOG!$C:$C,MATCH(1,(DATA_LOG!$A:$A=$A67)*(TEXT(DATA_LOG!$B:$B,"yyyy-MM-dd")=TEXT(DATE($P$3,MONTH(1&amp;$N$3),VALUE(LEFT(K$5,2))),"yyyy-MM-dd")),0)),""))</f>
        <v/>
      </c>
      <c r="L69" s="39" t="str">
        <f t="array" ref="L69">IF(OR($A67="",L$5=""),"",IFNA(INDEX(DATA_LOG!$C:$C,MATCH(1,(DATA_LOG!$A:$A=$A67)*(TEXT(DATA_LOG!$B:$B,"yyyy-MM-dd")=TEXT(DATE($P$3,MONTH(1&amp;$N$3),VALUE(LEFT(L$5,2))),"yyyy-MM-dd")),0)),""))</f>
        <v/>
      </c>
      <c r="M69" s="39" t="str">
        <f t="array" ref="M69">IF(OR($A67="",M$5=""),"",IFNA(INDEX(DATA_LOG!$C:$C,MATCH(1,(DATA_LOG!$A:$A=$A67)*(TEXT(DATA_LOG!$B:$B,"yyyy-MM-dd")=TEXT(DATE($P$3,MONTH(1&amp;$N$3),VALUE(LEFT(M$5,2))),"yyyy-MM-dd")),0)),""))</f>
        <v/>
      </c>
      <c r="N69" s="39" t="str">
        <f t="array" ref="N69">IF(OR($A67="",N$5=""),"",IFNA(INDEX(DATA_LOG!$C:$C,MATCH(1,(DATA_LOG!$A:$A=$A67)*(TEXT(DATA_LOG!$B:$B,"yyyy-MM-dd")=TEXT(DATE($P$3,MONTH(1&amp;$N$3),VALUE(LEFT(N$5,2))),"yyyy-MM-dd")),0)),""))</f>
        <v/>
      </c>
      <c r="O69" s="39" t="str">
        <f t="array" ref="O69">IF(OR($A67="",O$5=""),"",IFNA(INDEX(DATA_LOG!$C:$C,MATCH(1,(DATA_LOG!$A:$A=$A67)*(TEXT(DATA_LOG!$B:$B,"yyyy-MM-dd")=TEXT(DATE($P$3,MONTH(1&amp;$N$3),VALUE(LEFT(O$5,2))),"yyyy-MM-dd")),0)),""))</f>
        <v/>
      </c>
      <c r="P69" s="39" t="str">
        <f t="array" ref="P69">IF(OR($A67="",P$5=""),"",IFNA(INDEX(DATA_LOG!$C:$C,MATCH(1,(DATA_LOG!$A:$A=$A67)*(TEXT(DATA_LOG!$B:$B,"yyyy-MM-dd")=TEXT(DATE($P$3,MONTH(1&amp;$N$3),VALUE(LEFT(P$5,2))),"yyyy-MM-dd")),0)),""))</f>
        <v/>
      </c>
      <c r="Q69" s="39" t="str">
        <f t="array" ref="Q69">IF(OR($A67="",Q$5=""),"",IFNA(INDEX(DATA_LOG!$C:$C,MATCH(1,(DATA_LOG!$A:$A=$A67)*(TEXT(DATA_LOG!$B:$B,"yyyy-MM-dd")=TEXT(DATE($P$3,MONTH(1&amp;$N$3),VALUE(LEFT(Q$5,2))),"yyyy-MM-dd")),0)),""))</f>
        <v/>
      </c>
      <c r="R69" s="39" t="str">
        <f t="array" ref="R69">IF(OR($A67="",R$5=""),"",IFNA(INDEX(DATA_LOG!$C:$C,MATCH(1,(DATA_LOG!$A:$A=$A67)*(TEXT(DATA_LOG!$B:$B,"yyyy-MM-dd")=TEXT(DATE($P$3,MONTH(1&amp;$N$3),VALUE(LEFT(R$5,2))),"yyyy-MM-dd")),0)),""))</f>
        <v/>
      </c>
      <c r="S69" s="39" t="str">
        <f t="array" ref="S69">IF(OR($A67="",S$5=""),"",IFNA(INDEX(DATA_LOG!$C:$C,MATCH(1,(DATA_LOG!$A:$A=$A67)*(TEXT(DATA_LOG!$B:$B,"yyyy-MM-dd")=TEXT(DATE($P$3,MONTH(1&amp;$N$3),VALUE(LEFT(S$5,2))),"yyyy-MM-dd")),0)),""))</f>
        <v/>
      </c>
      <c r="T69" s="39" t="str">
        <f t="array" ref="T69">IF(OR($A67="",T$5=""),"",IFNA(INDEX(DATA_LOG!$C:$C,MATCH(1,(DATA_LOG!$A:$A=$A67)*(TEXT(DATA_LOG!$B:$B,"yyyy-MM-dd")=TEXT(DATE($P$3,MONTH(1&amp;$N$3),VALUE(LEFT(T$5,2))),"yyyy-MM-dd")),0)),""))</f>
        <v/>
      </c>
      <c r="U69" s="39" t="str">
        <f t="array" ref="U69">IF(OR($A67="",U$5=""),"",IFNA(INDEX(DATA_LOG!$C:$C,MATCH(1,(DATA_LOG!$A:$A=$A67)*(TEXT(DATA_LOG!$B:$B,"yyyy-MM-dd")=TEXT(DATE($P$3,MONTH(1&amp;$N$3),VALUE(LEFT(U$5,2))),"yyyy-MM-dd")),0)),""))</f>
        <v/>
      </c>
      <c r="V69" s="39" t="str">
        <f t="array" ref="V69">IF(OR($A67="",V$5=""),"",IFNA(INDEX(DATA_LOG!$C:$C,MATCH(1,(DATA_LOG!$A:$A=$A67)*(TEXT(DATA_LOG!$B:$B,"yyyy-MM-dd")=TEXT(DATE($P$3,MONTH(1&amp;$N$3),VALUE(LEFT(V$5,2))),"yyyy-MM-dd")),0)),""))</f>
        <v/>
      </c>
      <c r="W69" s="39" t="str">
        <f t="array" ref="W69">IF(OR($A67="",W$5=""),"",IFNA(INDEX(DATA_LOG!$C:$C,MATCH(1,(DATA_LOG!$A:$A=$A67)*(TEXT(DATA_LOG!$B:$B,"yyyy-MM-dd")=TEXT(DATE($P$3,MONTH(1&amp;$N$3),VALUE(LEFT(W$5,2))),"yyyy-MM-dd")),0)),""))</f>
        <v/>
      </c>
      <c r="X69" s="39" t="str">
        <f t="array" ref="X69">IF(OR($A67="",X$5=""),"",IFNA(INDEX(DATA_LOG!$C:$C,MATCH(1,(DATA_LOG!$A:$A=$A67)*(TEXT(DATA_LOG!$B:$B,"yyyy-MM-dd")=TEXT(DATE($P$3,MONTH(1&amp;$N$3),VALUE(LEFT(X$5,2))),"yyyy-MM-dd")),0)),""))</f>
        <v/>
      </c>
      <c r="Y69" s="39" t="str">
        <f t="array" ref="Y69">IF(OR($A67="",Y$5=""),"",IFNA(INDEX(DATA_LOG!$C:$C,MATCH(1,(DATA_LOG!$A:$A=$A67)*(TEXT(DATA_LOG!$B:$B,"yyyy-MM-dd")=TEXT(DATE($P$3,MONTH(1&amp;$N$3),VALUE(LEFT(Y$5,2))),"yyyy-MM-dd")),0)),""))</f>
        <v/>
      </c>
      <c r="Z69" s="39" t="str">
        <f t="array" ref="Z69">IF(OR($A67="",Z$5=""),"",IFNA(INDEX(DATA_LOG!$C:$C,MATCH(1,(DATA_LOG!$A:$A=$A67)*(TEXT(DATA_LOG!$B:$B,"yyyy-MM-dd")=TEXT(DATE($P$3,MONTH(1&amp;$N$3),VALUE(LEFT(Z$5,2))),"yyyy-MM-dd")),0)),""))</f>
        <v/>
      </c>
      <c r="AA69" s="39" t="str">
        <f t="array" ref="AA69">IF(OR($A67="",AA$5=""),"",IFNA(INDEX(DATA_LOG!$C:$C,MATCH(1,(DATA_LOG!$A:$A=$A67)*(TEXT(DATA_LOG!$B:$B,"yyyy-MM-dd")=TEXT(DATE($P$3,MONTH(1&amp;$N$3),VALUE(LEFT(AA$5,2))),"yyyy-MM-dd")),0)),""))</f>
        <v/>
      </c>
      <c r="AB69" s="39" t="str">
        <f t="array" ref="AB69">IF(OR($A67="",AB$5=""),"",IFNA(INDEX(DATA_LOG!$C:$C,MATCH(1,(DATA_LOG!$A:$A=$A67)*(TEXT(DATA_LOG!$B:$B,"yyyy-MM-dd")=TEXT(DATE($P$3,MONTH(1&amp;$N$3),VALUE(LEFT(AB$5,2))),"yyyy-MM-dd")),0)),""))</f>
        <v/>
      </c>
      <c r="AC69" s="39" t="str">
        <f t="array" ref="AC69">IF(OR($A67="",AC$5=""),"",IFNA(INDEX(DATA_LOG!$C:$C,MATCH(1,(DATA_LOG!$A:$A=$A67)*(TEXT(DATA_LOG!$B:$B,"yyyy-MM-dd")=TEXT(DATE($P$3,MONTH(1&amp;$N$3),VALUE(LEFT(AC$5,2))),"yyyy-MM-dd")),0)),""))</f>
        <v/>
      </c>
      <c r="AD69" s="39" t="str">
        <f t="array" ref="AD69">IF(OR($A67="",AD$5=""),"",IFNA(INDEX(DATA_LOG!$C:$C,MATCH(1,(DATA_LOG!$A:$A=$A67)*(TEXT(DATA_LOG!$B:$B,"yyyy-MM-dd")=TEXT(DATE($P$3,MONTH(1&amp;$N$3),VALUE(LEFT(AD$5,2))),"yyyy-MM-dd")),0)),""))</f>
        <v/>
      </c>
      <c r="AE69" s="39" t="str">
        <f t="array" ref="AE69">IF(OR($A67="",AE$5=""),"",IFNA(INDEX(DATA_LOG!$C:$C,MATCH(1,(DATA_LOG!$A:$A=$A67)*(TEXT(DATA_LOG!$B:$B,"yyyy-MM-dd")=TEXT(DATE($P$3,MONTH(1&amp;$N$3),VALUE(LEFT(AE$5,2))),"yyyy-MM-dd")),0)),""))</f>
        <v/>
      </c>
      <c r="AF69" s="39" t="str">
        <f t="array" ref="AF69">IF(OR($A67="",AF$5=""),"",IFNA(INDEX(DATA_LOG!$C:$C,MATCH(1,(DATA_LOG!$A:$A=$A67)*(TEXT(DATA_LOG!$B:$B,"yyyy-MM-dd")=TEXT(DATE($P$3,MONTH(1&amp;$N$3),VALUE(LEFT(AF$5,2))),"yyyy-MM-dd")),0)),""))</f>
        <v/>
      </c>
    </row>
    <row r="70">
      <c r="A70" s="37" t="str">
        <f>IF($A67="", "", "OUT")</f>
        <v>OUT</v>
      </c>
      <c r="B70" s="45" t="str">
        <f t="array" ref="B70">IF(OR($A67="",B$68=""),"",IFNA(INDEX(DATA_LOG!$D:$D,MATCH(1,(DATA_LOG!$A:$A=$A67)*(TEXT(DATA_LOG!$B:$B,"yyyy-MM-dd")=TEXT(DATE($P$3,MONTH(1&amp;$N$3),VALUE(LEFT(B$68,2))),"yyyy-MM-dd")),0)),""))</f>
        <v/>
      </c>
      <c r="C70" s="38" t="str">
        <f t="array" ref="C70">IF(OR($A67="",C$68=""),"",IFNA(INDEX(DATA_LOG!$D:$D,MATCH(1,(DATA_LOG!$A:$A=$A67)*(TEXT(DATA_LOG!$B:$B,"yyyy-MM-dd")=TEXT(DATE($P$3,MONTH(1&amp;$N$3),VALUE(LEFT(C$68,2))),"yyyy-MM-dd")),0)),""))</f>
        <v/>
      </c>
      <c r="D70" s="39" t="str">
        <f t="array" ref="D70">IF(OR($A67="",D$5=""),"",IFNA(INDEX(DATA_LOG!$D:$D,MATCH(1,(DATA_LOG!$A:$A=$A67)*(TEXT(DATA_LOG!$B:$B,"yyyy-MM-dd")=TEXT(DATE($P$3,MONTH(1&amp;$N$3),VALUE(LEFT(D$5,2))),"yyyy-MM-dd")),0)),""))</f>
        <v/>
      </c>
      <c r="E70" s="39" t="str">
        <f t="array" ref="E70">IF(OR($A67="",E$5=""),"",IFNA(INDEX(DATA_LOG!$D:$D,MATCH(1,(DATA_LOG!$A:$A=$A67)*(TEXT(DATA_LOG!$B:$B,"yyyy-MM-dd")=TEXT(DATE($P$3,MONTH(1&amp;$N$3),VALUE(LEFT(E$5,2))),"yyyy-MM-dd")),0)),""))</f>
        <v/>
      </c>
      <c r="F70" s="39" t="str">
        <f t="array" ref="F70">IF(OR($A67="",F$5=""),"",IFNA(INDEX(DATA_LOG!$D:$D,MATCH(1,(DATA_LOG!$A:$A=$A67)*(TEXT(DATA_LOG!$B:$B,"yyyy-MM-dd")=TEXT(DATE($P$3,MONTH(1&amp;$N$3),VALUE(LEFT(F$5,2))),"yyyy-MM-dd")),0)),""))</f>
        <v/>
      </c>
      <c r="G70" s="39" t="str">
        <f t="array" ref="G70">IF(OR($A67="",G$5=""),"",IFNA(INDEX(DATA_LOG!$D:$D,MATCH(1,(DATA_LOG!$A:$A=$A67)*(TEXT(DATA_LOG!$B:$B,"yyyy-MM-dd")=TEXT(DATE($P$3,MONTH(1&amp;$N$3),VALUE(LEFT(G$5,2))),"yyyy-MM-dd")),0)),""))</f>
        <v/>
      </c>
      <c r="H70" s="39" t="str">
        <f t="array" ref="H70">IF(OR($A67="",H$5=""),"",IFNA(INDEX(DATA_LOG!$D:$D,MATCH(1,(DATA_LOG!$A:$A=$A67)*(TEXT(DATA_LOG!$B:$B,"yyyy-MM-dd")=TEXT(DATE($P$3,MONTH(1&amp;$N$3),VALUE(LEFT(H$5,2))),"yyyy-MM-dd")),0)),""))</f>
        <v/>
      </c>
      <c r="I70" s="39" t="str">
        <f t="array" ref="I70">IF(OR($A67="",I$5=""),"",IFNA(INDEX(DATA_LOG!$D:$D,MATCH(1,(DATA_LOG!$A:$A=$A67)*(TEXT(DATA_LOG!$B:$B,"yyyy-MM-dd")=TEXT(DATE($P$3,MONTH(1&amp;$N$3),VALUE(LEFT(I$5,2))),"yyyy-MM-dd")),0)),""))</f>
        <v/>
      </c>
      <c r="J70" s="39" t="str">
        <f t="array" ref="J70">IF(OR($A67="",J$5=""),"",IFNA(INDEX(DATA_LOG!$D:$D,MATCH(1,(DATA_LOG!$A:$A=$A67)*(TEXT(DATA_LOG!$B:$B,"yyyy-MM-dd")=TEXT(DATE($P$3,MONTH(1&amp;$N$3),VALUE(LEFT(J$5,2))),"yyyy-MM-dd")),0)),""))</f>
        <v/>
      </c>
      <c r="K70" s="39" t="str">
        <f t="array" ref="K70">IF(OR($A67="",K$5=""),"",IFNA(INDEX(DATA_LOG!$D:$D,MATCH(1,(DATA_LOG!$A:$A=$A67)*(TEXT(DATA_LOG!$B:$B,"yyyy-MM-dd")=TEXT(DATE($P$3,MONTH(1&amp;$N$3),VALUE(LEFT(K$5,2))),"yyyy-MM-dd")),0)),""))</f>
        <v/>
      </c>
      <c r="L70" s="39" t="str">
        <f t="array" ref="L70">IF(OR($A67="",L$5=""),"",IFNA(INDEX(DATA_LOG!$D:$D,MATCH(1,(DATA_LOG!$A:$A=$A67)*(TEXT(DATA_LOG!$B:$B,"yyyy-MM-dd")=TEXT(DATE($P$3,MONTH(1&amp;$N$3),VALUE(LEFT(L$5,2))),"yyyy-MM-dd")),0)),""))</f>
        <v/>
      </c>
      <c r="M70" s="39" t="str">
        <f t="array" ref="M70">IF(OR($A67="",M$5=""),"",IFNA(INDEX(DATA_LOG!$D:$D,MATCH(1,(DATA_LOG!$A:$A=$A67)*(TEXT(DATA_LOG!$B:$B,"yyyy-MM-dd")=TEXT(DATE($P$3,MONTH(1&amp;$N$3),VALUE(LEFT(M$5,2))),"yyyy-MM-dd")),0)),""))</f>
        <v/>
      </c>
      <c r="N70" s="39" t="str">
        <f t="array" ref="N70">IF(OR($A67="",N$5=""),"",IFNA(INDEX(DATA_LOG!$D:$D,MATCH(1,(DATA_LOG!$A:$A=$A67)*(TEXT(DATA_LOG!$B:$B,"yyyy-MM-dd")=TEXT(DATE($P$3,MONTH(1&amp;$N$3),VALUE(LEFT(N$5,2))),"yyyy-MM-dd")),0)),""))</f>
        <v/>
      </c>
      <c r="O70" s="39" t="str">
        <f t="array" ref="O70">IF(OR($A67="",O$5=""),"",IFNA(INDEX(DATA_LOG!$D:$D,MATCH(1,(DATA_LOG!$A:$A=$A67)*(TEXT(DATA_LOG!$B:$B,"yyyy-MM-dd")=TEXT(DATE($P$3,MONTH(1&amp;$N$3),VALUE(LEFT(O$5,2))),"yyyy-MM-dd")),0)),""))</f>
        <v/>
      </c>
      <c r="P70" s="39" t="str">
        <f t="array" ref="P70">IF(OR($A67="",P$5=""),"",IFNA(INDEX(DATA_LOG!$D:$D,MATCH(1,(DATA_LOG!$A:$A=$A67)*(TEXT(DATA_LOG!$B:$B,"yyyy-MM-dd")=TEXT(DATE($P$3,MONTH(1&amp;$N$3),VALUE(LEFT(P$5,2))),"yyyy-MM-dd")),0)),""))</f>
        <v/>
      </c>
      <c r="Q70" s="39" t="str">
        <f t="array" ref="Q70">IF(OR($A67="",Q$5=""),"",IFNA(INDEX(DATA_LOG!$D:$D,MATCH(1,(DATA_LOG!$A:$A=$A67)*(TEXT(DATA_LOG!$B:$B,"yyyy-MM-dd")=TEXT(DATE($P$3,MONTH(1&amp;$N$3),VALUE(LEFT(Q$5,2))),"yyyy-MM-dd")),0)),""))</f>
        <v/>
      </c>
      <c r="R70" s="39" t="str">
        <f t="array" ref="R70">IF(OR($A67="",R$5=""),"",IFNA(INDEX(DATA_LOG!$D:$D,MATCH(1,(DATA_LOG!$A:$A=$A67)*(TEXT(DATA_LOG!$B:$B,"yyyy-MM-dd")=TEXT(DATE($P$3,MONTH(1&amp;$N$3),VALUE(LEFT(R$5,2))),"yyyy-MM-dd")),0)),""))</f>
        <v/>
      </c>
      <c r="S70" s="39" t="str">
        <f t="array" ref="S70">IF(OR($A67="",S$5=""),"",IFNA(INDEX(DATA_LOG!$D:$D,MATCH(1,(DATA_LOG!$A:$A=$A67)*(TEXT(DATA_LOG!$B:$B,"yyyy-MM-dd")=TEXT(DATE($P$3,MONTH(1&amp;$N$3),VALUE(LEFT(S$5,2))),"yyyy-MM-dd")),0)),""))</f>
        <v/>
      </c>
      <c r="T70" s="39" t="str">
        <f t="array" ref="T70">IF(OR($A67="",T$5=""),"",IFNA(INDEX(DATA_LOG!$D:$D,MATCH(1,(DATA_LOG!$A:$A=$A67)*(TEXT(DATA_LOG!$B:$B,"yyyy-MM-dd")=TEXT(DATE($P$3,MONTH(1&amp;$N$3),VALUE(LEFT(T$5,2))),"yyyy-MM-dd")),0)),""))</f>
        <v/>
      </c>
      <c r="U70" s="39" t="str">
        <f t="array" ref="U70">IF(OR($A67="",U$5=""),"",IFNA(INDEX(DATA_LOG!$D:$D,MATCH(1,(DATA_LOG!$A:$A=$A67)*(TEXT(DATA_LOG!$B:$B,"yyyy-MM-dd")=TEXT(DATE($P$3,MONTH(1&amp;$N$3),VALUE(LEFT(U$5,2))),"yyyy-MM-dd")),0)),""))</f>
        <v/>
      </c>
      <c r="V70" s="39" t="str">
        <f t="array" ref="V70">IF(OR($A67="",V$5=""),"",IFNA(INDEX(DATA_LOG!$D:$D,MATCH(1,(DATA_LOG!$A:$A=$A67)*(TEXT(DATA_LOG!$B:$B,"yyyy-MM-dd")=TEXT(DATE($P$3,MONTH(1&amp;$N$3),VALUE(LEFT(V$5,2))),"yyyy-MM-dd")),0)),""))</f>
        <v/>
      </c>
      <c r="W70" s="39" t="str">
        <f t="array" ref="W70">IF(OR($A67="",W$5=""),"",IFNA(INDEX(DATA_LOG!$D:$D,MATCH(1,(DATA_LOG!$A:$A=$A67)*(TEXT(DATA_LOG!$B:$B,"yyyy-MM-dd")=TEXT(DATE($P$3,MONTH(1&amp;$N$3),VALUE(LEFT(W$5,2))),"yyyy-MM-dd")),0)),""))</f>
        <v/>
      </c>
      <c r="X70" s="39" t="str">
        <f t="array" ref="X70">IF(OR($A67="",X$5=""),"",IFNA(INDEX(DATA_LOG!$D:$D,MATCH(1,(DATA_LOG!$A:$A=$A67)*(TEXT(DATA_LOG!$B:$B,"yyyy-MM-dd")=TEXT(DATE($P$3,MONTH(1&amp;$N$3),VALUE(LEFT(X$5,2))),"yyyy-MM-dd")),0)),""))</f>
        <v/>
      </c>
      <c r="Y70" s="39" t="str">
        <f t="array" ref="Y70">IF(OR($A67="",Y$5=""),"",IFNA(INDEX(DATA_LOG!$D:$D,MATCH(1,(DATA_LOG!$A:$A=$A67)*(TEXT(DATA_LOG!$B:$B,"yyyy-MM-dd")=TEXT(DATE($P$3,MONTH(1&amp;$N$3),VALUE(LEFT(Y$5,2))),"yyyy-MM-dd")),0)),""))</f>
        <v/>
      </c>
      <c r="Z70" s="39" t="str">
        <f t="array" ref="Z70">IF(OR($A67="",Z$5=""),"",IFNA(INDEX(DATA_LOG!$D:$D,MATCH(1,(DATA_LOG!$A:$A=$A67)*(TEXT(DATA_LOG!$B:$B,"yyyy-MM-dd")=TEXT(DATE($P$3,MONTH(1&amp;$N$3),VALUE(LEFT(Z$5,2))),"yyyy-MM-dd")),0)),""))</f>
        <v/>
      </c>
      <c r="AA70" s="39" t="str">
        <f t="array" ref="AA70">IF(OR($A67="",AA$5=""),"",IFNA(INDEX(DATA_LOG!$D:$D,MATCH(1,(DATA_LOG!$A:$A=$A67)*(TEXT(DATA_LOG!$B:$B,"yyyy-MM-dd")=TEXT(DATE($P$3,MONTH(1&amp;$N$3),VALUE(LEFT(AA$5,2))),"yyyy-MM-dd")),0)),""))</f>
        <v/>
      </c>
      <c r="AB70" s="39" t="str">
        <f t="array" ref="AB70">IF(OR($A67="",AB$5=""),"",IFNA(INDEX(DATA_LOG!$D:$D,MATCH(1,(DATA_LOG!$A:$A=$A67)*(TEXT(DATA_LOG!$B:$B,"yyyy-MM-dd")=TEXT(DATE($P$3,MONTH(1&amp;$N$3),VALUE(LEFT(AB$5,2))),"yyyy-MM-dd")),0)),""))</f>
        <v/>
      </c>
      <c r="AC70" s="39" t="str">
        <f t="array" ref="AC70">IF(OR($A67="",AC$5=""),"",IFNA(INDEX(DATA_LOG!$D:$D,MATCH(1,(DATA_LOG!$A:$A=$A67)*(TEXT(DATA_LOG!$B:$B,"yyyy-MM-dd")=TEXT(DATE($P$3,MONTH(1&amp;$N$3),VALUE(LEFT(AC$5,2))),"yyyy-MM-dd")),0)),""))</f>
        <v/>
      </c>
      <c r="AD70" s="39" t="str">
        <f t="array" ref="AD70">IF(OR($A67="",AD$5=""),"",IFNA(INDEX(DATA_LOG!$D:$D,MATCH(1,(DATA_LOG!$A:$A=$A67)*(TEXT(DATA_LOG!$B:$B,"yyyy-MM-dd")=TEXT(DATE($P$3,MONTH(1&amp;$N$3),VALUE(LEFT(AD$5,2))),"yyyy-MM-dd")),0)),""))</f>
        <v/>
      </c>
      <c r="AE70" s="39" t="str">
        <f t="array" ref="AE70">IF(OR($A67="",AE$5=""),"",IFNA(INDEX(DATA_LOG!$D:$D,MATCH(1,(DATA_LOG!$A:$A=$A67)*(TEXT(DATA_LOG!$B:$B,"yyyy-MM-dd")=TEXT(DATE($P$3,MONTH(1&amp;$N$3),VALUE(LEFT(AE$5,2))),"yyyy-MM-dd")),0)),""))</f>
        <v/>
      </c>
      <c r="AF70" s="39" t="str">
        <f t="array" ref="AF70">IF(OR($A67="",AF$5=""),"",IFNA(INDEX(DATA_LOG!$D:$D,MATCH(1,(DATA_LOG!$A:$A=$A67)*(TEXT(DATA_LOG!$B:$B,"yyyy-MM-dd")=TEXT(DATE($P$3,MONTH(1&amp;$N$3),VALUE(LEFT(AF$5,2))),"yyyy-MM-dd")),0)),""))</f>
        <v/>
      </c>
    </row>
    <row r="71">
      <c r="A71" s="40" t="str">
        <f>IF($A67="", "", "TOTAL")</f>
        <v>TOTAL</v>
      </c>
      <c r="B71" s="41" t="str">
        <f>IF(AND(B62&lt;&gt;"",B63&lt;&gt;""),TEXT(MOD(B63-B62,1),"hh:mm"),"")</f>
        <v/>
      </c>
      <c r="C71" s="34" t="str">
        <f t="shared" ref="C71:AF71" si="10">IF(OR(C69="",C70=""),"",C70-C69)</f>
        <v/>
      </c>
      <c r="D71" s="34" t="str">
        <f t="shared" si="10"/>
        <v/>
      </c>
      <c r="E71" s="34" t="str">
        <f t="shared" si="10"/>
        <v/>
      </c>
      <c r="F71" s="34" t="str">
        <f t="shared" si="10"/>
        <v/>
      </c>
      <c r="G71" s="34" t="str">
        <f t="shared" si="10"/>
        <v/>
      </c>
      <c r="H71" s="34" t="str">
        <f t="shared" si="10"/>
        <v/>
      </c>
      <c r="I71" s="34" t="str">
        <f t="shared" si="10"/>
        <v/>
      </c>
      <c r="J71" s="34" t="str">
        <f t="shared" si="10"/>
        <v/>
      </c>
      <c r="K71" s="34" t="str">
        <f t="shared" si="10"/>
        <v/>
      </c>
      <c r="L71" s="34" t="str">
        <f t="shared" si="10"/>
        <v/>
      </c>
      <c r="M71" s="34" t="str">
        <f t="shared" si="10"/>
        <v/>
      </c>
      <c r="N71" s="34" t="str">
        <f t="shared" si="10"/>
        <v/>
      </c>
      <c r="O71" s="34" t="str">
        <f t="shared" si="10"/>
        <v/>
      </c>
      <c r="P71" s="34" t="str">
        <f t="shared" si="10"/>
        <v/>
      </c>
      <c r="Q71" s="34" t="str">
        <f t="shared" si="10"/>
        <v/>
      </c>
      <c r="R71" s="34" t="str">
        <f t="shared" si="10"/>
        <v/>
      </c>
      <c r="S71" s="34" t="str">
        <f t="shared" si="10"/>
        <v/>
      </c>
      <c r="T71" s="34" t="str">
        <f t="shared" si="10"/>
        <v/>
      </c>
      <c r="U71" s="34" t="str">
        <f t="shared" si="10"/>
        <v/>
      </c>
      <c r="V71" s="34" t="str">
        <f t="shared" si="10"/>
        <v/>
      </c>
      <c r="W71" s="34" t="str">
        <f t="shared" si="10"/>
        <v/>
      </c>
      <c r="X71" s="34" t="str">
        <f t="shared" si="10"/>
        <v/>
      </c>
      <c r="Y71" s="34" t="str">
        <f t="shared" si="10"/>
        <v/>
      </c>
      <c r="Z71" s="34" t="str">
        <f t="shared" si="10"/>
        <v/>
      </c>
      <c r="AA71" s="34" t="str">
        <f t="shared" si="10"/>
        <v/>
      </c>
      <c r="AB71" s="34" t="str">
        <f t="shared" si="10"/>
        <v/>
      </c>
      <c r="AC71" s="34" t="str">
        <f t="shared" si="10"/>
        <v/>
      </c>
      <c r="AD71" s="34" t="str">
        <f t="shared" si="10"/>
        <v/>
      </c>
      <c r="AE71" s="34" t="str">
        <f t="shared" si="10"/>
        <v/>
      </c>
      <c r="AF71" s="34" t="str">
        <f t="shared" si="10"/>
        <v/>
      </c>
    </row>
    <row r="72">
      <c r="A72" s="42" t="str">
        <f>IF($A67="", "", "STATUS")</f>
        <v>STATUS</v>
      </c>
      <c r="B72" s="43" t="str">
        <f>IFERROR(__xludf.DUMMYFUNCTION("IF($A67="""","""",IF(B$68="""","""",LET(logStatus,IFNA(INDEX(DATA_LOG!$E:$E,MATCH(1,(DATA_LOG!$A:$A=$A67)*(TEXT(DATA_LOG!$B:$B,""yyyy-MM-dd"")=TEXT(DATE($P$3,MONTH(1&amp;$N$3),VALUE(LEFT(B$68,2))),""yyyy-MM-dd"")),0)),""""),selectedDate,DATE($P$3,MONTH(1&amp;$N$3"&amp;"),VALUE(LEFT(B$68,2))),IF(logStatus&lt;&gt;"""",UPPER(logStatus),IF(selectedDate&gt;TODAY(),""-"",IF(REGEXMATCH(B$68,""SUN""),""WO"",IF(B$71&lt;&gt;"""",IF(VALUE(B$71)&gt;=9/24,""FD"",""HD""),""A"")))))))"),"A")</f>
        <v>A</v>
      </c>
      <c r="C72" s="43" t="str">
        <f>IFERROR(__xludf.DUMMYFUNCTION("IF($A67="""","""",IF(C$68="""","""",LET(logStatus,IFNA(INDEX(DATA_LOG!$E:$E,MATCH(1,(DATA_LOG!$A:$A=$A67)*(TEXT(DATA_LOG!$B:$B,""yyyy-MM-dd"")=TEXT(DATE($P$3,MONTH(1&amp;$N$3),VALUE(LEFT(C$68,2))),""yyyy-MM-dd"")),0)),""""),selectedDate,DATE($P$3,MONTH(1&amp;$N$3"&amp;"),VALUE(LEFT(C$68,2))),IF(logStatus&lt;&gt;"""",UPPER(logStatus),IF(selectedDate&gt;TODAY(),""-"",IF(REGEXMATCH(C$68,""SUN""),""WO"",IF(C$71&lt;&gt;"""",IF(VALUE(C$71)&gt;=9/24,""FD"",""HD""),""A"")))))))"),"A")</f>
        <v>A</v>
      </c>
      <c r="D72" s="43" t="str">
        <f>IFERROR(__xludf.DUMMYFUNCTION("IF($A67="""","""",IF(D$68="""","""",LET(logStatus,IFNA(INDEX(DATA_LOG!$E:$E,MATCH(1,(DATA_LOG!$A:$A=$A67)*(TEXT(DATA_LOG!$B:$B,""yyyy-MM-dd"")=TEXT(DATE($P$3,MONTH(1&amp;$N$3),VALUE(LEFT(D$68,2))),""yyyy-MM-dd"")),0)),""""),selectedDate,DATE($P$3,MONTH(1&amp;$N$3"&amp;"),VALUE(LEFT(D$68,2))),IF(logStatus&lt;&gt;"""",UPPER(logStatus),IF(selectedDate&gt;TODAY(),""-"",IF(REGEXMATCH(D$68,""SUN""),""WO"",IF(D$71&lt;&gt;"""",IF(VALUE(D$71)&gt;=9/24,""FD"",""HD""),""A"")))))))"),"A")</f>
        <v>A</v>
      </c>
      <c r="E72" s="43" t="str">
        <f>IFERROR(__xludf.DUMMYFUNCTION("IF($A67="""","""",IF(E$68="""","""",LET(logStatus,IFNA(INDEX(DATA_LOG!$E:$E,MATCH(1,(DATA_LOG!$A:$A=$A67)*(TEXT(DATA_LOG!$B:$B,""yyyy-MM-dd"")=TEXT(DATE($P$3,MONTH(1&amp;$N$3),VALUE(LEFT(E$68,2))),""yyyy-MM-dd"")),0)),""""),selectedDate,DATE($P$3,MONTH(1&amp;$N$3"&amp;"),VALUE(LEFT(E$68,2))),IF(logStatus&lt;&gt;"""",UPPER(logStatus),IF(selectedDate&gt;TODAY(),""-"",IF(REGEXMATCH(E$68,""SUN""),""WO"",IF(E$71&lt;&gt;"""",IF(VALUE(E$71)&gt;=9/24,""FD"",""HD""),""A"")))))))"),"A")</f>
        <v>A</v>
      </c>
      <c r="F72" s="43" t="str">
        <f>IFERROR(__xludf.DUMMYFUNCTION("IF($A67="""","""",IF(F$68="""","""",LET(logStatus,IFNA(INDEX(DATA_LOG!$E:$E,MATCH(1,(DATA_LOG!$A:$A=$A67)*(TEXT(DATA_LOG!$B:$B,""yyyy-MM-dd"")=TEXT(DATE($P$3,MONTH(1&amp;$N$3),VALUE(LEFT(F$68,2))),""yyyy-MM-dd"")),0)),""""),selectedDate,DATE($P$3,MONTH(1&amp;$N$3"&amp;"),VALUE(LEFT(F$68,2))),IF(logStatus&lt;&gt;"""",UPPER(logStatus),IF(selectedDate&gt;TODAY(),""-"",IF(REGEXMATCH(F$68,""SUN""),""WO"",IF(F$71&lt;&gt;"""",IF(VALUE(F$71)&gt;=9/24,""FD"",""HD""),""A"")))))))"),"A")</f>
        <v>A</v>
      </c>
      <c r="G72" s="43" t="str">
        <f>IFERROR(__xludf.DUMMYFUNCTION("IF($A67="""","""",IF(G$68="""","""",LET(logStatus,IFNA(INDEX(DATA_LOG!$E:$E,MATCH(1,(DATA_LOG!$A:$A=$A67)*(TEXT(DATA_LOG!$B:$B,""yyyy-MM-dd"")=TEXT(DATE($P$3,MONTH(1&amp;$N$3),VALUE(LEFT(G$68,2))),""yyyy-MM-dd"")),0)),""""),selectedDate,DATE($P$3,MONTH(1&amp;$N$3"&amp;"),VALUE(LEFT(G$68,2))),IF(logStatus&lt;&gt;"""",UPPER(logStatus),IF(selectedDate&gt;TODAY(),""-"",IF(REGEXMATCH(G$68,""SUN""),""WO"",IF(G$71&lt;&gt;"""",IF(VALUE(G$71)&gt;=9/24,""FD"",""HD""),""A"")))))))"),"WO")</f>
        <v>WO</v>
      </c>
      <c r="H72" s="43" t="str">
        <f>IFERROR(__xludf.DUMMYFUNCTION("IF($A67="""","""",IF(H$68="""","""",LET(logStatus,IFNA(INDEX(DATA_LOG!$E:$E,MATCH(1,(DATA_LOG!$A:$A=$A67)*(TEXT(DATA_LOG!$B:$B,""yyyy-MM-dd"")=TEXT(DATE($P$3,MONTH(1&amp;$N$3),VALUE(LEFT(H$68,2))),""yyyy-MM-dd"")),0)),""""),selectedDate,DATE($P$3,MONTH(1&amp;$N$3"&amp;"),VALUE(LEFT(H$68,2))),IF(logStatus&lt;&gt;"""",UPPER(logStatus),IF(selectedDate&gt;TODAY(),""-"",IF(REGEXMATCH(H$68,""SUN""),""WO"",IF(H$71&lt;&gt;"""",IF(VALUE(H$71)&gt;=9/24,""FD"",""HD""),""A"")))))))"),"A")</f>
        <v>A</v>
      </c>
      <c r="I72" s="43" t="str">
        <f>IFERROR(__xludf.DUMMYFUNCTION("IF($A67="""","""",IF(I$68="""","""",LET(logStatus,IFNA(INDEX(DATA_LOG!$E:$E,MATCH(1,(DATA_LOG!$A:$A=$A67)*(TEXT(DATA_LOG!$B:$B,""yyyy-MM-dd"")=TEXT(DATE($P$3,MONTH(1&amp;$N$3),VALUE(LEFT(I$68,2))),""yyyy-MM-dd"")),0)),""""),selectedDate,DATE($P$3,MONTH(1&amp;$N$3"&amp;"),VALUE(LEFT(I$68,2))),IF(logStatus&lt;&gt;"""",UPPER(logStatus),IF(selectedDate&gt;TODAY(),""-"",IF(REGEXMATCH(I$68,""SUN""),""WO"",IF(I$71&lt;&gt;"""",IF(VALUE(I$71)&gt;=9/24,""FD"",""HD""),""A"")))))))"),"A")</f>
        <v>A</v>
      </c>
      <c r="J72" s="43" t="str">
        <f>IFERROR(__xludf.DUMMYFUNCTION("IF($A67="""","""",IF(J$68="""","""",LET(logStatus,IFNA(INDEX(DATA_LOG!$E:$E,MATCH(1,(DATA_LOG!$A:$A=$A67)*(TEXT(DATA_LOG!$B:$B,""yyyy-MM-dd"")=TEXT(DATE($P$3,MONTH(1&amp;$N$3),VALUE(LEFT(J$68,2))),""yyyy-MM-dd"")),0)),""""),selectedDate,DATE($P$3,MONTH(1&amp;$N$3"&amp;"),VALUE(LEFT(J$68,2))),IF(logStatus&lt;&gt;"""",UPPER(logStatus),IF(selectedDate&gt;TODAY(),""-"",IF(REGEXMATCH(J$68,""SUN""),""WO"",IF(J$71&lt;&gt;"""",IF(VALUE(J$71)&gt;=9/24,""FD"",""HD""),""A"")))))))"),"A")</f>
        <v>A</v>
      </c>
      <c r="K72" s="43" t="str">
        <f>IFERROR(__xludf.DUMMYFUNCTION("IF($A67="""","""",IF(K$68="""","""",LET(logStatus,IFNA(INDEX(DATA_LOG!$E:$E,MATCH(1,(DATA_LOG!$A:$A=$A67)*(TEXT(DATA_LOG!$B:$B,""yyyy-MM-dd"")=TEXT(DATE($P$3,MONTH(1&amp;$N$3),VALUE(LEFT(K$68,2))),""yyyy-MM-dd"")),0)),""""),selectedDate,DATE($P$3,MONTH(1&amp;$N$3"&amp;"),VALUE(LEFT(K$68,2))),IF(logStatus&lt;&gt;"""",UPPER(logStatus),IF(selectedDate&gt;TODAY(),""-"",IF(REGEXMATCH(K$68,""SUN""),""WO"",IF(K$71&lt;&gt;"""",IF(VALUE(K$71)&gt;=9/24,""FD"",""HD""),""A"")))))))"),"A")</f>
        <v>A</v>
      </c>
      <c r="L72" s="43" t="str">
        <f>IFERROR(__xludf.DUMMYFUNCTION("IF($A67="""","""",IF(L$68="""","""",LET(logStatus,IFNA(INDEX(DATA_LOG!$E:$E,MATCH(1,(DATA_LOG!$A:$A=$A67)*(TEXT(DATA_LOG!$B:$B,""yyyy-MM-dd"")=TEXT(DATE($P$3,MONTH(1&amp;$N$3),VALUE(LEFT(L$68,2))),""yyyy-MM-dd"")),0)),""""),selectedDate,DATE($P$3,MONTH(1&amp;$N$3"&amp;"),VALUE(LEFT(L$68,2))),IF(logStatus&lt;&gt;"""",UPPER(logStatus),IF(selectedDate&gt;TODAY(),""-"",IF(REGEXMATCH(L$68,""SUN""),""WO"",IF(L$71&lt;&gt;"""",IF(VALUE(L$71)&gt;=9/24,""FD"",""HD""),""A"")))))))"),"A")</f>
        <v>A</v>
      </c>
      <c r="M72" s="43" t="str">
        <f>IFERROR(__xludf.DUMMYFUNCTION("IF($A67="""","""",IF(M$68="""","""",LET(logStatus,IFNA(INDEX(DATA_LOG!$E:$E,MATCH(1,(DATA_LOG!$A:$A=$A67)*(TEXT(DATA_LOG!$B:$B,""yyyy-MM-dd"")=TEXT(DATE($P$3,MONTH(1&amp;$N$3),VALUE(LEFT(M$68,2))),""yyyy-MM-dd"")),0)),""""),selectedDate,DATE($P$3,MONTH(1&amp;$N$3"&amp;"),VALUE(LEFT(M$68,2))),IF(logStatus&lt;&gt;"""",UPPER(logStatus),IF(selectedDate&gt;TODAY(),""-"",IF(REGEXMATCH(M$68,""SUN""),""WO"",IF(M$71&lt;&gt;"""",IF(VALUE(M$71)&gt;=9/24,""FD"",""HD""),""A"")))))))"),"-")</f>
        <v>-</v>
      </c>
      <c r="N72" s="43" t="str">
        <f>IFERROR(__xludf.DUMMYFUNCTION("IF($A67="""","""",IF(N$68="""","""",LET(logStatus,IFNA(INDEX(DATA_LOG!$E:$E,MATCH(1,(DATA_LOG!$A:$A=$A67)*(TEXT(DATA_LOG!$B:$B,""yyyy-MM-dd"")=TEXT(DATE($P$3,MONTH(1&amp;$N$3),VALUE(LEFT(N$68,2))),""yyyy-MM-dd"")),0)),""""),selectedDate,DATE($P$3,MONTH(1&amp;$N$3"&amp;"),VALUE(LEFT(N$68,2))),IF(logStatus&lt;&gt;"""",UPPER(logStatus),IF(selectedDate&gt;TODAY(),""-"",IF(REGEXMATCH(N$68,""SUN""),""WO"",IF(N$71&lt;&gt;"""",IF(VALUE(N$71)&gt;=9/24,""FD"",""HD""),""A"")))))))"),"-")</f>
        <v>-</v>
      </c>
      <c r="O72" s="43" t="str">
        <f>IFERROR(__xludf.DUMMYFUNCTION("IF($A67="""","""",IF(O$68="""","""",LET(logStatus,IFNA(INDEX(DATA_LOG!$E:$E,MATCH(1,(DATA_LOG!$A:$A=$A67)*(TEXT(DATA_LOG!$B:$B,""yyyy-MM-dd"")=TEXT(DATE($P$3,MONTH(1&amp;$N$3),VALUE(LEFT(O$68,2))),""yyyy-MM-dd"")),0)),""""),selectedDate,DATE($P$3,MONTH(1&amp;$N$3"&amp;"),VALUE(LEFT(O$68,2))),IF(logStatus&lt;&gt;"""",UPPER(logStatus),IF(selectedDate&gt;TODAY(),""-"",IF(REGEXMATCH(O$68,""SUN""),""WO"",IF(O$71&lt;&gt;"""",IF(VALUE(O$71)&gt;=9/24,""FD"",""HD""),""A"")))))))"),"-")</f>
        <v>-</v>
      </c>
      <c r="P72" s="43" t="str">
        <f>IFERROR(__xludf.DUMMYFUNCTION("IF($A67="""","""",IF(P$68="""","""",LET(logStatus,IFNA(INDEX(DATA_LOG!$E:$E,MATCH(1,(DATA_LOG!$A:$A=$A67)*(TEXT(DATA_LOG!$B:$B,""yyyy-MM-dd"")=TEXT(DATE($P$3,MONTH(1&amp;$N$3),VALUE(LEFT(P$68,2))),""yyyy-MM-dd"")),0)),""""),selectedDate,DATE($P$3,MONTH(1&amp;$N$3"&amp;"),VALUE(LEFT(P$68,2))),IF(logStatus&lt;&gt;"""",UPPER(logStatus),IF(selectedDate&gt;TODAY(),""-"",IF(REGEXMATCH(P$68,""SUN""),""WO"",IF(P$71&lt;&gt;"""",IF(VALUE(P$71)&gt;=9/24,""FD"",""HD""),""A"")))))))"),"-")</f>
        <v>-</v>
      </c>
      <c r="Q72" s="43" t="str">
        <f>IFERROR(__xludf.DUMMYFUNCTION("IF($A67="""","""",IF(Q$68="""","""",LET(logStatus,IFNA(INDEX(DATA_LOG!$E:$E,MATCH(1,(DATA_LOG!$A:$A=$A67)*(TEXT(DATA_LOG!$B:$B,""yyyy-MM-dd"")=TEXT(DATE($P$3,MONTH(1&amp;$N$3),VALUE(LEFT(Q$68,2))),""yyyy-MM-dd"")),0)),""""),selectedDate,DATE($P$3,MONTH(1&amp;$N$3"&amp;"),VALUE(LEFT(Q$68,2))),IF(logStatus&lt;&gt;"""",UPPER(logStatus),IF(selectedDate&gt;TODAY(),""-"",IF(REGEXMATCH(Q$68,""SUN""),""WO"",IF(Q$71&lt;&gt;"""",IF(VALUE(Q$71)&gt;=9/24,""FD"",""HD""),""A"")))))))"),"-")</f>
        <v>-</v>
      </c>
      <c r="R72" s="43" t="str">
        <f>IFERROR(__xludf.DUMMYFUNCTION("IF($A67="""","""",IF(R$68="""","""",LET(logStatus,IFNA(INDEX(DATA_LOG!$E:$E,MATCH(1,(DATA_LOG!$A:$A=$A67)*(TEXT(DATA_LOG!$B:$B,""yyyy-MM-dd"")=TEXT(DATE($P$3,MONTH(1&amp;$N$3),VALUE(LEFT(R$68,2))),""yyyy-MM-dd"")),0)),""""),selectedDate,DATE($P$3,MONTH(1&amp;$N$3"&amp;"),VALUE(LEFT(R$68,2))),IF(logStatus&lt;&gt;"""",UPPER(logStatus),IF(selectedDate&gt;TODAY(),""-"",IF(REGEXMATCH(R$68,""SUN""),""WO"",IF(R$71&lt;&gt;"""",IF(VALUE(R$71)&gt;=9/24,""FD"",""HD""),""A"")))))))"),"-")</f>
        <v>-</v>
      </c>
      <c r="S72" s="43" t="str">
        <f>IFERROR(__xludf.DUMMYFUNCTION("IF($A67="""","""",IF(S$68="""","""",LET(logStatus,IFNA(INDEX(DATA_LOG!$E:$E,MATCH(1,(DATA_LOG!$A:$A=$A67)*(TEXT(DATA_LOG!$B:$B,""yyyy-MM-dd"")=TEXT(DATE($P$3,MONTH(1&amp;$N$3),VALUE(LEFT(S$68,2))),""yyyy-MM-dd"")),0)),""""),selectedDate,DATE($P$3,MONTH(1&amp;$N$3"&amp;"),VALUE(LEFT(S$68,2))),IF(logStatus&lt;&gt;"""",UPPER(logStatus),IF(selectedDate&gt;TODAY(),""-"",IF(REGEXMATCH(S$68,""SUN""),""WO"",IF(S$71&lt;&gt;"""",IF(VALUE(S$71)&gt;=9/24,""FD"",""HD""),""A"")))))))"),"-")</f>
        <v>-</v>
      </c>
      <c r="T72" s="43" t="str">
        <f>IFERROR(__xludf.DUMMYFUNCTION("IF($A67="""","""",IF(T$68="""","""",LET(logStatus,IFNA(INDEX(DATA_LOG!$E:$E,MATCH(1,(DATA_LOG!$A:$A=$A67)*(TEXT(DATA_LOG!$B:$B,""yyyy-MM-dd"")=TEXT(DATE($P$3,MONTH(1&amp;$N$3),VALUE(LEFT(T$68,2))),""yyyy-MM-dd"")),0)),""""),selectedDate,DATE($P$3,MONTH(1&amp;$N$3"&amp;"),VALUE(LEFT(T$68,2))),IF(logStatus&lt;&gt;"""",UPPER(logStatus),IF(selectedDate&gt;TODAY(),""-"",IF(REGEXMATCH(T$68,""SUN""),""WO"",IF(T$71&lt;&gt;"""",IF(VALUE(T$71)&gt;=9/24,""FD"",""HD""),""A"")))))))"),"-")</f>
        <v>-</v>
      </c>
      <c r="U72" s="43" t="str">
        <f>IFERROR(__xludf.DUMMYFUNCTION("IF($A67="""","""",IF(U$68="""","""",LET(logStatus,IFNA(INDEX(DATA_LOG!$E:$E,MATCH(1,(DATA_LOG!$A:$A=$A67)*(TEXT(DATA_LOG!$B:$B,""yyyy-MM-dd"")=TEXT(DATE($P$3,MONTH(1&amp;$N$3),VALUE(LEFT(U$68,2))),""yyyy-MM-dd"")),0)),""""),selectedDate,DATE($P$3,MONTH(1&amp;$N$3"&amp;"),VALUE(LEFT(U$68,2))),IF(logStatus&lt;&gt;"""",UPPER(logStatus),IF(selectedDate&gt;TODAY(),""-"",IF(REGEXMATCH(U$68,""SUN""),""WO"",IF(U$71&lt;&gt;"""",IF(VALUE(U$71)&gt;=9/24,""FD"",""HD""),""A"")))))))"),"-")</f>
        <v>-</v>
      </c>
      <c r="V72" s="43" t="str">
        <f>IFERROR(__xludf.DUMMYFUNCTION("IF($A67="""","""",IF(V$68="""","""",LET(logStatus,IFNA(INDEX(DATA_LOG!$E:$E,MATCH(1,(DATA_LOG!$A:$A=$A67)*(TEXT(DATA_LOG!$B:$B,""yyyy-MM-dd"")=TEXT(DATE($P$3,MONTH(1&amp;$N$3),VALUE(LEFT(V$68,2))),""yyyy-MM-dd"")),0)),""""),selectedDate,DATE($P$3,MONTH(1&amp;$N$3"&amp;"),VALUE(LEFT(V$68,2))),IF(logStatus&lt;&gt;"""",UPPER(logStatus),IF(selectedDate&gt;TODAY(),""-"",IF(REGEXMATCH(V$68,""SUN""),""WO"",IF(V$71&lt;&gt;"""",IF(VALUE(V$71)&gt;=9/24,""FD"",""HD""),""A"")))))))"),"-")</f>
        <v>-</v>
      </c>
      <c r="W72" s="43" t="str">
        <f>IFERROR(__xludf.DUMMYFUNCTION("IF($A67="""","""",IF(W$68="""","""",LET(logStatus,IFNA(INDEX(DATA_LOG!$E:$E,MATCH(1,(DATA_LOG!$A:$A=$A67)*(TEXT(DATA_LOG!$B:$B,""yyyy-MM-dd"")=TEXT(DATE($P$3,MONTH(1&amp;$N$3),VALUE(LEFT(W$68,2))),""yyyy-MM-dd"")),0)),""""),selectedDate,DATE($P$3,MONTH(1&amp;$N$3"&amp;"),VALUE(LEFT(W$68,2))),IF(logStatus&lt;&gt;"""",UPPER(logStatus),IF(selectedDate&gt;TODAY(),""-"",IF(REGEXMATCH(W$68,""SUN""),""WO"",IF(W$71&lt;&gt;"""",IF(VALUE(W$71)&gt;=9/24,""FD"",""HD""),""A"")))))))"),"-")</f>
        <v>-</v>
      </c>
      <c r="X72" s="43" t="str">
        <f>IFERROR(__xludf.DUMMYFUNCTION("IF($A67="""","""",IF(X$68="""","""",LET(logStatus,IFNA(INDEX(DATA_LOG!$E:$E,MATCH(1,(DATA_LOG!$A:$A=$A67)*(TEXT(DATA_LOG!$B:$B,""yyyy-MM-dd"")=TEXT(DATE($P$3,MONTH(1&amp;$N$3),VALUE(LEFT(X$68,2))),""yyyy-MM-dd"")),0)),""""),selectedDate,DATE($P$3,MONTH(1&amp;$N$3"&amp;"),VALUE(LEFT(X$68,2))),IF(logStatus&lt;&gt;"""",UPPER(logStatus),IF(selectedDate&gt;TODAY(),""-"",IF(REGEXMATCH(X$68,""SUN""),""WO"",IF(X$71&lt;&gt;"""",IF(VALUE(X$71)&gt;=9/24,""FD"",""HD""),""A"")))))))"),"-")</f>
        <v>-</v>
      </c>
      <c r="Y72" s="43" t="str">
        <f>IFERROR(__xludf.DUMMYFUNCTION("IF($A67="""","""",IF(Y$68="""","""",LET(logStatus,IFNA(INDEX(DATA_LOG!$E:$E,MATCH(1,(DATA_LOG!$A:$A=$A67)*(TEXT(DATA_LOG!$B:$B,""yyyy-MM-dd"")=TEXT(DATE($P$3,MONTH(1&amp;$N$3),VALUE(LEFT(Y$68,2))),""yyyy-MM-dd"")),0)),""""),selectedDate,DATE($P$3,MONTH(1&amp;$N$3"&amp;"),VALUE(LEFT(Y$68,2))),IF(logStatus&lt;&gt;"""",UPPER(logStatus),IF(selectedDate&gt;TODAY(),""-"",IF(REGEXMATCH(Y$68,""SUN""),""WO"",IF(Y$71&lt;&gt;"""",IF(VALUE(Y$71)&gt;=9/24,""FD"",""HD""),""A"")))))))"),"-")</f>
        <v>-</v>
      </c>
      <c r="Z72" s="43" t="str">
        <f>IFERROR(__xludf.DUMMYFUNCTION("IF($A67="""","""",IF(Z$68="""","""",LET(logStatus,IFNA(INDEX(DATA_LOG!$E:$E,MATCH(1,(DATA_LOG!$A:$A=$A67)*(TEXT(DATA_LOG!$B:$B,""yyyy-MM-dd"")=TEXT(DATE($P$3,MONTH(1&amp;$N$3),VALUE(LEFT(Z$68,2))),""yyyy-MM-dd"")),0)),""""),selectedDate,DATE($P$3,MONTH(1&amp;$N$3"&amp;"),VALUE(LEFT(Z$68,2))),IF(logStatus&lt;&gt;"""",UPPER(logStatus),IF(selectedDate&gt;TODAY(),""-"",IF(REGEXMATCH(Z$68,""SUN""),""WO"",IF(Z$71&lt;&gt;"""",IF(VALUE(Z$71)&gt;=9/24,""FD"",""HD""),""A"")))))))"),"-")</f>
        <v>-</v>
      </c>
      <c r="AA72" s="43" t="str">
        <f>IFERROR(__xludf.DUMMYFUNCTION("IF($A67="""","""",IF(AA$68="""","""",LET(logStatus,IFNA(INDEX(DATA_LOG!$E:$E,MATCH(1,(DATA_LOG!$A:$A=$A67)*(TEXT(DATA_LOG!$B:$B,""yyyy-MM-dd"")=TEXT(DATE($P$3,MONTH(1&amp;$N$3),VALUE(LEFT(AA$68,2))),""yyyy-MM-dd"")),0)),""""),selectedDate,DATE($P$3,MONTH(1&amp;$N"&amp;"$3),VALUE(LEFT(AA$68,2))),IF(logStatus&lt;&gt;"""",UPPER(logStatus),IF(selectedDate&gt;TODAY(),""-"",IF(REGEXMATCH(AA$68,""SUN""),""WO"",IF(AA$71&lt;&gt;"""",IF(VALUE(AA$71)&gt;=9/24,""FD"",""HD""),""A"")))))))"),"-")</f>
        <v>-</v>
      </c>
      <c r="AB72" s="43" t="str">
        <f>IFERROR(__xludf.DUMMYFUNCTION("IF($A67="""","""",IF(AB$68="""","""",LET(logStatus,IFNA(INDEX(DATA_LOG!$E:$E,MATCH(1,(DATA_LOG!$A:$A=$A67)*(TEXT(DATA_LOG!$B:$B,""yyyy-MM-dd"")=TEXT(DATE($P$3,MONTH(1&amp;$N$3),VALUE(LEFT(AB$68,2))),""yyyy-MM-dd"")),0)),""""),selectedDate,DATE($P$3,MONTH(1&amp;$N"&amp;"$3),VALUE(LEFT(AB$68,2))),IF(logStatus&lt;&gt;"""",UPPER(logStatus),IF(selectedDate&gt;TODAY(),""-"",IF(REGEXMATCH(AB$68,""SUN""),""WO"",IF(AB$71&lt;&gt;"""",IF(VALUE(AB$71)&gt;=9/24,""FD"",""HD""),""A"")))))))"),"-")</f>
        <v>-</v>
      </c>
      <c r="AC72" s="43" t="str">
        <f>IFERROR(__xludf.DUMMYFUNCTION("IF($A67="""","""",IF(AC$68="""","""",LET(logStatus,IFNA(INDEX(DATA_LOG!$E:$E,MATCH(1,(DATA_LOG!$A:$A=$A67)*(TEXT(DATA_LOG!$B:$B,""yyyy-MM-dd"")=TEXT(DATE($P$3,MONTH(1&amp;$N$3),VALUE(LEFT(AC$68,2))),""yyyy-MM-dd"")),0)),""""),selectedDate,DATE($P$3,MONTH(1&amp;$N"&amp;"$3),VALUE(LEFT(AC$68,2))),IF(logStatus&lt;&gt;"""",UPPER(logStatus),IF(selectedDate&gt;TODAY(),""-"",IF(REGEXMATCH(AC$68,""SUN""),""WO"",IF(AC$71&lt;&gt;"""",IF(VALUE(AC$71)&gt;=9/24,""FD"",""HD""),""A"")))))))"),"-")</f>
        <v>-</v>
      </c>
      <c r="AD72" s="43" t="str">
        <f>IFERROR(__xludf.DUMMYFUNCTION("IF($A67="""","""",IF(AD$68="""","""",LET(logStatus,IFNA(INDEX(DATA_LOG!$E:$E,MATCH(1,(DATA_LOG!$A:$A=$A67)*(TEXT(DATA_LOG!$B:$B,""yyyy-MM-dd"")=TEXT(DATE($P$3,MONTH(1&amp;$N$3),VALUE(LEFT(AD$68,2))),""yyyy-MM-dd"")),0)),""""),selectedDate,DATE($P$3,MONTH(1&amp;$N"&amp;"$3),VALUE(LEFT(AD$68,2))),IF(logStatus&lt;&gt;"""",UPPER(logStatus),IF(selectedDate&gt;TODAY(),""-"",IF(REGEXMATCH(AD$68,""SUN""),""WO"",IF(AD$71&lt;&gt;"""",IF(VALUE(AD$71)&gt;=9/24,""FD"",""HD""),""A"")))))))"),"-")</f>
        <v>-</v>
      </c>
      <c r="AE72" s="43" t="str">
        <f>IFERROR(__xludf.DUMMYFUNCTION("IF($A67="""","""",IF(AE$68="""","""",LET(logStatus,IFNA(INDEX(DATA_LOG!$E:$E,MATCH(1,(DATA_LOG!$A:$A=$A67)*(TEXT(DATA_LOG!$B:$B,""yyyy-MM-dd"")=TEXT(DATE($P$3,MONTH(1&amp;$N$3),VALUE(LEFT(AE$68,2))),""yyyy-MM-dd"")),0)),""""),selectedDate,DATE($P$3,MONTH(1&amp;$N"&amp;"$3),VALUE(LEFT(AE$68,2))),IF(logStatus&lt;&gt;"""",UPPER(logStatus),IF(selectedDate&gt;TODAY(),""-"",IF(REGEXMATCH(AE$68,""SUN""),""WO"",IF(AE$71&lt;&gt;"""",IF(VALUE(AE$71)&gt;=9/24,""FD"",""HD""),""A"")))))))"),"-")</f>
        <v>-</v>
      </c>
      <c r="AF72" s="43" t="str">
        <f>IFERROR(__xludf.DUMMYFUNCTION("IF($A67="""","""",IF(AF$68="""","""",LET(logStatus,IFNA(INDEX(DATA_LOG!$E:$E,MATCH(1,(DATA_LOG!$A:$A=$A67)*(TEXT(DATA_LOG!$B:$B,""yyyy-MM-dd"")=TEXT(DATE($P$3,MONTH(1&amp;$N$3),VALUE(LEFT(AF$68,2))),""yyyy-MM-dd"")),0)),""""),selectedDate,DATE($P$3,MONTH(1&amp;$N"&amp;"$3),VALUE(LEFT(AF$68,2))),IF(logStatus&lt;&gt;"""",UPPER(logStatus),IF(selectedDate&gt;TODAY(),""-"",IF(REGEXMATCH(AF$68,""SUN""),""WO"",IF(AF$71&lt;&gt;"""",IF(VALUE(AF$71)&gt;=9/24,""FD"",""HD""),""A"")))))))"),"")</f>
        <v/>
      </c>
    </row>
    <row r="73">
      <c r="A73" s="44"/>
    </row>
    <row r="74">
      <c r="A74" s="25" t="str">
        <f t="array" ref="A74">INDEX(EMPLOYEE_LIST!$A:$A,INT((ROW()-4)/7)+2)</f>
        <v>SANJAY KUMAR YADAV</v>
      </c>
      <c r="B74" s="26"/>
      <c r="C74" s="27"/>
      <c r="D74" s="28" t="str">
        <f>IF(A74="", "", IFERROR(VLOOKUP(A74, EMPLOYEE_LIST!$A:$H, 2, FALSE), ""))</f>
        <v>AYV-81</v>
      </c>
      <c r="E74" s="26"/>
      <c r="F74" s="26"/>
      <c r="G74" s="27"/>
      <c r="H74" s="29" t="str">
        <f>IF(A74="", "", IFERROR(VLOOKUP(A74, EMPLOYEE_LIST!$A:$H, 3, FALSE), ""))</f>
        <v>ENGINEERING</v>
      </c>
      <c r="I74" s="26"/>
      <c r="J74" s="26"/>
      <c r="K74" s="27"/>
      <c r="L74" s="29" t="str">
        <f>IF(A74="", "", IFERROR(VLOOKUP(A74, EMPLOYEE_LIST!$A:$H, 4, FALSE), ""))</f>
        <v>SITE ENGINEER</v>
      </c>
      <c r="M74" s="26"/>
      <c r="N74" s="26"/>
      <c r="O74" s="27"/>
      <c r="P74" s="30" t="str">
        <f>IF($A74="", "", "Full Day: " &amp; COUNTIF(B79:AF79, "FD"))</f>
        <v>Full Day: 0</v>
      </c>
      <c r="Q74" s="26"/>
      <c r="R74" s="27"/>
      <c r="S74" s="31" t="str">
        <f>IF($A74="", "", "HALF Day: " &amp; COUNTIF(B79:AF79, "HD"))</f>
        <v>HALF Day: 0</v>
      </c>
      <c r="T74" s="26"/>
      <c r="U74" s="27"/>
      <c r="V74" s="31" t="str">
        <f>IF($A74="", "", "ABSENT: " &amp; COUNTIF(B79:AF79, "A"))</f>
        <v>ABSENT: 10</v>
      </c>
      <c r="W74" s="26"/>
      <c r="X74" s="27"/>
      <c r="Y74" s="31" t="str">
        <f>IF($A74="", "", "WEEK OFF: " &amp; COUNTIF(B79:AF79, "WO"))</f>
        <v>WEEK OFF: 1</v>
      </c>
      <c r="Z74" s="26"/>
      <c r="AA74" s="27"/>
      <c r="AB74" s="31" t="str">
        <f>IF($A74="", "", "LEAVE: " &amp; COUNTIF(B79:AF79, "L"))</f>
        <v>LEAVE: 0</v>
      </c>
      <c r="AC74" s="27"/>
      <c r="AD74" s="31" t="str">
        <f>IF($A74="", "", "HOLIDAY: " &amp; COUNTIF(B79:AF79, "HL"))</f>
        <v>HOLIDAY: 0</v>
      </c>
      <c r="AE74" s="26"/>
      <c r="AF74" s="27"/>
    </row>
    <row r="75">
      <c r="A75" s="32" t="str">
        <f>IF($A74="", "", "DATE")</f>
        <v>DATE</v>
      </c>
      <c r="B75" s="33" t="str">
        <f t="array" ref="B75:AE75">IF($A74="","",LET(mNum,MONTH(1&amp;$N$3),start,DATE($P$3,mNum,1),days,DAY(EOMONTH(start,0)),MAP(SEQUENCE(1,days,0),LAMBDA(n,UPPER(TEXT(start+n,"dd (ddd)"))))))</f>
        <v>01 (TUE)</v>
      </c>
      <c r="C75" s="34" t="s">
        <v>89</v>
      </c>
      <c r="D75" s="34" t="s">
        <v>90</v>
      </c>
      <c r="E75" s="34" t="s">
        <v>91</v>
      </c>
      <c r="F75" s="34" t="s">
        <v>92</v>
      </c>
      <c r="G75" s="34" t="s">
        <v>93</v>
      </c>
      <c r="H75" s="34" t="s">
        <v>94</v>
      </c>
      <c r="I75" s="34" t="s">
        <v>95</v>
      </c>
      <c r="J75" s="34" t="s">
        <v>96</v>
      </c>
      <c r="K75" s="34" t="s">
        <v>97</v>
      </c>
      <c r="L75" s="34" t="s">
        <v>98</v>
      </c>
      <c r="M75" s="34" t="s">
        <v>99</v>
      </c>
      <c r="N75" s="34" t="s">
        <v>100</v>
      </c>
      <c r="O75" s="34" t="s">
        <v>101</v>
      </c>
      <c r="P75" s="34" t="s">
        <v>102</v>
      </c>
      <c r="Q75" s="34" t="s">
        <v>103</v>
      </c>
      <c r="R75" s="34" t="s">
        <v>104</v>
      </c>
      <c r="S75" s="34" t="s">
        <v>105</v>
      </c>
      <c r="T75" s="34" t="s">
        <v>106</v>
      </c>
      <c r="U75" s="34" t="s">
        <v>107</v>
      </c>
      <c r="V75" s="34" t="s">
        <v>108</v>
      </c>
      <c r="W75" s="34" t="s">
        <v>109</v>
      </c>
      <c r="X75" s="34" t="s">
        <v>110</v>
      </c>
      <c r="Y75" s="34" t="s">
        <v>111</v>
      </c>
      <c r="Z75" s="34" t="s">
        <v>112</v>
      </c>
      <c r="AA75" s="34" t="s">
        <v>113</v>
      </c>
      <c r="AB75" s="34" t="s">
        <v>114</v>
      </c>
      <c r="AC75" s="34" t="s">
        <v>115</v>
      </c>
      <c r="AD75" s="34" t="s">
        <v>116</v>
      </c>
      <c r="AE75" s="34" t="s">
        <v>117</v>
      </c>
      <c r="AF75" s="34"/>
    </row>
    <row r="76">
      <c r="A76" s="37" t="str">
        <f>IF($A74="", "", "IN")</f>
        <v>IN</v>
      </c>
      <c r="B76" s="39" t="str">
        <f t="array" ref="B76">IF(OR($A74="",B$5=""),"",IFNA(INDEX(DATA_LOG!$C:$C,MATCH(1,(DATA_LOG!$A:$A=$A74)*(TEXT(DATA_LOG!$B:$B,"yyyy-MM-dd")=TEXT(DATE($P$3,MONTH(1&amp;$N$3),VALUE(LEFT(B$5,2))),"yyyy-MM-dd")),0)),""))</f>
        <v/>
      </c>
      <c r="C76" s="39" t="str">
        <f t="array" ref="C76">IF(OR($A74="",C$5=""),"",IFNA(INDEX(DATA_LOG!$C:$C,MATCH(1,(DATA_LOG!$A:$A=$A74)*(TEXT(DATA_LOG!$B:$B,"yyyy-MM-dd")=TEXT(DATE($P$3,MONTH(1&amp;$N$3),VALUE(LEFT(C$5,2))),"yyyy-MM-dd")),0)),""))</f>
        <v/>
      </c>
      <c r="D76" s="39" t="str">
        <f t="array" ref="D76">IF(OR($A74="",D$5=""),"",IFNA(INDEX(DATA_LOG!$C:$C,MATCH(1,(DATA_LOG!$A:$A=$A74)*(TEXT(DATA_LOG!$B:$B,"yyyy-MM-dd")=TEXT(DATE($P$3,MONTH(1&amp;$N$3),VALUE(LEFT(D$5,2))),"yyyy-MM-dd")),0)),""))</f>
        <v/>
      </c>
      <c r="E76" s="39" t="str">
        <f t="array" ref="E76">IF(OR($A74="",E$5=""),"",IFNA(INDEX(DATA_LOG!$C:$C,MATCH(1,(DATA_LOG!$A:$A=$A74)*(TEXT(DATA_LOG!$B:$B,"yyyy-MM-dd")=TEXT(DATE($P$3,MONTH(1&amp;$N$3),VALUE(LEFT(E$5,2))),"yyyy-MM-dd")),0)),""))</f>
        <v/>
      </c>
      <c r="F76" s="39" t="str">
        <f t="array" ref="F76">IF(OR($A74="",F$5=""),"",IFNA(INDEX(DATA_LOG!$C:$C,MATCH(1,(DATA_LOG!$A:$A=$A74)*(TEXT(DATA_LOG!$B:$B,"yyyy-MM-dd")=TEXT(DATE($P$3,MONTH(1&amp;$N$3),VALUE(LEFT(F$5,2))),"yyyy-MM-dd")),0)),""))</f>
        <v/>
      </c>
      <c r="G76" s="39" t="str">
        <f t="array" ref="G76">IF(OR($A74="",G$5=""),"",IFNA(INDEX(DATA_LOG!$C:$C,MATCH(1,(DATA_LOG!$A:$A=$A74)*(TEXT(DATA_LOG!$B:$B,"yyyy-MM-dd")=TEXT(DATE($P$3,MONTH(1&amp;$N$3),VALUE(LEFT(G$5,2))),"yyyy-MM-dd")),0)),""))</f>
        <v/>
      </c>
      <c r="H76" s="39" t="str">
        <f t="array" ref="H76">IF(OR($A74="",H$5=""),"",IFNA(INDEX(DATA_LOG!$C:$C,MATCH(1,(DATA_LOG!$A:$A=$A74)*(TEXT(DATA_LOG!$B:$B,"yyyy-MM-dd")=TEXT(DATE($P$3,MONTH(1&amp;$N$3),VALUE(LEFT(H$5,2))),"yyyy-MM-dd")),0)),""))</f>
        <v/>
      </c>
      <c r="I76" s="39" t="str">
        <f t="array" ref="I76">IF(OR($A74="",I$5=""),"",IFNA(INDEX(DATA_LOG!$C:$C,MATCH(1,(DATA_LOG!$A:$A=$A74)*(TEXT(DATA_LOG!$B:$B,"yyyy-MM-dd")=TEXT(DATE($P$3,MONTH(1&amp;$N$3),VALUE(LEFT(I$5,2))),"yyyy-MM-dd")),0)),""))</f>
        <v/>
      </c>
      <c r="J76" s="39" t="str">
        <f t="array" ref="J76">IF(OR($A74="",J$5=""),"",IFNA(INDEX(DATA_LOG!$C:$C,MATCH(1,(DATA_LOG!$A:$A=$A74)*(TEXT(DATA_LOG!$B:$B,"yyyy-MM-dd")=TEXT(DATE($P$3,MONTH(1&amp;$N$3),VALUE(LEFT(J$5,2))),"yyyy-MM-dd")),0)),""))</f>
        <v/>
      </c>
      <c r="K76" s="39" t="str">
        <f t="array" ref="K76">IF(OR($A74="",K$5=""),"",IFNA(INDEX(DATA_LOG!$C:$C,MATCH(1,(DATA_LOG!$A:$A=$A74)*(TEXT(DATA_LOG!$B:$B,"yyyy-MM-dd")=TEXT(DATE($P$3,MONTH(1&amp;$N$3),VALUE(LEFT(K$5,2))),"yyyy-MM-dd")),0)),""))</f>
        <v/>
      </c>
      <c r="L76" s="39" t="str">
        <f t="array" ref="L76">IF(OR($A74="",L$5=""),"",IFNA(INDEX(DATA_LOG!$C:$C,MATCH(1,(DATA_LOG!$A:$A=$A74)*(TEXT(DATA_LOG!$B:$B,"yyyy-MM-dd")=TEXT(DATE($P$3,MONTH(1&amp;$N$3),VALUE(LEFT(L$5,2))),"yyyy-MM-dd")),0)),""))</f>
        <v/>
      </c>
      <c r="M76" s="39" t="str">
        <f t="array" ref="M76">IF(OR($A74="",M$5=""),"",IFNA(INDEX(DATA_LOG!$C:$C,MATCH(1,(DATA_LOG!$A:$A=$A74)*(TEXT(DATA_LOG!$B:$B,"yyyy-MM-dd")=TEXT(DATE($P$3,MONTH(1&amp;$N$3),VALUE(LEFT(M$5,2))),"yyyy-MM-dd")),0)),""))</f>
        <v/>
      </c>
      <c r="N76" s="39" t="str">
        <f t="array" ref="N76">IF(OR($A74="",N$5=""),"",IFNA(INDEX(DATA_LOG!$C:$C,MATCH(1,(DATA_LOG!$A:$A=$A74)*(TEXT(DATA_LOG!$B:$B,"yyyy-MM-dd")=TEXT(DATE($P$3,MONTH(1&amp;$N$3),VALUE(LEFT(N$5,2))),"yyyy-MM-dd")),0)),""))</f>
        <v/>
      </c>
      <c r="O76" s="39" t="str">
        <f t="array" ref="O76">IF(OR($A74="",O$5=""),"",IFNA(INDEX(DATA_LOG!$C:$C,MATCH(1,(DATA_LOG!$A:$A=$A74)*(TEXT(DATA_LOG!$B:$B,"yyyy-MM-dd")=TEXT(DATE($P$3,MONTH(1&amp;$N$3),VALUE(LEFT(O$5,2))),"yyyy-MM-dd")),0)),""))</f>
        <v/>
      </c>
      <c r="P76" s="39" t="str">
        <f t="array" ref="P76">IF(OR($A74="",P$5=""),"",IFNA(INDEX(DATA_LOG!$C:$C,MATCH(1,(DATA_LOG!$A:$A=$A74)*(TEXT(DATA_LOG!$B:$B,"yyyy-MM-dd")=TEXT(DATE($P$3,MONTH(1&amp;$N$3),VALUE(LEFT(P$5,2))),"yyyy-MM-dd")),0)),""))</f>
        <v/>
      </c>
      <c r="Q76" s="39" t="str">
        <f t="array" ref="Q76">IF(OR($A74="",Q$5=""),"",IFNA(INDEX(DATA_LOG!$C:$C,MATCH(1,(DATA_LOG!$A:$A=$A74)*(TEXT(DATA_LOG!$B:$B,"yyyy-MM-dd")=TEXT(DATE($P$3,MONTH(1&amp;$N$3),VALUE(LEFT(Q$5,2))),"yyyy-MM-dd")),0)),""))</f>
        <v/>
      </c>
      <c r="R76" s="39" t="str">
        <f t="array" ref="R76">IF(OR($A74="",R$5=""),"",IFNA(INDEX(DATA_LOG!$C:$C,MATCH(1,(DATA_LOG!$A:$A=$A74)*(TEXT(DATA_LOG!$B:$B,"yyyy-MM-dd")=TEXT(DATE($P$3,MONTH(1&amp;$N$3),VALUE(LEFT(R$5,2))),"yyyy-MM-dd")),0)),""))</f>
        <v/>
      </c>
      <c r="S76" s="39" t="str">
        <f t="array" ref="S76">IF(OR($A74="",S$5=""),"",IFNA(INDEX(DATA_LOG!$C:$C,MATCH(1,(DATA_LOG!$A:$A=$A74)*(TEXT(DATA_LOG!$B:$B,"yyyy-MM-dd")=TEXT(DATE($P$3,MONTH(1&amp;$N$3),VALUE(LEFT(S$5,2))),"yyyy-MM-dd")),0)),""))</f>
        <v/>
      </c>
      <c r="T76" s="39" t="str">
        <f t="array" ref="T76">IF(OR($A74="",T$5=""),"",IFNA(INDEX(DATA_LOG!$C:$C,MATCH(1,(DATA_LOG!$A:$A=$A74)*(TEXT(DATA_LOG!$B:$B,"yyyy-MM-dd")=TEXT(DATE($P$3,MONTH(1&amp;$N$3),VALUE(LEFT(T$5,2))),"yyyy-MM-dd")),0)),""))</f>
        <v/>
      </c>
      <c r="U76" s="39" t="str">
        <f t="array" ref="U76">IF(OR($A74="",U$5=""),"",IFNA(INDEX(DATA_LOG!$C:$C,MATCH(1,(DATA_LOG!$A:$A=$A74)*(TEXT(DATA_LOG!$B:$B,"yyyy-MM-dd")=TEXT(DATE($P$3,MONTH(1&amp;$N$3),VALUE(LEFT(U$5,2))),"yyyy-MM-dd")),0)),""))</f>
        <v/>
      </c>
      <c r="V76" s="39" t="str">
        <f t="array" ref="V76">IF(OR($A74="",V$5=""),"",IFNA(INDEX(DATA_LOG!$C:$C,MATCH(1,(DATA_LOG!$A:$A=$A74)*(TEXT(DATA_LOG!$B:$B,"yyyy-MM-dd")=TEXT(DATE($P$3,MONTH(1&amp;$N$3),VALUE(LEFT(V$5,2))),"yyyy-MM-dd")),0)),""))</f>
        <v/>
      </c>
      <c r="W76" s="39" t="str">
        <f t="array" ref="W76">IF(OR($A74="",W$5=""),"",IFNA(INDEX(DATA_LOG!$C:$C,MATCH(1,(DATA_LOG!$A:$A=$A74)*(TEXT(DATA_LOG!$B:$B,"yyyy-MM-dd")=TEXT(DATE($P$3,MONTH(1&amp;$N$3),VALUE(LEFT(W$5,2))),"yyyy-MM-dd")),0)),""))</f>
        <v/>
      </c>
      <c r="X76" s="39" t="str">
        <f t="array" ref="X76">IF(OR($A74="",X$5=""),"",IFNA(INDEX(DATA_LOG!$C:$C,MATCH(1,(DATA_LOG!$A:$A=$A74)*(TEXT(DATA_LOG!$B:$B,"yyyy-MM-dd")=TEXT(DATE($P$3,MONTH(1&amp;$N$3),VALUE(LEFT(X$5,2))),"yyyy-MM-dd")),0)),""))</f>
        <v/>
      </c>
      <c r="Y76" s="39" t="str">
        <f t="array" ref="Y76">IF(OR($A74="",Y$5=""),"",IFNA(INDEX(DATA_LOG!$C:$C,MATCH(1,(DATA_LOG!$A:$A=$A74)*(TEXT(DATA_LOG!$B:$B,"yyyy-MM-dd")=TEXT(DATE($P$3,MONTH(1&amp;$N$3),VALUE(LEFT(Y$5,2))),"yyyy-MM-dd")),0)),""))</f>
        <v/>
      </c>
      <c r="Z76" s="39" t="str">
        <f t="array" ref="Z76">IF(OR($A74="",Z$5=""),"",IFNA(INDEX(DATA_LOG!$C:$C,MATCH(1,(DATA_LOG!$A:$A=$A74)*(TEXT(DATA_LOG!$B:$B,"yyyy-MM-dd")=TEXT(DATE($P$3,MONTH(1&amp;$N$3),VALUE(LEFT(Z$5,2))),"yyyy-MM-dd")),0)),""))</f>
        <v/>
      </c>
      <c r="AA76" s="39" t="str">
        <f t="array" ref="AA76">IF(OR($A74="",AA$5=""),"",IFNA(INDEX(DATA_LOG!$C:$C,MATCH(1,(DATA_LOG!$A:$A=$A74)*(TEXT(DATA_LOG!$B:$B,"yyyy-MM-dd")=TEXT(DATE($P$3,MONTH(1&amp;$N$3),VALUE(LEFT(AA$5,2))),"yyyy-MM-dd")),0)),""))</f>
        <v/>
      </c>
      <c r="AB76" s="39" t="str">
        <f t="array" ref="AB76">IF(OR($A74="",AB$5=""),"",IFNA(INDEX(DATA_LOG!$C:$C,MATCH(1,(DATA_LOG!$A:$A=$A74)*(TEXT(DATA_LOG!$B:$B,"yyyy-MM-dd")=TEXT(DATE($P$3,MONTH(1&amp;$N$3),VALUE(LEFT(AB$5,2))),"yyyy-MM-dd")),0)),""))</f>
        <v/>
      </c>
      <c r="AC76" s="39" t="str">
        <f t="array" ref="AC76">IF(OR($A74="",AC$5=""),"",IFNA(INDEX(DATA_LOG!$C:$C,MATCH(1,(DATA_LOG!$A:$A=$A74)*(TEXT(DATA_LOG!$B:$B,"yyyy-MM-dd")=TEXT(DATE($P$3,MONTH(1&amp;$N$3),VALUE(LEFT(AC$5,2))),"yyyy-MM-dd")),0)),""))</f>
        <v/>
      </c>
      <c r="AD76" s="39" t="str">
        <f t="array" ref="AD76">IF(OR($A74="",AD$5=""),"",IFNA(INDEX(DATA_LOG!$C:$C,MATCH(1,(DATA_LOG!$A:$A=$A74)*(TEXT(DATA_LOG!$B:$B,"yyyy-MM-dd")=TEXT(DATE($P$3,MONTH(1&amp;$N$3),VALUE(LEFT(AD$5,2))),"yyyy-MM-dd")),0)),""))</f>
        <v/>
      </c>
      <c r="AE76" s="39" t="str">
        <f t="array" ref="AE76">IF(OR($A74="",AE$5=""),"",IFNA(INDEX(DATA_LOG!$C:$C,MATCH(1,(DATA_LOG!$A:$A=$A74)*(TEXT(DATA_LOG!$B:$B,"yyyy-MM-dd")=TEXT(DATE($P$3,MONTH(1&amp;$N$3),VALUE(LEFT(AE$5,2))),"yyyy-MM-dd")),0)),""))</f>
        <v/>
      </c>
      <c r="AF76" s="39" t="str">
        <f t="array" ref="AF76">IF(OR($A74="",AF$5=""),"",IFNA(INDEX(DATA_LOG!$C:$C,MATCH(1,(DATA_LOG!$A:$A=$A74)*(TEXT(DATA_LOG!$B:$B,"yyyy-MM-dd")=TEXT(DATE($P$3,MONTH(1&amp;$N$3),VALUE(LEFT(AF$5,2))),"yyyy-MM-dd")),0)),""))</f>
        <v/>
      </c>
    </row>
    <row r="77">
      <c r="A77" s="37" t="str">
        <f>IF($A74="", "", "OUT")</f>
        <v>OUT</v>
      </c>
      <c r="B77" s="39" t="str">
        <f t="array" ref="B77">IF(OR($A74="",B$5=""),"",IFNA(INDEX(DATA_LOG!$D:$D,MATCH(1,(DATA_LOG!$A:$A=$A74)*(TEXT(DATA_LOG!$B:$B,"yyyy-MM-dd")=TEXT(DATE($P$3,MONTH(1&amp;$N$3),VALUE(LEFT(B$5,2))),"yyyy-MM-dd")),0)),""))</f>
        <v/>
      </c>
      <c r="C77" s="39" t="str">
        <f t="array" ref="C77">IF(OR($A74="",C$5=""),"",IFNA(INDEX(DATA_LOG!$D:$D,MATCH(1,(DATA_LOG!$A:$A=$A74)*(TEXT(DATA_LOG!$B:$B,"yyyy-MM-dd")=TEXT(DATE($P$3,MONTH(1&amp;$N$3),VALUE(LEFT(C$5,2))),"yyyy-MM-dd")),0)),""))</f>
        <v/>
      </c>
      <c r="D77" s="39" t="str">
        <f t="array" ref="D77">IF(OR($A74="",D$5=""),"",IFNA(INDEX(DATA_LOG!$D:$D,MATCH(1,(DATA_LOG!$A:$A=$A74)*(TEXT(DATA_LOG!$B:$B,"yyyy-MM-dd")=TEXT(DATE($P$3,MONTH(1&amp;$N$3),VALUE(LEFT(D$5,2))),"yyyy-MM-dd")),0)),""))</f>
        <v/>
      </c>
      <c r="E77" s="39" t="str">
        <f t="array" ref="E77">IF(OR($A74="",E$5=""),"",IFNA(INDEX(DATA_LOG!$D:$D,MATCH(1,(DATA_LOG!$A:$A=$A74)*(TEXT(DATA_LOG!$B:$B,"yyyy-MM-dd")=TEXT(DATE($P$3,MONTH(1&amp;$N$3),VALUE(LEFT(E$5,2))),"yyyy-MM-dd")),0)),""))</f>
        <v/>
      </c>
      <c r="F77" s="39" t="str">
        <f t="array" ref="F77">IF(OR($A74="",F$5=""),"",IFNA(INDEX(DATA_LOG!$D:$D,MATCH(1,(DATA_LOG!$A:$A=$A74)*(TEXT(DATA_LOG!$B:$B,"yyyy-MM-dd")=TEXT(DATE($P$3,MONTH(1&amp;$N$3),VALUE(LEFT(F$5,2))),"yyyy-MM-dd")),0)),""))</f>
        <v/>
      </c>
      <c r="G77" s="39" t="str">
        <f t="array" ref="G77">IF(OR($A74="",G$5=""),"",IFNA(INDEX(DATA_LOG!$D:$D,MATCH(1,(DATA_LOG!$A:$A=$A74)*(TEXT(DATA_LOG!$B:$B,"yyyy-MM-dd")=TEXT(DATE($P$3,MONTH(1&amp;$N$3),VALUE(LEFT(G$5,2))),"yyyy-MM-dd")),0)),""))</f>
        <v/>
      </c>
      <c r="H77" s="39" t="str">
        <f t="array" ref="H77">IF(OR($A74="",H$5=""),"",IFNA(INDEX(DATA_LOG!$D:$D,MATCH(1,(DATA_LOG!$A:$A=$A74)*(TEXT(DATA_LOG!$B:$B,"yyyy-MM-dd")=TEXT(DATE($P$3,MONTH(1&amp;$N$3),VALUE(LEFT(H$5,2))),"yyyy-MM-dd")),0)),""))</f>
        <v/>
      </c>
      <c r="I77" s="39" t="str">
        <f t="array" ref="I77">IF(OR($A74="",I$5=""),"",IFNA(INDEX(DATA_LOG!$D:$D,MATCH(1,(DATA_LOG!$A:$A=$A74)*(TEXT(DATA_LOG!$B:$B,"yyyy-MM-dd")=TEXT(DATE($P$3,MONTH(1&amp;$N$3),VALUE(LEFT(I$5,2))),"yyyy-MM-dd")),0)),""))</f>
        <v/>
      </c>
      <c r="J77" s="39" t="str">
        <f t="array" ref="J77">IF(OR($A74="",J$5=""),"",IFNA(INDEX(DATA_LOG!$D:$D,MATCH(1,(DATA_LOG!$A:$A=$A74)*(TEXT(DATA_LOG!$B:$B,"yyyy-MM-dd")=TEXT(DATE($P$3,MONTH(1&amp;$N$3),VALUE(LEFT(J$5,2))),"yyyy-MM-dd")),0)),""))</f>
        <v/>
      </c>
      <c r="K77" s="39" t="str">
        <f t="array" ref="K77">IF(OR($A74="",K$5=""),"",IFNA(INDEX(DATA_LOG!$D:$D,MATCH(1,(DATA_LOG!$A:$A=$A74)*(TEXT(DATA_LOG!$B:$B,"yyyy-MM-dd")=TEXT(DATE($P$3,MONTH(1&amp;$N$3),VALUE(LEFT(K$5,2))),"yyyy-MM-dd")),0)),""))</f>
        <v/>
      </c>
      <c r="L77" s="39" t="str">
        <f t="array" ref="L77">IF(OR($A74="",L$5=""),"",IFNA(INDEX(DATA_LOG!$D:$D,MATCH(1,(DATA_LOG!$A:$A=$A74)*(TEXT(DATA_LOG!$B:$B,"yyyy-MM-dd")=TEXT(DATE($P$3,MONTH(1&amp;$N$3),VALUE(LEFT(L$5,2))),"yyyy-MM-dd")),0)),""))</f>
        <v/>
      </c>
      <c r="M77" s="39" t="str">
        <f t="array" ref="M77">IF(OR($A74="",M$5=""),"",IFNA(INDEX(DATA_LOG!$D:$D,MATCH(1,(DATA_LOG!$A:$A=$A74)*(TEXT(DATA_LOG!$B:$B,"yyyy-MM-dd")=TEXT(DATE($P$3,MONTH(1&amp;$N$3),VALUE(LEFT(M$5,2))),"yyyy-MM-dd")),0)),""))</f>
        <v/>
      </c>
      <c r="N77" s="39" t="str">
        <f t="array" ref="N77">IF(OR($A74="",N$5=""),"",IFNA(INDEX(DATA_LOG!$D:$D,MATCH(1,(DATA_LOG!$A:$A=$A74)*(TEXT(DATA_LOG!$B:$B,"yyyy-MM-dd")=TEXT(DATE($P$3,MONTH(1&amp;$N$3),VALUE(LEFT(N$5,2))),"yyyy-MM-dd")),0)),""))</f>
        <v/>
      </c>
      <c r="O77" s="39" t="str">
        <f t="array" ref="O77">IF(OR($A74="",O$5=""),"",IFNA(INDEX(DATA_LOG!$D:$D,MATCH(1,(DATA_LOG!$A:$A=$A74)*(TEXT(DATA_LOG!$B:$B,"yyyy-MM-dd")=TEXT(DATE($P$3,MONTH(1&amp;$N$3),VALUE(LEFT(O$5,2))),"yyyy-MM-dd")),0)),""))</f>
        <v/>
      </c>
      <c r="P77" s="39" t="str">
        <f t="array" ref="P77">IF(OR($A74="",P$5=""),"",IFNA(INDEX(DATA_LOG!$D:$D,MATCH(1,(DATA_LOG!$A:$A=$A74)*(TEXT(DATA_LOG!$B:$B,"yyyy-MM-dd")=TEXT(DATE($P$3,MONTH(1&amp;$N$3),VALUE(LEFT(P$5,2))),"yyyy-MM-dd")),0)),""))</f>
        <v/>
      </c>
      <c r="Q77" s="39" t="str">
        <f t="array" ref="Q77">IF(OR($A74="",Q$5=""),"",IFNA(INDEX(DATA_LOG!$D:$D,MATCH(1,(DATA_LOG!$A:$A=$A74)*(TEXT(DATA_LOG!$B:$B,"yyyy-MM-dd")=TEXT(DATE($P$3,MONTH(1&amp;$N$3),VALUE(LEFT(Q$5,2))),"yyyy-MM-dd")),0)),""))</f>
        <v/>
      </c>
      <c r="R77" s="39" t="str">
        <f t="array" ref="R77">IF(OR($A74="",R$5=""),"",IFNA(INDEX(DATA_LOG!$D:$D,MATCH(1,(DATA_LOG!$A:$A=$A74)*(TEXT(DATA_LOG!$B:$B,"yyyy-MM-dd")=TEXT(DATE($P$3,MONTH(1&amp;$N$3),VALUE(LEFT(R$5,2))),"yyyy-MM-dd")),0)),""))</f>
        <v/>
      </c>
      <c r="S77" s="39" t="str">
        <f t="array" ref="S77">IF(OR($A74="",S$5=""),"",IFNA(INDEX(DATA_LOG!$D:$D,MATCH(1,(DATA_LOG!$A:$A=$A74)*(TEXT(DATA_LOG!$B:$B,"yyyy-MM-dd")=TEXT(DATE($P$3,MONTH(1&amp;$N$3),VALUE(LEFT(S$5,2))),"yyyy-MM-dd")),0)),""))</f>
        <v/>
      </c>
      <c r="T77" s="39" t="str">
        <f t="array" ref="T77">IF(OR($A74="",T$5=""),"",IFNA(INDEX(DATA_LOG!$D:$D,MATCH(1,(DATA_LOG!$A:$A=$A74)*(TEXT(DATA_LOG!$B:$B,"yyyy-MM-dd")=TEXT(DATE($P$3,MONTH(1&amp;$N$3),VALUE(LEFT(T$5,2))),"yyyy-MM-dd")),0)),""))</f>
        <v/>
      </c>
      <c r="U77" s="39" t="str">
        <f t="array" ref="U77">IF(OR($A74="",U$5=""),"",IFNA(INDEX(DATA_LOG!$D:$D,MATCH(1,(DATA_LOG!$A:$A=$A74)*(TEXT(DATA_LOG!$B:$B,"yyyy-MM-dd")=TEXT(DATE($P$3,MONTH(1&amp;$N$3),VALUE(LEFT(U$5,2))),"yyyy-MM-dd")),0)),""))</f>
        <v/>
      </c>
      <c r="V77" s="39" t="str">
        <f t="array" ref="V77">IF(OR($A74="",V$5=""),"",IFNA(INDEX(DATA_LOG!$D:$D,MATCH(1,(DATA_LOG!$A:$A=$A74)*(TEXT(DATA_LOG!$B:$B,"yyyy-MM-dd")=TEXT(DATE($P$3,MONTH(1&amp;$N$3),VALUE(LEFT(V$5,2))),"yyyy-MM-dd")),0)),""))</f>
        <v/>
      </c>
      <c r="W77" s="39" t="str">
        <f t="array" ref="W77">IF(OR($A74="",W$5=""),"",IFNA(INDEX(DATA_LOG!$D:$D,MATCH(1,(DATA_LOG!$A:$A=$A74)*(TEXT(DATA_LOG!$B:$B,"yyyy-MM-dd")=TEXT(DATE($P$3,MONTH(1&amp;$N$3),VALUE(LEFT(W$5,2))),"yyyy-MM-dd")),0)),""))</f>
        <v/>
      </c>
      <c r="X77" s="39" t="str">
        <f t="array" ref="X77">IF(OR($A74="",X$5=""),"",IFNA(INDEX(DATA_LOG!$D:$D,MATCH(1,(DATA_LOG!$A:$A=$A74)*(TEXT(DATA_LOG!$B:$B,"yyyy-MM-dd")=TEXT(DATE($P$3,MONTH(1&amp;$N$3),VALUE(LEFT(X$5,2))),"yyyy-MM-dd")),0)),""))</f>
        <v/>
      </c>
      <c r="Y77" s="39" t="str">
        <f t="array" ref="Y77">IF(OR($A74="",Y$5=""),"",IFNA(INDEX(DATA_LOG!$D:$D,MATCH(1,(DATA_LOG!$A:$A=$A74)*(TEXT(DATA_LOG!$B:$B,"yyyy-MM-dd")=TEXT(DATE($P$3,MONTH(1&amp;$N$3),VALUE(LEFT(Y$5,2))),"yyyy-MM-dd")),0)),""))</f>
        <v/>
      </c>
      <c r="Z77" s="39" t="str">
        <f t="array" ref="Z77">IF(OR($A74="",Z$5=""),"",IFNA(INDEX(DATA_LOG!$D:$D,MATCH(1,(DATA_LOG!$A:$A=$A74)*(TEXT(DATA_LOG!$B:$B,"yyyy-MM-dd")=TEXT(DATE($P$3,MONTH(1&amp;$N$3),VALUE(LEFT(Z$5,2))),"yyyy-MM-dd")),0)),""))</f>
        <v/>
      </c>
      <c r="AA77" s="39" t="str">
        <f t="array" ref="AA77">IF(OR($A74="",AA$5=""),"",IFNA(INDEX(DATA_LOG!$D:$D,MATCH(1,(DATA_LOG!$A:$A=$A74)*(TEXT(DATA_LOG!$B:$B,"yyyy-MM-dd")=TEXT(DATE($P$3,MONTH(1&amp;$N$3),VALUE(LEFT(AA$5,2))),"yyyy-MM-dd")),0)),""))</f>
        <v/>
      </c>
      <c r="AB77" s="39" t="str">
        <f t="array" ref="AB77">IF(OR($A74="",AB$5=""),"",IFNA(INDEX(DATA_LOG!$D:$D,MATCH(1,(DATA_LOG!$A:$A=$A74)*(TEXT(DATA_LOG!$B:$B,"yyyy-MM-dd")=TEXT(DATE($P$3,MONTH(1&amp;$N$3),VALUE(LEFT(AB$5,2))),"yyyy-MM-dd")),0)),""))</f>
        <v/>
      </c>
      <c r="AC77" s="39" t="str">
        <f t="array" ref="AC77">IF(OR($A74="",AC$5=""),"",IFNA(INDEX(DATA_LOG!$D:$D,MATCH(1,(DATA_LOG!$A:$A=$A74)*(TEXT(DATA_LOG!$B:$B,"yyyy-MM-dd")=TEXT(DATE($P$3,MONTH(1&amp;$N$3),VALUE(LEFT(AC$5,2))),"yyyy-MM-dd")),0)),""))</f>
        <v/>
      </c>
      <c r="AD77" s="39" t="str">
        <f t="array" ref="AD77">IF(OR($A74="",AD$5=""),"",IFNA(INDEX(DATA_LOG!$D:$D,MATCH(1,(DATA_LOG!$A:$A=$A74)*(TEXT(DATA_LOG!$B:$B,"yyyy-MM-dd")=TEXT(DATE($P$3,MONTH(1&amp;$N$3),VALUE(LEFT(AD$5,2))),"yyyy-MM-dd")),0)),""))</f>
        <v/>
      </c>
      <c r="AE77" s="39" t="str">
        <f t="array" ref="AE77">IF(OR($A74="",AE$5=""),"",IFNA(INDEX(DATA_LOG!$D:$D,MATCH(1,(DATA_LOG!$A:$A=$A74)*(TEXT(DATA_LOG!$B:$B,"yyyy-MM-dd")=TEXT(DATE($P$3,MONTH(1&amp;$N$3),VALUE(LEFT(AE$5,2))),"yyyy-MM-dd")),0)),""))</f>
        <v/>
      </c>
      <c r="AF77" s="39" t="str">
        <f t="array" ref="AF77">IF(OR($A74="",AF$5=""),"",IFNA(INDEX(DATA_LOG!$D:$D,MATCH(1,(DATA_LOG!$A:$A=$A74)*(TEXT(DATA_LOG!$B:$B,"yyyy-MM-dd")=TEXT(DATE($P$3,MONTH(1&amp;$N$3),VALUE(LEFT(AF$5,2))),"yyyy-MM-dd")),0)),""))</f>
        <v/>
      </c>
    </row>
    <row r="78">
      <c r="A78" s="40" t="str">
        <f>IF($A74="", "", "TOTAL")</f>
        <v>TOTAL</v>
      </c>
      <c r="B78" s="41" t="str">
        <f t="shared" ref="B78:AF78" si="11">IF(OR(B76="",B77=""),"",B77-B76)</f>
        <v/>
      </c>
      <c r="C78" s="34" t="str">
        <f t="shared" si="11"/>
        <v/>
      </c>
      <c r="D78" s="34" t="str">
        <f t="shared" si="11"/>
        <v/>
      </c>
      <c r="E78" s="34" t="str">
        <f t="shared" si="11"/>
        <v/>
      </c>
      <c r="F78" s="34" t="str">
        <f t="shared" si="11"/>
        <v/>
      </c>
      <c r="G78" s="34" t="str">
        <f t="shared" si="11"/>
        <v/>
      </c>
      <c r="H78" s="34" t="str">
        <f t="shared" si="11"/>
        <v/>
      </c>
      <c r="I78" s="34" t="str">
        <f t="shared" si="11"/>
        <v/>
      </c>
      <c r="J78" s="34" t="str">
        <f t="shared" si="11"/>
        <v/>
      </c>
      <c r="K78" s="34" t="str">
        <f t="shared" si="11"/>
        <v/>
      </c>
      <c r="L78" s="34" t="str">
        <f t="shared" si="11"/>
        <v/>
      </c>
      <c r="M78" s="34" t="str">
        <f t="shared" si="11"/>
        <v/>
      </c>
      <c r="N78" s="34" t="str">
        <f t="shared" si="11"/>
        <v/>
      </c>
      <c r="O78" s="34" t="str">
        <f t="shared" si="11"/>
        <v/>
      </c>
      <c r="P78" s="34" t="str">
        <f t="shared" si="11"/>
        <v/>
      </c>
      <c r="Q78" s="34" t="str">
        <f t="shared" si="11"/>
        <v/>
      </c>
      <c r="R78" s="34" t="str">
        <f t="shared" si="11"/>
        <v/>
      </c>
      <c r="S78" s="34" t="str">
        <f t="shared" si="11"/>
        <v/>
      </c>
      <c r="T78" s="34" t="str">
        <f t="shared" si="11"/>
        <v/>
      </c>
      <c r="U78" s="34" t="str">
        <f t="shared" si="11"/>
        <v/>
      </c>
      <c r="V78" s="34" t="str">
        <f t="shared" si="11"/>
        <v/>
      </c>
      <c r="W78" s="34" t="str">
        <f t="shared" si="11"/>
        <v/>
      </c>
      <c r="X78" s="34" t="str">
        <f t="shared" si="11"/>
        <v/>
      </c>
      <c r="Y78" s="34" t="str">
        <f t="shared" si="11"/>
        <v/>
      </c>
      <c r="Z78" s="34" t="str">
        <f t="shared" si="11"/>
        <v/>
      </c>
      <c r="AA78" s="34" t="str">
        <f t="shared" si="11"/>
        <v/>
      </c>
      <c r="AB78" s="34" t="str">
        <f t="shared" si="11"/>
        <v/>
      </c>
      <c r="AC78" s="34" t="str">
        <f t="shared" si="11"/>
        <v/>
      </c>
      <c r="AD78" s="34" t="str">
        <f t="shared" si="11"/>
        <v/>
      </c>
      <c r="AE78" s="34" t="str">
        <f t="shared" si="11"/>
        <v/>
      </c>
      <c r="AF78" s="34" t="str">
        <f t="shared" si="11"/>
        <v/>
      </c>
    </row>
    <row r="79">
      <c r="A79" s="42" t="str">
        <f>IF($A74="", "", "STATUS")</f>
        <v>STATUS</v>
      </c>
      <c r="B79" s="43" t="str">
        <f>IFERROR(__xludf.DUMMYFUNCTION("IF($A74="""","""",IF(B$75="""","""",LET(logStatus,IFNA(INDEX(DATA_LOG!$E:$E,MATCH(1,(DATA_LOG!$A:$A=$A74)*(TEXT(DATA_LOG!$B:$B,""yyyy-MM-dd"")=TEXT(DATE($P$3,MONTH(1&amp;$N$3),VALUE(LEFT(B$75,2))),""yyyy-MM-dd"")),0)),""""),selectedDate,DATE($P$3,MONTH(1&amp;$N$3"&amp;"),VALUE(LEFT(B$75,2))),IF(logStatus&lt;&gt;"""",UPPER(logStatus),IF(selectedDate&gt;TODAY(),""-"",IF(REGEXMATCH(B$75,""SUN""),""WO"",IF(B$78&lt;&gt;"""",IF(VALUE(B$78)&gt;=9/24,""FD"",""HD""),""A"")))))))"),"A")</f>
        <v>A</v>
      </c>
      <c r="C79" s="43" t="str">
        <f>IFERROR(__xludf.DUMMYFUNCTION("IF($A74="""","""",IF(C$75="""","""",LET(logStatus,IFNA(INDEX(DATA_LOG!$E:$E,MATCH(1,(DATA_LOG!$A:$A=$A74)*(TEXT(DATA_LOG!$B:$B,""yyyy-MM-dd"")=TEXT(DATE($P$3,MONTH(1&amp;$N$3),VALUE(LEFT(C$75,2))),""yyyy-MM-dd"")),0)),""""),selectedDate,DATE($P$3,MONTH(1&amp;$N$3"&amp;"),VALUE(LEFT(C$75,2))),IF(logStatus&lt;&gt;"""",UPPER(logStatus),IF(selectedDate&gt;TODAY(),""-"",IF(REGEXMATCH(C$75,""SUN""),""WO"",IF(C$78&lt;&gt;"""",IF(VALUE(C$78)&gt;=9/24,""FD"",""HD""),""A"")))))))"),"A")</f>
        <v>A</v>
      </c>
      <c r="D79" s="43" t="str">
        <f>IFERROR(__xludf.DUMMYFUNCTION("IF($A74="""","""",IF(D$75="""","""",LET(logStatus,IFNA(INDEX(DATA_LOG!$E:$E,MATCH(1,(DATA_LOG!$A:$A=$A74)*(TEXT(DATA_LOG!$B:$B,""yyyy-MM-dd"")=TEXT(DATE($P$3,MONTH(1&amp;$N$3),VALUE(LEFT(D$75,2))),""yyyy-MM-dd"")),0)),""""),selectedDate,DATE($P$3,MONTH(1&amp;$N$3"&amp;"),VALUE(LEFT(D$75,2))),IF(logStatus&lt;&gt;"""",UPPER(logStatus),IF(selectedDate&gt;TODAY(),""-"",IF(REGEXMATCH(D$75,""SUN""),""WO"",IF(D$78&lt;&gt;"""",IF(VALUE(D$78)&gt;=9/24,""FD"",""HD""),""A"")))))))"),"A")</f>
        <v>A</v>
      </c>
      <c r="E79" s="43" t="str">
        <f>IFERROR(__xludf.DUMMYFUNCTION("IF($A74="""","""",IF(E$75="""","""",LET(logStatus,IFNA(INDEX(DATA_LOG!$E:$E,MATCH(1,(DATA_LOG!$A:$A=$A74)*(TEXT(DATA_LOG!$B:$B,""yyyy-MM-dd"")=TEXT(DATE($P$3,MONTH(1&amp;$N$3),VALUE(LEFT(E$75,2))),""yyyy-MM-dd"")),0)),""""),selectedDate,DATE($P$3,MONTH(1&amp;$N$3"&amp;"),VALUE(LEFT(E$75,2))),IF(logStatus&lt;&gt;"""",UPPER(logStatus),IF(selectedDate&gt;TODAY(),""-"",IF(REGEXMATCH(E$75,""SUN""),""WO"",IF(E$78&lt;&gt;"""",IF(VALUE(E$78)&gt;=9/24,""FD"",""HD""),""A"")))))))"),"A")</f>
        <v>A</v>
      </c>
      <c r="F79" s="43" t="str">
        <f>IFERROR(__xludf.DUMMYFUNCTION("IF($A74="""","""",IF(F$75="""","""",LET(logStatus,IFNA(INDEX(DATA_LOG!$E:$E,MATCH(1,(DATA_LOG!$A:$A=$A74)*(TEXT(DATA_LOG!$B:$B,""yyyy-MM-dd"")=TEXT(DATE($P$3,MONTH(1&amp;$N$3),VALUE(LEFT(F$75,2))),""yyyy-MM-dd"")),0)),""""),selectedDate,DATE($P$3,MONTH(1&amp;$N$3"&amp;"),VALUE(LEFT(F$75,2))),IF(logStatus&lt;&gt;"""",UPPER(logStatus),IF(selectedDate&gt;TODAY(),""-"",IF(REGEXMATCH(F$75,""SUN""),""WO"",IF(F$78&lt;&gt;"""",IF(VALUE(F$78)&gt;=9/24,""FD"",""HD""),""A"")))))))"),"A")</f>
        <v>A</v>
      </c>
      <c r="G79" s="43" t="str">
        <f>IFERROR(__xludf.DUMMYFUNCTION("IF($A74="""","""",IF(G$75="""","""",LET(logStatus,IFNA(INDEX(DATA_LOG!$E:$E,MATCH(1,(DATA_LOG!$A:$A=$A74)*(TEXT(DATA_LOG!$B:$B,""yyyy-MM-dd"")=TEXT(DATE($P$3,MONTH(1&amp;$N$3),VALUE(LEFT(G$75,2))),""yyyy-MM-dd"")),0)),""""),selectedDate,DATE($P$3,MONTH(1&amp;$N$3"&amp;"),VALUE(LEFT(G$75,2))),IF(logStatus&lt;&gt;"""",UPPER(logStatus),IF(selectedDate&gt;TODAY(),""-"",IF(REGEXMATCH(G$75,""SUN""),""WO"",IF(G$78&lt;&gt;"""",IF(VALUE(G$78)&gt;=9/24,""FD"",""HD""),""A"")))))))"),"WO")</f>
        <v>WO</v>
      </c>
      <c r="H79" s="43" t="str">
        <f>IFERROR(__xludf.DUMMYFUNCTION("IF($A74="""","""",IF(H$75="""","""",LET(logStatus,IFNA(INDEX(DATA_LOG!$E:$E,MATCH(1,(DATA_LOG!$A:$A=$A74)*(TEXT(DATA_LOG!$B:$B,""yyyy-MM-dd"")=TEXT(DATE($P$3,MONTH(1&amp;$N$3),VALUE(LEFT(H$75,2))),""yyyy-MM-dd"")),0)),""""),selectedDate,DATE($P$3,MONTH(1&amp;$N$3"&amp;"),VALUE(LEFT(H$75,2))),IF(logStatus&lt;&gt;"""",UPPER(logStatus),IF(selectedDate&gt;TODAY(),""-"",IF(REGEXMATCH(H$75,""SUN""),""WO"",IF(H$78&lt;&gt;"""",IF(VALUE(H$78)&gt;=9/24,""FD"",""HD""),""A"")))))))"),"A")</f>
        <v>A</v>
      </c>
      <c r="I79" s="43" t="str">
        <f>IFERROR(__xludf.DUMMYFUNCTION("IF($A74="""","""",IF(I$75="""","""",LET(logStatus,IFNA(INDEX(DATA_LOG!$E:$E,MATCH(1,(DATA_LOG!$A:$A=$A74)*(TEXT(DATA_LOG!$B:$B,""yyyy-MM-dd"")=TEXT(DATE($P$3,MONTH(1&amp;$N$3),VALUE(LEFT(I$75,2))),""yyyy-MM-dd"")),0)),""""),selectedDate,DATE($P$3,MONTH(1&amp;$N$3"&amp;"),VALUE(LEFT(I$75,2))),IF(logStatus&lt;&gt;"""",UPPER(logStatus),IF(selectedDate&gt;TODAY(),""-"",IF(REGEXMATCH(I$75,""SUN""),""WO"",IF(I$78&lt;&gt;"""",IF(VALUE(I$78)&gt;=9/24,""FD"",""HD""),""A"")))))))"),"A")</f>
        <v>A</v>
      </c>
      <c r="J79" s="43" t="str">
        <f>IFERROR(__xludf.DUMMYFUNCTION("IF($A74="""","""",IF(J$75="""","""",LET(logStatus,IFNA(INDEX(DATA_LOG!$E:$E,MATCH(1,(DATA_LOG!$A:$A=$A74)*(TEXT(DATA_LOG!$B:$B,""yyyy-MM-dd"")=TEXT(DATE($P$3,MONTH(1&amp;$N$3),VALUE(LEFT(J$75,2))),""yyyy-MM-dd"")),0)),""""),selectedDate,DATE($P$3,MONTH(1&amp;$N$3"&amp;"),VALUE(LEFT(J$75,2))),IF(logStatus&lt;&gt;"""",UPPER(logStatus),IF(selectedDate&gt;TODAY(),""-"",IF(REGEXMATCH(J$75,""SUN""),""WO"",IF(J$78&lt;&gt;"""",IF(VALUE(J$78)&gt;=9/24,""FD"",""HD""),""A"")))))))"),"A")</f>
        <v>A</v>
      </c>
      <c r="K79" s="43" t="str">
        <f>IFERROR(__xludf.DUMMYFUNCTION("IF($A74="""","""",IF(K$75="""","""",LET(logStatus,IFNA(INDEX(DATA_LOG!$E:$E,MATCH(1,(DATA_LOG!$A:$A=$A74)*(TEXT(DATA_LOG!$B:$B,""yyyy-MM-dd"")=TEXT(DATE($P$3,MONTH(1&amp;$N$3),VALUE(LEFT(K$75,2))),""yyyy-MM-dd"")),0)),""""),selectedDate,DATE($P$3,MONTH(1&amp;$N$3"&amp;"),VALUE(LEFT(K$75,2))),IF(logStatus&lt;&gt;"""",UPPER(logStatus),IF(selectedDate&gt;TODAY(),""-"",IF(REGEXMATCH(K$75,""SUN""),""WO"",IF(K$78&lt;&gt;"""",IF(VALUE(K$78)&gt;=9/24,""FD"",""HD""),""A"")))))))"),"A")</f>
        <v>A</v>
      </c>
      <c r="L79" s="43" t="str">
        <f>IFERROR(__xludf.DUMMYFUNCTION("IF($A74="""","""",IF(L$75="""","""",LET(logStatus,IFNA(INDEX(DATA_LOG!$E:$E,MATCH(1,(DATA_LOG!$A:$A=$A74)*(TEXT(DATA_LOG!$B:$B,""yyyy-MM-dd"")=TEXT(DATE($P$3,MONTH(1&amp;$N$3),VALUE(LEFT(L$75,2))),""yyyy-MM-dd"")),0)),""""),selectedDate,DATE($P$3,MONTH(1&amp;$N$3"&amp;"),VALUE(LEFT(L$75,2))),IF(logStatus&lt;&gt;"""",UPPER(logStatus),IF(selectedDate&gt;TODAY(),""-"",IF(REGEXMATCH(L$75,""SUN""),""WO"",IF(L$78&lt;&gt;"""",IF(VALUE(L$78)&gt;=9/24,""FD"",""HD""),""A"")))))))"),"A")</f>
        <v>A</v>
      </c>
      <c r="M79" s="43" t="str">
        <f>IFERROR(__xludf.DUMMYFUNCTION("IF($A74="""","""",IF(M$75="""","""",LET(logStatus,IFNA(INDEX(DATA_LOG!$E:$E,MATCH(1,(DATA_LOG!$A:$A=$A74)*(TEXT(DATA_LOG!$B:$B,""yyyy-MM-dd"")=TEXT(DATE($P$3,MONTH(1&amp;$N$3),VALUE(LEFT(M$75,2))),""yyyy-MM-dd"")),0)),""""),selectedDate,DATE($P$3,MONTH(1&amp;$N$3"&amp;"),VALUE(LEFT(M$75,2))),IF(logStatus&lt;&gt;"""",UPPER(logStatus),IF(selectedDate&gt;TODAY(),""-"",IF(REGEXMATCH(M$75,""SUN""),""WO"",IF(M$78&lt;&gt;"""",IF(VALUE(M$78)&gt;=9/24,""FD"",""HD""),""A"")))))))"),"-")</f>
        <v>-</v>
      </c>
      <c r="N79" s="43" t="str">
        <f>IFERROR(__xludf.DUMMYFUNCTION("IF($A74="""","""",IF(N$75="""","""",LET(logStatus,IFNA(INDEX(DATA_LOG!$E:$E,MATCH(1,(DATA_LOG!$A:$A=$A74)*(TEXT(DATA_LOG!$B:$B,""yyyy-MM-dd"")=TEXT(DATE($P$3,MONTH(1&amp;$N$3),VALUE(LEFT(N$75,2))),""yyyy-MM-dd"")),0)),""""),selectedDate,DATE($P$3,MONTH(1&amp;$N$3"&amp;"),VALUE(LEFT(N$75,2))),IF(logStatus&lt;&gt;"""",UPPER(logStatus),IF(selectedDate&gt;TODAY(),""-"",IF(REGEXMATCH(N$75,""SUN""),""WO"",IF(N$78&lt;&gt;"""",IF(VALUE(N$78)&gt;=9/24,""FD"",""HD""),""A"")))))))"),"-")</f>
        <v>-</v>
      </c>
      <c r="O79" s="43" t="str">
        <f>IFERROR(__xludf.DUMMYFUNCTION("IF($A74="""","""",IF(O$75="""","""",LET(logStatus,IFNA(INDEX(DATA_LOG!$E:$E,MATCH(1,(DATA_LOG!$A:$A=$A74)*(TEXT(DATA_LOG!$B:$B,""yyyy-MM-dd"")=TEXT(DATE($P$3,MONTH(1&amp;$N$3),VALUE(LEFT(O$75,2))),""yyyy-MM-dd"")),0)),""""),selectedDate,DATE($P$3,MONTH(1&amp;$N$3"&amp;"),VALUE(LEFT(O$75,2))),IF(logStatus&lt;&gt;"""",UPPER(logStatus),IF(selectedDate&gt;TODAY(),""-"",IF(REGEXMATCH(O$75,""SUN""),""WO"",IF(O$78&lt;&gt;"""",IF(VALUE(O$78)&gt;=9/24,""FD"",""HD""),""A"")))))))"),"-")</f>
        <v>-</v>
      </c>
      <c r="P79" s="43" t="str">
        <f>IFERROR(__xludf.DUMMYFUNCTION("IF($A74="""","""",IF(P$75="""","""",LET(logStatus,IFNA(INDEX(DATA_LOG!$E:$E,MATCH(1,(DATA_LOG!$A:$A=$A74)*(TEXT(DATA_LOG!$B:$B,""yyyy-MM-dd"")=TEXT(DATE($P$3,MONTH(1&amp;$N$3),VALUE(LEFT(P$75,2))),""yyyy-MM-dd"")),0)),""""),selectedDate,DATE($P$3,MONTH(1&amp;$N$3"&amp;"),VALUE(LEFT(P$75,2))),IF(logStatus&lt;&gt;"""",UPPER(logStatus),IF(selectedDate&gt;TODAY(),""-"",IF(REGEXMATCH(P$75,""SUN""),""WO"",IF(P$78&lt;&gt;"""",IF(VALUE(P$78)&gt;=9/24,""FD"",""HD""),""A"")))))))"),"-")</f>
        <v>-</v>
      </c>
      <c r="Q79" s="43" t="str">
        <f>IFERROR(__xludf.DUMMYFUNCTION("IF($A74="""","""",IF(Q$75="""","""",LET(logStatus,IFNA(INDEX(DATA_LOG!$E:$E,MATCH(1,(DATA_LOG!$A:$A=$A74)*(TEXT(DATA_LOG!$B:$B,""yyyy-MM-dd"")=TEXT(DATE($P$3,MONTH(1&amp;$N$3),VALUE(LEFT(Q$75,2))),""yyyy-MM-dd"")),0)),""""),selectedDate,DATE($P$3,MONTH(1&amp;$N$3"&amp;"),VALUE(LEFT(Q$75,2))),IF(logStatus&lt;&gt;"""",UPPER(logStatus),IF(selectedDate&gt;TODAY(),""-"",IF(REGEXMATCH(Q$75,""SUN""),""WO"",IF(Q$78&lt;&gt;"""",IF(VALUE(Q$78)&gt;=9/24,""FD"",""HD""),""A"")))))))"),"-")</f>
        <v>-</v>
      </c>
      <c r="R79" s="43" t="str">
        <f>IFERROR(__xludf.DUMMYFUNCTION("IF($A74="""","""",IF(R$75="""","""",LET(logStatus,IFNA(INDEX(DATA_LOG!$E:$E,MATCH(1,(DATA_LOG!$A:$A=$A74)*(TEXT(DATA_LOG!$B:$B,""yyyy-MM-dd"")=TEXT(DATE($P$3,MONTH(1&amp;$N$3),VALUE(LEFT(R$75,2))),""yyyy-MM-dd"")),0)),""""),selectedDate,DATE($P$3,MONTH(1&amp;$N$3"&amp;"),VALUE(LEFT(R$75,2))),IF(logStatus&lt;&gt;"""",UPPER(logStatus),IF(selectedDate&gt;TODAY(),""-"",IF(REGEXMATCH(R$75,""SUN""),""WO"",IF(R$78&lt;&gt;"""",IF(VALUE(R$78)&gt;=9/24,""FD"",""HD""),""A"")))))))"),"-")</f>
        <v>-</v>
      </c>
      <c r="S79" s="43" t="str">
        <f>IFERROR(__xludf.DUMMYFUNCTION("IF($A74="""","""",IF(S$75="""","""",LET(logStatus,IFNA(INDEX(DATA_LOG!$E:$E,MATCH(1,(DATA_LOG!$A:$A=$A74)*(TEXT(DATA_LOG!$B:$B,""yyyy-MM-dd"")=TEXT(DATE($P$3,MONTH(1&amp;$N$3),VALUE(LEFT(S$75,2))),""yyyy-MM-dd"")),0)),""""),selectedDate,DATE($P$3,MONTH(1&amp;$N$3"&amp;"),VALUE(LEFT(S$75,2))),IF(logStatus&lt;&gt;"""",UPPER(logStatus),IF(selectedDate&gt;TODAY(),""-"",IF(REGEXMATCH(S$75,""SUN""),""WO"",IF(S$78&lt;&gt;"""",IF(VALUE(S$78)&gt;=9/24,""FD"",""HD""),""A"")))))))"),"-")</f>
        <v>-</v>
      </c>
      <c r="T79" s="43" t="str">
        <f>IFERROR(__xludf.DUMMYFUNCTION("IF($A74="""","""",IF(T$75="""","""",LET(logStatus,IFNA(INDEX(DATA_LOG!$E:$E,MATCH(1,(DATA_LOG!$A:$A=$A74)*(TEXT(DATA_LOG!$B:$B,""yyyy-MM-dd"")=TEXT(DATE($P$3,MONTH(1&amp;$N$3),VALUE(LEFT(T$75,2))),""yyyy-MM-dd"")),0)),""""),selectedDate,DATE($P$3,MONTH(1&amp;$N$3"&amp;"),VALUE(LEFT(T$75,2))),IF(logStatus&lt;&gt;"""",UPPER(logStatus),IF(selectedDate&gt;TODAY(),""-"",IF(REGEXMATCH(T$75,""SUN""),""WO"",IF(T$78&lt;&gt;"""",IF(VALUE(T$78)&gt;=9/24,""FD"",""HD""),""A"")))))))"),"-")</f>
        <v>-</v>
      </c>
      <c r="U79" s="43" t="str">
        <f>IFERROR(__xludf.DUMMYFUNCTION("IF($A74="""","""",IF(U$75="""","""",LET(logStatus,IFNA(INDEX(DATA_LOG!$E:$E,MATCH(1,(DATA_LOG!$A:$A=$A74)*(TEXT(DATA_LOG!$B:$B,""yyyy-MM-dd"")=TEXT(DATE($P$3,MONTH(1&amp;$N$3),VALUE(LEFT(U$75,2))),""yyyy-MM-dd"")),0)),""""),selectedDate,DATE($P$3,MONTH(1&amp;$N$3"&amp;"),VALUE(LEFT(U$75,2))),IF(logStatus&lt;&gt;"""",UPPER(logStatus),IF(selectedDate&gt;TODAY(),""-"",IF(REGEXMATCH(U$75,""SUN""),""WO"",IF(U$78&lt;&gt;"""",IF(VALUE(U$78)&gt;=9/24,""FD"",""HD""),""A"")))))))"),"-")</f>
        <v>-</v>
      </c>
      <c r="V79" s="43" t="str">
        <f>IFERROR(__xludf.DUMMYFUNCTION("IF($A74="""","""",IF(V$75="""","""",LET(logStatus,IFNA(INDEX(DATA_LOG!$E:$E,MATCH(1,(DATA_LOG!$A:$A=$A74)*(TEXT(DATA_LOG!$B:$B,""yyyy-MM-dd"")=TEXT(DATE($P$3,MONTH(1&amp;$N$3),VALUE(LEFT(V$75,2))),""yyyy-MM-dd"")),0)),""""),selectedDate,DATE($P$3,MONTH(1&amp;$N$3"&amp;"),VALUE(LEFT(V$75,2))),IF(logStatus&lt;&gt;"""",UPPER(logStatus),IF(selectedDate&gt;TODAY(),""-"",IF(REGEXMATCH(V$75,""SUN""),""WO"",IF(V$78&lt;&gt;"""",IF(VALUE(V$78)&gt;=9/24,""FD"",""HD""),""A"")))))))"),"-")</f>
        <v>-</v>
      </c>
      <c r="W79" s="43" t="str">
        <f>IFERROR(__xludf.DUMMYFUNCTION("IF($A74="""","""",IF(W$75="""","""",LET(logStatus,IFNA(INDEX(DATA_LOG!$E:$E,MATCH(1,(DATA_LOG!$A:$A=$A74)*(TEXT(DATA_LOG!$B:$B,""yyyy-MM-dd"")=TEXT(DATE($P$3,MONTH(1&amp;$N$3),VALUE(LEFT(W$75,2))),""yyyy-MM-dd"")),0)),""""),selectedDate,DATE($P$3,MONTH(1&amp;$N$3"&amp;"),VALUE(LEFT(W$75,2))),IF(logStatus&lt;&gt;"""",UPPER(logStatus),IF(selectedDate&gt;TODAY(),""-"",IF(REGEXMATCH(W$75,""SUN""),""WO"",IF(W$78&lt;&gt;"""",IF(VALUE(W$78)&gt;=9/24,""FD"",""HD""),""A"")))))))"),"-")</f>
        <v>-</v>
      </c>
      <c r="X79" s="43" t="str">
        <f>IFERROR(__xludf.DUMMYFUNCTION("IF($A74="""","""",IF(X$75="""","""",LET(logStatus,IFNA(INDEX(DATA_LOG!$E:$E,MATCH(1,(DATA_LOG!$A:$A=$A74)*(TEXT(DATA_LOG!$B:$B,""yyyy-MM-dd"")=TEXT(DATE($P$3,MONTH(1&amp;$N$3),VALUE(LEFT(X$75,2))),""yyyy-MM-dd"")),0)),""""),selectedDate,DATE($P$3,MONTH(1&amp;$N$3"&amp;"),VALUE(LEFT(X$75,2))),IF(logStatus&lt;&gt;"""",UPPER(logStatus),IF(selectedDate&gt;TODAY(),""-"",IF(REGEXMATCH(X$75,""SUN""),""WO"",IF(X$78&lt;&gt;"""",IF(VALUE(X$78)&gt;=9/24,""FD"",""HD""),""A"")))))))"),"-")</f>
        <v>-</v>
      </c>
      <c r="Y79" s="43" t="str">
        <f>IFERROR(__xludf.DUMMYFUNCTION("IF($A74="""","""",IF(Y$75="""","""",LET(logStatus,IFNA(INDEX(DATA_LOG!$E:$E,MATCH(1,(DATA_LOG!$A:$A=$A74)*(TEXT(DATA_LOG!$B:$B,""yyyy-MM-dd"")=TEXT(DATE($P$3,MONTH(1&amp;$N$3),VALUE(LEFT(Y$75,2))),""yyyy-MM-dd"")),0)),""""),selectedDate,DATE($P$3,MONTH(1&amp;$N$3"&amp;"),VALUE(LEFT(Y$75,2))),IF(logStatus&lt;&gt;"""",UPPER(logStatus),IF(selectedDate&gt;TODAY(),""-"",IF(REGEXMATCH(Y$75,""SUN""),""WO"",IF(Y$78&lt;&gt;"""",IF(VALUE(Y$78)&gt;=9/24,""FD"",""HD""),""A"")))))))"),"-")</f>
        <v>-</v>
      </c>
      <c r="Z79" s="43" t="str">
        <f>IFERROR(__xludf.DUMMYFUNCTION("IF($A74="""","""",IF(Z$75="""","""",LET(logStatus,IFNA(INDEX(DATA_LOG!$E:$E,MATCH(1,(DATA_LOG!$A:$A=$A74)*(TEXT(DATA_LOG!$B:$B,""yyyy-MM-dd"")=TEXT(DATE($P$3,MONTH(1&amp;$N$3),VALUE(LEFT(Z$75,2))),""yyyy-MM-dd"")),0)),""""),selectedDate,DATE($P$3,MONTH(1&amp;$N$3"&amp;"),VALUE(LEFT(Z$75,2))),IF(logStatus&lt;&gt;"""",UPPER(logStatus),IF(selectedDate&gt;TODAY(),""-"",IF(REGEXMATCH(Z$75,""SUN""),""WO"",IF(Z$78&lt;&gt;"""",IF(VALUE(Z$78)&gt;=9/24,""FD"",""HD""),""A"")))))))"),"-")</f>
        <v>-</v>
      </c>
      <c r="AA79" s="43" t="str">
        <f>IFERROR(__xludf.DUMMYFUNCTION("IF($A74="""","""",IF(AA$75="""","""",LET(logStatus,IFNA(INDEX(DATA_LOG!$E:$E,MATCH(1,(DATA_LOG!$A:$A=$A74)*(TEXT(DATA_LOG!$B:$B,""yyyy-MM-dd"")=TEXT(DATE($P$3,MONTH(1&amp;$N$3),VALUE(LEFT(AA$75,2))),""yyyy-MM-dd"")),0)),""""),selectedDate,DATE($P$3,MONTH(1&amp;$N"&amp;"$3),VALUE(LEFT(AA$75,2))),IF(logStatus&lt;&gt;"""",UPPER(logStatus),IF(selectedDate&gt;TODAY(),""-"",IF(REGEXMATCH(AA$75,""SUN""),""WO"",IF(AA$78&lt;&gt;"""",IF(VALUE(AA$78)&gt;=9/24,""FD"",""HD""),""A"")))))))"),"-")</f>
        <v>-</v>
      </c>
      <c r="AB79" s="43" t="str">
        <f>IFERROR(__xludf.DUMMYFUNCTION("IF($A74="""","""",IF(AB$75="""","""",LET(logStatus,IFNA(INDEX(DATA_LOG!$E:$E,MATCH(1,(DATA_LOG!$A:$A=$A74)*(TEXT(DATA_LOG!$B:$B,""yyyy-MM-dd"")=TEXT(DATE($P$3,MONTH(1&amp;$N$3),VALUE(LEFT(AB$75,2))),""yyyy-MM-dd"")),0)),""""),selectedDate,DATE($P$3,MONTH(1&amp;$N"&amp;"$3),VALUE(LEFT(AB$75,2))),IF(logStatus&lt;&gt;"""",UPPER(logStatus),IF(selectedDate&gt;TODAY(),""-"",IF(REGEXMATCH(AB$75,""SUN""),""WO"",IF(AB$78&lt;&gt;"""",IF(VALUE(AB$78)&gt;=9/24,""FD"",""HD""),""A"")))))))"),"-")</f>
        <v>-</v>
      </c>
      <c r="AC79" s="43" t="str">
        <f>IFERROR(__xludf.DUMMYFUNCTION("IF($A74="""","""",IF(AC$75="""","""",LET(logStatus,IFNA(INDEX(DATA_LOG!$E:$E,MATCH(1,(DATA_LOG!$A:$A=$A74)*(TEXT(DATA_LOG!$B:$B,""yyyy-MM-dd"")=TEXT(DATE($P$3,MONTH(1&amp;$N$3),VALUE(LEFT(AC$75,2))),""yyyy-MM-dd"")),0)),""""),selectedDate,DATE($P$3,MONTH(1&amp;$N"&amp;"$3),VALUE(LEFT(AC$75,2))),IF(logStatus&lt;&gt;"""",UPPER(logStatus),IF(selectedDate&gt;TODAY(),""-"",IF(REGEXMATCH(AC$75,""SUN""),""WO"",IF(AC$78&lt;&gt;"""",IF(VALUE(AC$78)&gt;=9/24,""FD"",""HD""),""A"")))))))"),"-")</f>
        <v>-</v>
      </c>
      <c r="AD79" s="43" t="str">
        <f>IFERROR(__xludf.DUMMYFUNCTION("IF($A74="""","""",IF(AD$75="""","""",LET(logStatus,IFNA(INDEX(DATA_LOG!$E:$E,MATCH(1,(DATA_LOG!$A:$A=$A74)*(TEXT(DATA_LOG!$B:$B,""yyyy-MM-dd"")=TEXT(DATE($P$3,MONTH(1&amp;$N$3),VALUE(LEFT(AD$75,2))),""yyyy-MM-dd"")),0)),""""),selectedDate,DATE($P$3,MONTH(1&amp;$N"&amp;"$3),VALUE(LEFT(AD$75,2))),IF(logStatus&lt;&gt;"""",UPPER(logStatus),IF(selectedDate&gt;TODAY(),""-"",IF(REGEXMATCH(AD$75,""SUN""),""WO"",IF(AD$78&lt;&gt;"""",IF(VALUE(AD$78)&gt;=9/24,""FD"",""HD""),""A"")))))))"),"-")</f>
        <v>-</v>
      </c>
      <c r="AE79" s="43" t="str">
        <f>IFERROR(__xludf.DUMMYFUNCTION("IF($A74="""","""",IF(AE$75="""","""",LET(logStatus,IFNA(INDEX(DATA_LOG!$E:$E,MATCH(1,(DATA_LOG!$A:$A=$A74)*(TEXT(DATA_LOG!$B:$B,""yyyy-MM-dd"")=TEXT(DATE($P$3,MONTH(1&amp;$N$3),VALUE(LEFT(AE$75,2))),""yyyy-MM-dd"")),0)),""""),selectedDate,DATE($P$3,MONTH(1&amp;$N"&amp;"$3),VALUE(LEFT(AE$75,2))),IF(logStatus&lt;&gt;"""",UPPER(logStatus),IF(selectedDate&gt;TODAY(),""-"",IF(REGEXMATCH(AE$75,""SUN""),""WO"",IF(AE$78&lt;&gt;"""",IF(VALUE(AE$78)&gt;=9/24,""FD"",""HD""),""A"")))))))"),"-")</f>
        <v>-</v>
      </c>
      <c r="AF79" s="43" t="str">
        <f>IFERROR(__xludf.DUMMYFUNCTION("IF($A74="""","""",IF(AF$75="""","""",LET(logStatus,IFNA(INDEX(DATA_LOG!$E:$E,MATCH(1,(DATA_LOG!$A:$A=$A74)*(TEXT(DATA_LOG!$B:$B,""yyyy-MM-dd"")=TEXT(DATE($P$3,MONTH(1&amp;$N$3),VALUE(LEFT(AF$75,2))),""yyyy-MM-dd"")),0)),""""),selectedDate,DATE($P$3,MONTH(1&amp;$N"&amp;"$3),VALUE(LEFT(AF$75,2))),IF(logStatus&lt;&gt;"""",UPPER(logStatus),IF(selectedDate&gt;TODAY(),""-"",IF(REGEXMATCH(AF$75,""SUN""),""WO"",IF(AF$78&lt;&gt;"""",IF(VALUE(AF$78)&gt;=9/24,""FD"",""HD""),""A"")))))))"),"")</f>
        <v/>
      </c>
    </row>
    <row r="80">
      <c r="A80" s="44"/>
    </row>
    <row r="81">
      <c r="A81" s="25" t="str">
        <f t="array" ref="A81">INDEX(EMPLOYEE_LIST!$A:$A,INT((ROW()-4)/7)+2)</f>
        <v>SOMNATH CHAKRABORTY</v>
      </c>
      <c r="B81" s="26"/>
      <c r="C81" s="27"/>
      <c r="D81" s="28" t="str">
        <f>IF(A81="", "", IFERROR(VLOOKUP(A81, EMPLOYEE_LIST!$A:$H, 2, FALSE), ""))</f>
        <v>AYV-50</v>
      </c>
      <c r="E81" s="26"/>
      <c r="F81" s="26"/>
      <c r="G81" s="27"/>
      <c r="H81" s="29" t="str">
        <f>IF(A81="", "", IFERROR(VLOOKUP(A81, EMPLOYEE_LIST!$A:$H, 3, FALSE), ""))</f>
        <v>CIVIL</v>
      </c>
      <c r="I81" s="26"/>
      <c r="J81" s="26"/>
      <c r="K81" s="27"/>
      <c r="L81" s="29" t="str">
        <f>IF(A81="", "", IFERROR(VLOOKUP(A81, EMPLOYEE_LIST!$A:$H, 4, FALSE), ""))</f>
        <v>PROJECT MANAGER</v>
      </c>
      <c r="M81" s="26"/>
      <c r="N81" s="26"/>
      <c r="O81" s="27"/>
      <c r="P81" s="30" t="str">
        <f>IF($A81="", "", "Full Day: " &amp; COUNTIF(B86:AF86, "FD"))</f>
        <v>Full Day: 0</v>
      </c>
      <c r="Q81" s="26"/>
      <c r="R81" s="27"/>
      <c r="S81" s="31" t="str">
        <f>IF($A81="", "", "HALF Day: " &amp; COUNTIF(B86:AF86, "HD"))</f>
        <v>HALF Day: 0</v>
      </c>
      <c r="T81" s="26"/>
      <c r="U81" s="27"/>
      <c r="V81" s="31" t="str">
        <f>IF($A81="", "", "ABSENT: " &amp; COUNTIF(B86:AF86, "A"))</f>
        <v>ABSENT: 10</v>
      </c>
      <c r="W81" s="26"/>
      <c r="X81" s="27"/>
      <c r="Y81" s="31" t="str">
        <f>IF($A81="", "", "WEEK OFF: " &amp; COUNTIF(B86:AF86, "WO"))</f>
        <v>WEEK OFF: 1</v>
      </c>
      <c r="Z81" s="26"/>
      <c r="AA81" s="27"/>
      <c r="AB81" s="31" t="str">
        <f>IF($A81="", "", "LEAVE: " &amp; COUNTIF(B86:AF86, "L"))</f>
        <v>LEAVE: 0</v>
      </c>
      <c r="AC81" s="27"/>
      <c r="AD81" s="31" t="str">
        <f>IF($A81="", "", "HOLIDAY: " &amp; COUNTIF(B86:AF86, "HL"))</f>
        <v>HOLIDAY: 0</v>
      </c>
      <c r="AE81" s="26"/>
      <c r="AF81" s="27"/>
    </row>
    <row r="82">
      <c r="A82" s="32" t="str">
        <f>IF($A81="", "", "DATE")</f>
        <v>DATE</v>
      </c>
      <c r="B82" s="33" t="str">
        <f t="array" ref="B82:AE82">IF($A81="","",LET(mNum,MONTH(1&amp;$N$3),start,DATE($P$3,mNum,1),days,DAY(EOMONTH(start,0)),MAP(SEQUENCE(1,days,0),LAMBDA(n,UPPER(TEXT(start+n,"dd (ddd)"))))))</f>
        <v>01 (TUE)</v>
      </c>
      <c r="C82" s="34" t="s">
        <v>89</v>
      </c>
      <c r="D82" s="34" t="s">
        <v>90</v>
      </c>
      <c r="E82" s="34" t="s">
        <v>91</v>
      </c>
      <c r="F82" s="34" t="s">
        <v>92</v>
      </c>
      <c r="G82" s="34" t="s">
        <v>93</v>
      </c>
      <c r="H82" s="34" t="s">
        <v>94</v>
      </c>
      <c r="I82" s="34" t="s">
        <v>95</v>
      </c>
      <c r="J82" s="34" t="s">
        <v>96</v>
      </c>
      <c r="K82" s="34" t="s">
        <v>97</v>
      </c>
      <c r="L82" s="34" t="s">
        <v>98</v>
      </c>
      <c r="M82" s="34" t="s">
        <v>99</v>
      </c>
      <c r="N82" s="34" t="s">
        <v>100</v>
      </c>
      <c r="O82" s="34" t="s">
        <v>101</v>
      </c>
      <c r="P82" s="34" t="s">
        <v>102</v>
      </c>
      <c r="Q82" s="34" t="s">
        <v>103</v>
      </c>
      <c r="R82" s="34" t="s">
        <v>104</v>
      </c>
      <c r="S82" s="34" t="s">
        <v>105</v>
      </c>
      <c r="T82" s="34" t="s">
        <v>106</v>
      </c>
      <c r="U82" s="34" t="s">
        <v>107</v>
      </c>
      <c r="V82" s="34" t="s">
        <v>108</v>
      </c>
      <c r="W82" s="34" t="s">
        <v>109</v>
      </c>
      <c r="X82" s="34" t="s">
        <v>110</v>
      </c>
      <c r="Y82" s="34" t="s">
        <v>111</v>
      </c>
      <c r="Z82" s="34" t="s">
        <v>112</v>
      </c>
      <c r="AA82" s="34" t="s">
        <v>113</v>
      </c>
      <c r="AB82" s="34" t="s">
        <v>114</v>
      </c>
      <c r="AC82" s="34" t="s">
        <v>115</v>
      </c>
      <c r="AD82" s="34" t="s">
        <v>116</v>
      </c>
      <c r="AE82" s="34" t="s">
        <v>117</v>
      </c>
      <c r="AF82" s="34"/>
    </row>
    <row r="83">
      <c r="A83" s="37" t="str">
        <f>IF($A81="", "", "IN")</f>
        <v>IN</v>
      </c>
      <c r="B83" s="38" t="str">
        <f t="array" ref="B83">IF(OR($A81="",B$82=""),"",IFNA(INDEX(DATA_LOG!$C:$C,MATCH(1,(DATA_LOG!$A:$A=$A81)*(TEXT(DATA_LOG!$B:$B,"yyyy-MM-dd")=TEXT(DATE($P$3,MONTH(1&amp;$N$3),VALUE(LEFT(B$82,2))),"yyyy-MM-dd")),0)),""))</f>
        <v/>
      </c>
      <c r="C83" s="39" t="str">
        <f t="array" ref="C83">IF(OR($A81="",C$5=""),"",IFNA(INDEX(DATA_LOG!$C:$C,MATCH(1,(DATA_LOG!$A:$A=$A81)*(TEXT(DATA_LOG!$B:$B,"yyyy-MM-dd")=TEXT(DATE($P$3,MONTH(1&amp;$N$3),VALUE(LEFT(C$5,2))),"yyyy-MM-dd")),0)),""))</f>
        <v/>
      </c>
      <c r="D83" s="39" t="str">
        <f t="array" ref="D83">IF(OR($A81="",D$5=""),"",IFNA(INDEX(DATA_LOG!$C:$C,MATCH(1,(DATA_LOG!$A:$A=$A81)*(TEXT(DATA_LOG!$B:$B,"yyyy-MM-dd")=TEXT(DATE($P$3,MONTH(1&amp;$N$3),VALUE(LEFT(D$5,2))),"yyyy-MM-dd")),0)),""))</f>
        <v/>
      </c>
      <c r="E83" s="39" t="str">
        <f t="array" ref="E83">IF(OR($A81="",E$5=""),"",IFNA(INDEX(DATA_LOG!$C:$C,MATCH(1,(DATA_LOG!$A:$A=$A81)*(TEXT(DATA_LOG!$B:$B,"yyyy-MM-dd")=TEXT(DATE($P$3,MONTH(1&amp;$N$3),VALUE(LEFT(E$5,2))),"yyyy-MM-dd")),0)),""))</f>
        <v/>
      </c>
      <c r="F83" s="39" t="str">
        <f t="array" ref="F83">IF(OR($A81="",F$5=""),"",IFNA(INDEX(DATA_LOG!$C:$C,MATCH(1,(DATA_LOG!$A:$A=$A81)*(TEXT(DATA_LOG!$B:$B,"yyyy-MM-dd")=TEXT(DATE($P$3,MONTH(1&amp;$N$3),VALUE(LEFT(F$5,2))),"yyyy-MM-dd")),0)),""))</f>
        <v/>
      </c>
      <c r="G83" s="39" t="str">
        <f t="array" ref="G83">IF(OR($A81="",G$5=""),"",IFNA(INDEX(DATA_LOG!$C:$C,MATCH(1,(DATA_LOG!$A:$A=$A81)*(TEXT(DATA_LOG!$B:$B,"yyyy-MM-dd")=TEXT(DATE($P$3,MONTH(1&amp;$N$3),VALUE(LEFT(G$5,2))),"yyyy-MM-dd")),0)),""))</f>
        <v/>
      </c>
      <c r="H83" s="39" t="str">
        <f t="array" ref="H83">IF(OR($A81="",H$5=""),"",IFNA(INDEX(DATA_LOG!$C:$C,MATCH(1,(DATA_LOG!$A:$A=$A81)*(TEXT(DATA_LOG!$B:$B,"yyyy-MM-dd")=TEXT(DATE($P$3,MONTH(1&amp;$N$3),VALUE(LEFT(H$5,2))),"yyyy-MM-dd")),0)),""))</f>
        <v/>
      </c>
      <c r="I83" s="39" t="str">
        <f t="array" ref="I83">IF(OR($A81="",I$5=""),"",IFNA(INDEX(DATA_LOG!$C:$C,MATCH(1,(DATA_LOG!$A:$A=$A81)*(TEXT(DATA_LOG!$B:$B,"yyyy-MM-dd")=TEXT(DATE($P$3,MONTH(1&amp;$N$3),VALUE(LEFT(I$5,2))),"yyyy-MM-dd")),0)),""))</f>
        <v/>
      </c>
      <c r="J83" s="39" t="str">
        <f t="array" ref="J83">IF(OR($A81="",J$5=""),"",IFNA(INDEX(DATA_LOG!$C:$C,MATCH(1,(DATA_LOG!$A:$A=$A81)*(TEXT(DATA_LOG!$B:$B,"yyyy-MM-dd")=TEXT(DATE($P$3,MONTH(1&amp;$N$3),VALUE(LEFT(J$5,2))),"yyyy-MM-dd")),0)),""))</f>
        <v/>
      </c>
      <c r="K83" s="39" t="str">
        <f t="array" ref="K83">IF(OR($A81="",K$5=""),"",IFNA(INDEX(DATA_LOG!$C:$C,MATCH(1,(DATA_LOG!$A:$A=$A81)*(TEXT(DATA_LOG!$B:$B,"yyyy-MM-dd")=TEXT(DATE($P$3,MONTH(1&amp;$N$3),VALUE(LEFT(K$5,2))),"yyyy-MM-dd")),0)),""))</f>
        <v/>
      </c>
      <c r="L83" s="39" t="str">
        <f t="array" ref="L83">IF(OR($A81="",L$5=""),"",IFNA(INDEX(DATA_LOG!$C:$C,MATCH(1,(DATA_LOG!$A:$A=$A81)*(TEXT(DATA_LOG!$B:$B,"yyyy-MM-dd")=TEXT(DATE($P$3,MONTH(1&amp;$N$3),VALUE(LEFT(L$5,2))),"yyyy-MM-dd")),0)),""))</f>
        <v/>
      </c>
      <c r="M83" s="39" t="str">
        <f t="array" ref="M83">IF(OR($A81="",M$5=""),"",IFNA(INDEX(DATA_LOG!$C:$C,MATCH(1,(DATA_LOG!$A:$A=$A81)*(TEXT(DATA_LOG!$B:$B,"yyyy-MM-dd")=TEXT(DATE($P$3,MONTH(1&amp;$N$3),VALUE(LEFT(M$5,2))),"yyyy-MM-dd")),0)),""))</f>
        <v/>
      </c>
      <c r="N83" s="39" t="str">
        <f t="array" ref="N83">IF(OR($A81="",N$5=""),"",IFNA(INDEX(DATA_LOG!$C:$C,MATCH(1,(DATA_LOG!$A:$A=$A81)*(TEXT(DATA_LOG!$B:$B,"yyyy-MM-dd")=TEXT(DATE($P$3,MONTH(1&amp;$N$3),VALUE(LEFT(N$5,2))),"yyyy-MM-dd")),0)),""))</f>
        <v/>
      </c>
      <c r="O83" s="39" t="str">
        <f t="array" ref="O83">IF(OR($A81="",O$5=""),"",IFNA(INDEX(DATA_LOG!$C:$C,MATCH(1,(DATA_LOG!$A:$A=$A81)*(TEXT(DATA_LOG!$B:$B,"yyyy-MM-dd")=TEXT(DATE($P$3,MONTH(1&amp;$N$3),VALUE(LEFT(O$5,2))),"yyyy-MM-dd")),0)),""))</f>
        <v/>
      </c>
      <c r="P83" s="39" t="str">
        <f t="array" ref="P83">IF(OR($A81="",P$5=""),"",IFNA(INDEX(DATA_LOG!$C:$C,MATCH(1,(DATA_LOG!$A:$A=$A81)*(TEXT(DATA_LOG!$B:$B,"yyyy-MM-dd")=TEXT(DATE($P$3,MONTH(1&amp;$N$3),VALUE(LEFT(P$5,2))),"yyyy-MM-dd")),0)),""))</f>
        <v/>
      </c>
      <c r="Q83" s="39" t="str">
        <f t="array" ref="Q83">IF(OR($A81="",Q$5=""),"",IFNA(INDEX(DATA_LOG!$C:$C,MATCH(1,(DATA_LOG!$A:$A=$A81)*(TEXT(DATA_LOG!$B:$B,"yyyy-MM-dd")=TEXT(DATE($P$3,MONTH(1&amp;$N$3),VALUE(LEFT(Q$5,2))),"yyyy-MM-dd")),0)),""))</f>
        <v/>
      </c>
      <c r="R83" s="39" t="str">
        <f t="array" ref="R83">IF(OR($A81="",R$5=""),"",IFNA(INDEX(DATA_LOG!$C:$C,MATCH(1,(DATA_LOG!$A:$A=$A81)*(TEXT(DATA_LOG!$B:$B,"yyyy-MM-dd")=TEXT(DATE($P$3,MONTH(1&amp;$N$3),VALUE(LEFT(R$5,2))),"yyyy-MM-dd")),0)),""))</f>
        <v/>
      </c>
      <c r="S83" s="39" t="str">
        <f t="array" ref="S83">IF(OR($A81="",S$5=""),"",IFNA(INDEX(DATA_LOG!$C:$C,MATCH(1,(DATA_LOG!$A:$A=$A81)*(TEXT(DATA_LOG!$B:$B,"yyyy-MM-dd")=TEXT(DATE($P$3,MONTH(1&amp;$N$3),VALUE(LEFT(S$5,2))),"yyyy-MM-dd")),0)),""))</f>
        <v/>
      </c>
      <c r="T83" s="39" t="str">
        <f t="array" ref="T83">IF(OR($A81="",T$5=""),"",IFNA(INDEX(DATA_LOG!$C:$C,MATCH(1,(DATA_LOG!$A:$A=$A81)*(TEXT(DATA_LOG!$B:$B,"yyyy-MM-dd")=TEXT(DATE($P$3,MONTH(1&amp;$N$3),VALUE(LEFT(T$5,2))),"yyyy-MM-dd")),0)),""))</f>
        <v/>
      </c>
      <c r="U83" s="39" t="str">
        <f t="array" ref="U83">IF(OR($A81="",U$5=""),"",IFNA(INDEX(DATA_LOG!$C:$C,MATCH(1,(DATA_LOG!$A:$A=$A81)*(TEXT(DATA_LOG!$B:$B,"yyyy-MM-dd")=TEXT(DATE($P$3,MONTH(1&amp;$N$3),VALUE(LEFT(U$5,2))),"yyyy-MM-dd")),0)),""))</f>
        <v/>
      </c>
      <c r="V83" s="39" t="str">
        <f t="array" ref="V83">IF(OR($A81="",V$5=""),"",IFNA(INDEX(DATA_LOG!$C:$C,MATCH(1,(DATA_LOG!$A:$A=$A81)*(TEXT(DATA_LOG!$B:$B,"yyyy-MM-dd")=TEXT(DATE($P$3,MONTH(1&amp;$N$3),VALUE(LEFT(V$5,2))),"yyyy-MM-dd")),0)),""))</f>
        <v/>
      </c>
      <c r="W83" s="39" t="str">
        <f t="array" ref="W83">IF(OR($A81="",W$5=""),"",IFNA(INDEX(DATA_LOG!$C:$C,MATCH(1,(DATA_LOG!$A:$A=$A81)*(TEXT(DATA_LOG!$B:$B,"yyyy-MM-dd")=TEXT(DATE($P$3,MONTH(1&amp;$N$3),VALUE(LEFT(W$5,2))),"yyyy-MM-dd")),0)),""))</f>
        <v/>
      </c>
      <c r="X83" s="39" t="str">
        <f t="array" ref="X83">IF(OR($A81="",X$5=""),"",IFNA(INDEX(DATA_LOG!$C:$C,MATCH(1,(DATA_LOG!$A:$A=$A81)*(TEXT(DATA_LOG!$B:$B,"yyyy-MM-dd")=TEXT(DATE($P$3,MONTH(1&amp;$N$3),VALUE(LEFT(X$5,2))),"yyyy-MM-dd")),0)),""))</f>
        <v/>
      </c>
      <c r="Y83" s="39" t="str">
        <f t="array" ref="Y83">IF(OR($A81="",Y$5=""),"",IFNA(INDEX(DATA_LOG!$C:$C,MATCH(1,(DATA_LOG!$A:$A=$A81)*(TEXT(DATA_LOG!$B:$B,"yyyy-MM-dd")=TEXT(DATE($P$3,MONTH(1&amp;$N$3),VALUE(LEFT(Y$5,2))),"yyyy-MM-dd")),0)),""))</f>
        <v/>
      </c>
      <c r="Z83" s="39" t="str">
        <f t="array" ref="Z83">IF(OR($A81="",Z$5=""),"",IFNA(INDEX(DATA_LOG!$C:$C,MATCH(1,(DATA_LOG!$A:$A=$A81)*(TEXT(DATA_LOG!$B:$B,"yyyy-MM-dd")=TEXT(DATE($P$3,MONTH(1&amp;$N$3),VALUE(LEFT(Z$5,2))),"yyyy-MM-dd")),0)),""))</f>
        <v/>
      </c>
      <c r="AA83" s="39" t="str">
        <f t="array" ref="AA83">IF(OR($A81="",AA$5=""),"",IFNA(INDEX(DATA_LOG!$C:$C,MATCH(1,(DATA_LOG!$A:$A=$A81)*(TEXT(DATA_LOG!$B:$B,"yyyy-MM-dd")=TEXT(DATE($P$3,MONTH(1&amp;$N$3),VALUE(LEFT(AA$5,2))),"yyyy-MM-dd")),0)),""))</f>
        <v/>
      </c>
      <c r="AB83" s="39" t="str">
        <f t="array" ref="AB83">IF(OR($A81="",AB$5=""),"",IFNA(INDEX(DATA_LOG!$C:$C,MATCH(1,(DATA_LOG!$A:$A=$A81)*(TEXT(DATA_LOG!$B:$B,"yyyy-MM-dd")=TEXT(DATE($P$3,MONTH(1&amp;$N$3),VALUE(LEFT(AB$5,2))),"yyyy-MM-dd")),0)),""))</f>
        <v/>
      </c>
      <c r="AC83" s="39" t="str">
        <f t="array" ref="AC83">IF(OR($A81="",AC$5=""),"",IFNA(INDEX(DATA_LOG!$C:$C,MATCH(1,(DATA_LOG!$A:$A=$A81)*(TEXT(DATA_LOG!$B:$B,"yyyy-MM-dd")=TEXT(DATE($P$3,MONTH(1&amp;$N$3),VALUE(LEFT(AC$5,2))),"yyyy-MM-dd")),0)),""))</f>
        <v/>
      </c>
      <c r="AD83" s="39" t="str">
        <f t="array" ref="AD83">IF(OR($A81="",AD$5=""),"",IFNA(INDEX(DATA_LOG!$C:$C,MATCH(1,(DATA_LOG!$A:$A=$A81)*(TEXT(DATA_LOG!$B:$B,"yyyy-MM-dd")=TEXT(DATE($P$3,MONTH(1&amp;$N$3),VALUE(LEFT(AD$5,2))),"yyyy-MM-dd")),0)),""))</f>
        <v/>
      </c>
      <c r="AE83" s="39" t="str">
        <f t="array" ref="AE83">IF(OR($A81="",AE$5=""),"",IFNA(INDEX(DATA_LOG!$C:$C,MATCH(1,(DATA_LOG!$A:$A=$A81)*(TEXT(DATA_LOG!$B:$B,"yyyy-MM-dd")=TEXT(DATE($P$3,MONTH(1&amp;$N$3),VALUE(LEFT(AE$5,2))),"yyyy-MM-dd")),0)),""))</f>
        <v/>
      </c>
      <c r="AF83" s="39" t="str">
        <f t="array" ref="AF83">IF(OR($A81="",AF$5=""),"",IFNA(INDEX(DATA_LOG!$C:$C,MATCH(1,(DATA_LOG!$A:$A=$A81)*(TEXT(DATA_LOG!$B:$B,"yyyy-MM-dd")=TEXT(DATE($P$3,MONTH(1&amp;$N$3),VALUE(LEFT(AF$5,2))),"yyyy-MM-dd")),0)),""))</f>
        <v/>
      </c>
    </row>
    <row r="84">
      <c r="A84" s="37" t="str">
        <f>IF($A81="", "", "OUT")</f>
        <v>OUT</v>
      </c>
      <c r="B84" s="39" t="str">
        <f t="array" ref="B84">IF(OR($A81="",B$5=""),"",IFNA(INDEX(DATA_LOG!$D:$D,MATCH(1,(DATA_LOG!$A:$A=$A81)*(TEXT(DATA_LOG!$B:$B,"yyyy-MM-dd")=TEXT(DATE($P$3,MONTH(1&amp;$N$3),VALUE(LEFT(B$5,2))),"yyyy-MM-dd")),0)),""))</f>
        <v/>
      </c>
      <c r="C84" s="39" t="str">
        <f t="array" ref="C84">IF(OR($A81="",C$5=""),"",IFNA(INDEX(DATA_LOG!$D:$D,MATCH(1,(DATA_LOG!$A:$A=$A81)*(TEXT(DATA_LOG!$B:$B,"yyyy-MM-dd")=TEXT(DATE($P$3,MONTH(1&amp;$N$3),VALUE(LEFT(C$5,2))),"yyyy-MM-dd")),0)),""))</f>
        <v/>
      </c>
      <c r="D84" s="39" t="str">
        <f t="array" ref="D84">IF(OR($A81="",D$5=""),"",IFNA(INDEX(DATA_LOG!$D:$D,MATCH(1,(DATA_LOG!$A:$A=$A81)*(TEXT(DATA_LOG!$B:$B,"yyyy-MM-dd")=TEXT(DATE($P$3,MONTH(1&amp;$N$3),VALUE(LEFT(D$5,2))),"yyyy-MM-dd")),0)),""))</f>
        <v/>
      </c>
      <c r="E84" s="39" t="str">
        <f t="array" ref="E84">IF(OR($A81="",E$5=""),"",IFNA(INDEX(DATA_LOG!$D:$D,MATCH(1,(DATA_LOG!$A:$A=$A81)*(TEXT(DATA_LOG!$B:$B,"yyyy-MM-dd")=TEXT(DATE($P$3,MONTH(1&amp;$N$3),VALUE(LEFT(E$5,2))),"yyyy-MM-dd")),0)),""))</f>
        <v/>
      </c>
      <c r="F84" s="39" t="str">
        <f t="array" ref="F84">IF(OR($A81="",F$5=""),"",IFNA(INDEX(DATA_LOG!$D:$D,MATCH(1,(DATA_LOG!$A:$A=$A81)*(TEXT(DATA_LOG!$B:$B,"yyyy-MM-dd")=TEXT(DATE($P$3,MONTH(1&amp;$N$3),VALUE(LEFT(F$5,2))),"yyyy-MM-dd")),0)),""))</f>
        <v/>
      </c>
      <c r="G84" s="39" t="str">
        <f t="array" ref="G84">IF(OR($A81="",G$5=""),"",IFNA(INDEX(DATA_LOG!$D:$D,MATCH(1,(DATA_LOG!$A:$A=$A81)*(TEXT(DATA_LOG!$B:$B,"yyyy-MM-dd")=TEXT(DATE($P$3,MONTH(1&amp;$N$3),VALUE(LEFT(G$5,2))),"yyyy-MM-dd")),0)),""))</f>
        <v/>
      </c>
      <c r="H84" s="39" t="str">
        <f t="array" ref="H84">IF(OR($A81="",H$5=""),"",IFNA(INDEX(DATA_LOG!$D:$D,MATCH(1,(DATA_LOG!$A:$A=$A81)*(TEXT(DATA_LOG!$B:$B,"yyyy-MM-dd")=TEXT(DATE($P$3,MONTH(1&amp;$N$3),VALUE(LEFT(H$5,2))),"yyyy-MM-dd")),0)),""))</f>
        <v/>
      </c>
      <c r="I84" s="39" t="str">
        <f t="array" ref="I84">IF(OR($A81="",I$5=""),"",IFNA(INDEX(DATA_LOG!$D:$D,MATCH(1,(DATA_LOG!$A:$A=$A81)*(TEXT(DATA_LOG!$B:$B,"yyyy-MM-dd")=TEXT(DATE($P$3,MONTH(1&amp;$N$3),VALUE(LEFT(I$5,2))),"yyyy-MM-dd")),0)),""))</f>
        <v/>
      </c>
      <c r="J84" s="39" t="str">
        <f t="array" ref="J84">IF(OR($A81="",J$5=""),"",IFNA(INDEX(DATA_LOG!$D:$D,MATCH(1,(DATA_LOG!$A:$A=$A81)*(TEXT(DATA_LOG!$B:$B,"yyyy-MM-dd")=TEXT(DATE($P$3,MONTH(1&amp;$N$3),VALUE(LEFT(J$5,2))),"yyyy-MM-dd")),0)),""))</f>
        <v/>
      </c>
      <c r="K84" s="39" t="str">
        <f t="array" ref="K84">IF(OR($A81="",K$5=""),"",IFNA(INDEX(DATA_LOG!$D:$D,MATCH(1,(DATA_LOG!$A:$A=$A81)*(TEXT(DATA_LOG!$B:$B,"yyyy-MM-dd")=TEXT(DATE($P$3,MONTH(1&amp;$N$3),VALUE(LEFT(K$5,2))),"yyyy-MM-dd")),0)),""))</f>
        <v/>
      </c>
      <c r="L84" s="39" t="str">
        <f t="array" ref="L84">IF(OR($A81="",L$5=""),"",IFNA(INDEX(DATA_LOG!$D:$D,MATCH(1,(DATA_LOG!$A:$A=$A81)*(TEXT(DATA_LOG!$B:$B,"yyyy-MM-dd")=TEXT(DATE($P$3,MONTH(1&amp;$N$3),VALUE(LEFT(L$5,2))),"yyyy-MM-dd")),0)),""))</f>
        <v/>
      </c>
      <c r="M84" s="39" t="str">
        <f t="array" ref="M84">IF(OR($A81="",M$5=""),"",IFNA(INDEX(DATA_LOG!$D:$D,MATCH(1,(DATA_LOG!$A:$A=$A81)*(TEXT(DATA_LOG!$B:$B,"yyyy-MM-dd")=TEXT(DATE($P$3,MONTH(1&amp;$N$3),VALUE(LEFT(M$5,2))),"yyyy-MM-dd")),0)),""))</f>
        <v/>
      </c>
      <c r="N84" s="39" t="str">
        <f t="array" ref="N84">IF(OR($A81="",N$5=""),"",IFNA(INDEX(DATA_LOG!$D:$D,MATCH(1,(DATA_LOG!$A:$A=$A81)*(TEXT(DATA_LOG!$B:$B,"yyyy-MM-dd")=TEXT(DATE($P$3,MONTH(1&amp;$N$3),VALUE(LEFT(N$5,2))),"yyyy-MM-dd")),0)),""))</f>
        <v/>
      </c>
      <c r="O84" s="39" t="str">
        <f t="array" ref="O84">IF(OR($A81="",O$5=""),"",IFNA(INDEX(DATA_LOG!$D:$D,MATCH(1,(DATA_LOG!$A:$A=$A81)*(TEXT(DATA_LOG!$B:$B,"yyyy-MM-dd")=TEXT(DATE($P$3,MONTH(1&amp;$N$3),VALUE(LEFT(O$5,2))),"yyyy-MM-dd")),0)),""))</f>
        <v/>
      </c>
      <c r="P84" s="39" t="str">
        <f t="array" ref="P84">IF(OR($A81="",P$5=""),"",IFNA(INDEX(DATA_LOG!$D:$D,MATCH(1,(DATA_LOG!$A:$A=$A81)*(TEXT(DATA_LOG!$B:$B,"yyyy-MM-dd")=TEXT(DATE($P$3,MONTH(1&amp;$N$3),VALUE(LEFT(P$5,2))),"yyyy-MM-dd")),0)),""))</f>
        <v/>
      </c>
      <c r="Q84" s="39" t="str">
        <f t="array" ref="Q84">IF(OR($A81="",Q$5=""),"",IFNA(INDEX(DATA_LOG!$D:$D,MATCH(1,(DATA_LOG!$A:$A=$A81)*(TEXT(DATA_LOG!$B:$B,"yyyy-MM-dd")=TEXT(DATE($P$3,MONTH(1&amp;$N$3),VALUE(LEFT(Q$5,2))),"yyyy-MM-dd")),0)),""))</f>
        <v/>
      </c>
      <c r="R84" s="39" t="str">
        <f t="array" ref="R84">IF(OR($A81="",R$5=""),"",IFNA(INDEX(DATA_LOG!$D:$D,MATCH(1,(DATA_LOG!$A:$A=$A81)*(TEXT(DATA_LOG!$B:$B,"yyyy-MM-dd")=TEXT(DATE($P$3,MONTH(1&amp;$N$3),VALUE(LEFT(R$5,2))),"yyyy-MM-dd")),0)),""))</f>
        <v/>
      </c>
      <c r="S84" s="39" t="str">
        <f t="array" ref="S84">IF(OR($A81="",S$5=""),"",IFNA(INDEX(DATA_LOG!$D:$D,MATCH(1,(DATA_LOG!$A:$A=$A81)*(TEXT(DATA_LOG!$B:$B,"yyyy-MM-dd")=TEXT(DATE($P$3,MONTH(1&amp;$N$3),VALUE(LEFT(S$5,2))),"yyyy-MM-dd")),0)),""))</f>
        <v/>
      </c>
      <c r="T84" s="39" t="str">
        <f t="array" ref="T84">IF(OR($A81="",T$5=""),"",IFNA(INDEX(DATA_LOG!$D:$D,MATCH(1,(DATA_LOG!$A:$A=$A81)*(TEXT(DATA_LOG!$B:$B,"yyyy-MM-dd")=TEXT(DATE($P$3,MONTH(1&amp;$N$3),VALUE(LEFT(T$5,2))),"yyyy-MM-dd")),0)),""))</f>
        <v/>
      </c>
      <c r="U84" s="39" t="str">
        <f t="array" ref="U84">IF(OR($A81="",U$5=""),"",IFNA(INDEX(DATA_LOG!$D:$D,MATCH(1,(DATA_LOG!$A:$A=$A81)*(TEXT(DATA_LOG!$B:$B,"yyyy-MM-dd")=TEXT(DATE($P$3,MONTH(1&amp;$N$3),VALUE(LEFT(U$5,2))),"yyyy-MM-dd")),0)),""))</f>
        <v/>
      </c>
      <c r="V84" s="39" t="str">
        <f t="array" ref="V84">IF(OR($A81="",V$5=""),"",IFNA(INDEX(DATA_LOG!$D:$D,MATCH(1,(DATA_LOG!$A:$A=$A81)*(TEXT(DATA_LOG!$B:$B,"yyyy-MM-dd")=TEXT(DATE($P$3,MONTH(1&amp;$N$3),VALUE(LEFT(V$5,2))),"yyyy-MM-dd")),0)),""))</f>
        <v/>
      </c>
      <c r="W84" s="39" t="str">
        <f t="array" ref="W84">IF(OR($A81="",W$5=""),"",IFNA(INDEX(DATA_LOG!$D:$D,MATCH(1,(DATA_LOG!$A:$A=$A81)*(TEXT(DATA_LOG!$B:$B,"yyyy-MM-dd")=TEXT(DATE($P$3,MONTH(1&amp;$N$3),VALUE(LEFT(W$5,2))),"yyyy-MM-dd")),0)),""))</f>
        <v/>
      </c>
      <c r="X84" s="39" t="str">
        <f t="array" ref="X84">IF(OR($A81="",X$5=""),"",IFNA(INDEX(DATA_LOG!$D:$D,MATCH(1,(DATA_LOG!$A:$A=$A81)*(TEXT(DATA_LOG!$B:$B,"yyyy-MM-dd")=TEXT(DATE($P$3,MONTH(1&amp;$N$3),VALUE(LEFT(X$5,2))),"yyyy-MM-dd")),0)),""))</f>
        <v/>
      </c>
      <c r="Y84" s="39" t="str">
        <f t="array" ref="Y84">IF(OR($A81="",Y$5=""),"",IFNA(INDEX(DATA_LOG!$D:$D,MATCH(1,(DATA_LOG!$A:$A=$A81)*(TEXT(DATA_LOG!$B:$B,"yyyy-MM-dd")=TEXT(DATE($P$3,MONTH(1&amp;$N$3),VALUE(LEFT(Y$5,2))),"yyyy-MM-dd")),0)),""))</f>
        <v/>
      </c>
      <c r="Z84" s="39" t="str">
        <f t="array" ref="Z84">IF(OR($A81="",Z$5=""),"",IFNA(INDEX(DATA_LOG!$D:$D,MATCH(1,(DATA_LOG!$A:$A=$A81)*(TEXT(DATA_LOG!$B:$B,"yyyy-MM-dd")=TEXT(DATE($P$3,MONTH(1&amp;$N$3),VALUE(LEFT(Z$5,2))),"yyyy-MM-dd")),0)),""))</f>
        <v/>
      </c>
      <c r="AA84" s="39" t="str">
        <f t="array" ref="AA84">IF(OR($A81="",AA$5=""),"",IFNA(INDEX(DATA_LOG!$D:$D,MATCH(1,(DATA_LOG!$A:$A=$A81)*(TEXT(DATA_LOG!$B:$B,"yyyy-MM-dd")=TEXT(DATE($P$3,MONTH(1&amp;$N$3),VALUE(LEFT(AA$5,2))),"yyyy-MM-dd")),0)),""))</f>
        <v/>
      </c>
      <c r="AB84" s="39" t="str">
        <f t="array" ref="AB84">IF(OR($A81="",AB$5=""),"",IFNA(INDEX(DATA_LOG!$D:$D,MATCH(1,(DATA_LOG!$A:$A=$A81)*(TEXT(DATA_LOG!$B:$B,"yyyy-MM-dd")=TEXT(DATE($P$3,MONTH(1&amp;$N$3),VALUE(LEFT(AB$5,2))),"yyyy-MM-dd")),0)),""))</f>
        <v/>
      </c>
      <c r="AC84" s="39" t="str">
        <f t="array" ref="AC84">IF(OR($A81="",AC$5=""),"",IFNA(INDEX(DATA_LOG!$D:$D,MATCH(1,(DATA_LOG!$A:$A=$A81)*(TEXT(DATA_LOG!$B:$B,"yyyy-MM-dd")=TEXT(DATE($P$3,MONTH(1&amp;$N$3),VALUE(LEFT(AC$5,2))),"yyyy-MM-dd")),0)),""))</f>
        <v/>
      </c>
      <c r="AD84" s="39" t="str">
        <f t="array" ref="AD84">IF(OR($A81="",AD$5=""),"",IFNA(INDEX(DATA_LOG!$D:$D,MATCH(1,(DATA_LOG!$A:$A=$A81)*(TEXT(DATA_LOG!$B:$B,"yyyy-MM-dd")=TEXT(DATE($P$3,MONTH(1&amp;$N$3),VALUE(LEFT(AD$5,2))),"yyyy-MM-dd")),0)),""))</f>
        <v/>
      </c>
      <c r="AE84" s="39" t="str">
        <f t="array" ref="AE84">IF(OR($A81="",AE$5=""),"",IFNA(INDEX(DATA_LOG!$D:$D,MATCH(1,(DATA_LOG!$A:$A=$A81)*(TEXT(DATA_LOG!$B:$B,"yyyy-MM-dd")=TEXT(DATE($P$3,MONTH(1&amp;$N$3),VALUE(LEFT(AE$5,2))),"yyyy-MM-dd")),0)),""))</f>
        <v/>
      </c>
      <c r="AF84" s="39" t="str">
        <f t="array" ref="AF84">IF(OR($A81="",AF$5=""),"",IFNA(INDEX(DATA_LOG!$D:$D,MATCH(1,(DATA_LOG!$A:$A=$A81)*(TEXT(DATA_LOG!$B:$B,"yyyy-MM-dd")=TEXT(DATE($P$3,MONTH(1&amp;$N$3),VALUE(LEFT(AF$5,2))),"yyyy-MM-dd")),0)),""))</f>
        <v/>
      </c>
    </row>
    <row r="85">
      <c r="A85" s="40" t="str">
        <f>IF($A81="", "", "TOTAL")</f>
        <v>TOTAL</v>
      </c>
      <c r="B85" s="41" t="str">
        <f t="shared" ref="B85:AF85" si="12">IF(OR(B83="",B84=""),"",B84-B83)</f>
        <v/>
      </c>
      <c r="C85" s="34" t="str">
        <f t="shared" si="12"/>
        <v/>
      </c>
      <c r="D85" s="34" t="str">
        <f t="shared" si="12"/>
        <v/>
      </c>
      <c r="E85" s="34" t="str">
        <f t="shared" si="12"/>
        <v/>
      </c>
      <c r="F85" s="34" t="str">
        <f t="shared" si="12"/>
        <v/>
      </c>
      <c r="G85" s="34" t="str">
        <f t="shared" si="12"/>
        <v/>
      </c>
      <c r="H85" s="34" t="str">
        <f t="shared" si="12"/>
        <v/>
      </c>
      <c r="I85" s="34" t="str">
        <f t="shared" si="12"/>
        <v/>
      </c>
      <c r="J85" s="34" t="str">
        <f t="shared" si="12"/>
        <v/>
      </c>
      <c r="K85" s="34" t="str">
        <f t="shared" si="12"/>
        <v/>
      </c>
      <c r="L85" s="34" t="str">
        <f t="shared" si="12"/>
        <v/>
      </c>
      <c r="M85" s="34" t="str">
        <f t="shared" si="12"/>
        <v/>
      </c>
      <c r="N85" s="34" t="str">
        <f t="shared" si="12"/>
        <v/>
      </c>
      <c r="O85" s="34" t="str">
        <f t="shared" si="12"/>
        <v/>
      </c>
      <c r="P85" s="34" t="str">
        <f t="shared" si="12"/>
        <v/>
      </c>
      <c r="Q85" s="34" t="str">
        <f t="shared" si="12"/>
        <v/>
      </c>
      <c r="R85" s="34" t="str">
        <f t="shared" si="12"/>
        <v/>
      </c>
      <c r="S85" s="34" t="str">
        <f t="shared" si="12"/>
        <v/>
      </c>
      <c r="T85" s="34" t="str">
        <f t="shared" si="12"/>
        <v/>
      </c>
      <c r="U85" s="34" t="str">
        <f t="shared" si="12"/>
        <v/>
      </c>
      <c r="V85" s="34" t="str">
        <f t="shared" si="12"/>
        <v/>
      </c>
      <c r="W85" s="34" t="str">
        <f t="shared" si="12"/>
        <v/>
      </c>
      <c r="X85" s="34" t="str">
        <f t="shared" si="12"/>
        <v/>
      </c>
      <c r="Y85" s="34" t="str">
        <f t="shared" si="12"/>
        <v/>
      </c>
      <c r="Z85" s="34" t="str">
        <f t="shared" si="12"/>
        <v/>
      </c>
      <c r="AA85" s="34" t="str">
        <f t="shared" si="12"/>
        <v/>
      </c>
      <c r="AB85" s="34" t="str">
        <f t="shared" si="12"/>
        <v/>
      </c>
      <c r="AC85" s="34" t="str">
        <f t="shared" si="12"/>
        <v/>
      </c>
      <c r="AD85" s="34" t="str">
        <f t="shared" si="12"/>
        <v/>
      </c>
      <c r="AE85" s="34" t="str">
        <f t="shared" si="12"/>
        <v/>
      </c>
      <c r="AF85" s="34" t="str">
        <f t="shared" si="12"/>
        <v/>
      </c>
    </row>
    <row r="86">
      <c r="A86" s="42" t="str">
        <f>IF($A81="", "", "STATUS")</f>
        <v>STATUS</v>
      </c>
      <c r="B86" s="43" t="str">
        <f>IFERROR(__xludf.DUMMYFUNCTION("IF($A81="""","""",IF(B$82="""","""",LET(logStatus,IFNA(INDEX(DATA_LOG!$E:$E,MATCH(1,(DATA_LOG!$A:$A=$A81)*(TEXT(DATA_LOG!$B:$B,""yyyy-MM-dd"")=TEXT(DATE($P$3,MONTH(1&amp;$N$3),VALUE(LEFT(B$82,2))),""yyyy-MM-dd"")),0)),""""),selectedDate,DATE($P$3,MONTH(1&amp;$N$3"&amp;"),VALUE(LEFT(B$82,2))),IF(logStatus&lt;&gt;"""",UPPER(logStatus),IF(selectedDate&gt;TODAY(),""-"",IF(REGEXMATCH(B$82,""SUN""),""WO"",IF(B$85&lt;&gt;"""",IF(VALUE(B$85)&gt;=9/24,""FD"",""HD""),""A"")))))))"),"A")</f>
        <v>A</v>
      </c>
      <c r="C86" s="43" t="str">
        <f>IFERROR(__xludf.DUMMYFUNCTION("IF($A81="""","""",IF(C$82="""","""",LET(logStatus,IFNA(INDEX(DATA_LOG!$E:$E,MATCH(1,(DATA_LOG!$A:$A=$A81)*(TEXT(DATA_LOG!$B:$B,""yyyy-MM-dd"")=TEXT(DATE($P$3,MONTH(1&amp;$N$3),VALUE(LEFT(C$82,2))),""yyyy-MM-dd"")),0)),""""),selectedDate,DATE($P$3,MONTH(1&amp;$N$3"&amp;"),VALUE(LEFT(C$82,2))),IF(logStatus&lt;&gt;"""",UPPER(logStatus),IF(selectedDate&gt;TODAY(),""-"",IF(REGEXMATCH(C$82,""SUN""),""WO"",IF(C$85&lt;&gt;"""",IF(VALUE(C$85)&gt;=9/24,""FD"",""HD""),""A"")))))))"),"A")</f>
        <v>A</v>
      </c>
      <c r="D86" s="43" t="str">
        <f>IFERROR(__xludf.DUMMYFUNCTION("IF($A81="""","""",IF(D$82="""","""",LET(logStatus,IFNA(INDEX(DATA_LOG!$E:$E,MATCH(1,(DATA_LOG!$A:$A=$A81)*(TEXT(DATA_LOG!$B:$B,""yyyy-MM-dd"")=TEXT(DATE($P$3,MONTH(1&amp;$N$3),VALUE(LEFT(D$82,2))),""yyyy-MM-dd"")),0)),""""),selectedDate,DATE($P$3,MONTH(1&amp;$N$3"&amp;"),VALUE(LEFT(D$82,2))),IF(logStatus&lt;&gt;"""",UPPER(logStatus),IF(selectedDate&gt;TODAY(),""-"",IF(REGEXMATCH(D$82,""SUN""),""WO"",IF(D$85&lt;&gt;"""",IF(VALUE(D$85)&gt;=9/24,""FD"",""HD""),""A"")))))))"),"A")</f>
        <v>A</v>
      </c>
      <c r="E86" s="43" t="str">
        <f>IFERROR(__xludf.DUMMYFUNCTION("IF($A81="""","""",IF(E$82="""","""",LET(logStatus,IFNA(INDEX(DATA_LOG!$E:$E,MATCH(1,(DATA_LOG!$A:$A=$A81)*(TEXT(DATA_LOG!$B:$B,""yyyy-MM-dd"")=TEXT(DATE($P$3,MONTH(1&amp;$N$3),VALUE(LEFT(E$82,2))),""yyyy-MM-dd"")),0)),""""),selectedDate,DATE($P$3,MONTH(1&amp;$N$3"&amp;"),VALUE(LEFT(E$82,2))),IF(logStatus&lt;&gt;"""",UPPER(logStatus),IF(selectedDate&gt;TODAY(),""-"",IF(REGEXMATCH(E$82,""SUN""),""WO"",IF(E$85&lt;&gt;"""",IF(VALUE(E$85)&gt;=9/24,""FD"",""HD""),""A"")))))))"),"A")</f>
        <v>A</v>
      </c>
      <c r="F86" s="43" t="str">
        <f>IFERROR(__xludf.DUMMYFUNCTION("IF($A81="""","""",IF(F$82="""","""",LET(logStatus,IFNA(INDEX(DATA_LOG!$E:$E,MATCH(1,(DATA_LOG!$A:$A=$A81)*(TEXT(DATA_LOG!$B:$B,""yyyy-MM-dd"")=TEXT(DATE($P$3,MONTH(1&amp;$N$3),VALUE(LEFT(F$82,2))),""yyyy-MM-dd"")),0)),""""),selectedDate,DATE($P$3,MONTH(1&amp;$N$3"&amp;"),VALUE(LEFT(F$82,2))),IF(logStatus&lt;&gt;"""",UPPER(logStatus),IF(selectedDate&gt;TODAY(),""-"",IF(REGEXMATCH(F$82,""SUN""),""WO"",IF(F$85&lt;&gt;"""",IF(VALUE(F$85)&gt;=9/24,""FD"",""HD""),""A"")))))))"),"A")</f>
        <v>A</v>
      </c>
      <c r="G86" s="43" t="str">
        <f>IFERROR(__xludf.DUMMYFUNCTION("IF($A81="""","""",IF(G$82="""","""",LET(logStatus,IFNA(INDEX(DATA_LOG!$E:$E,MATCH(1,(DATA_LOG!$A:$A=$A81)*(TEXT(DATA_LOG!$B:$B,""yyyy-MM-dd"")=TEXT(DATE($P$3,MONTH(1&amp;$N$3),VALUE(LEFT(G$82,2))),""yyyy-MM-dd"")),0)),""""),selectedDate,DATE($P$3,MONTH(1&amp;$N$3"&amp;"),VALUE(LEFT(G$82,2))),IF(logStatus&lt;&gt;"""",UPPER(logStatus),IF(selectedDate&gt;TODAY(),""-"",IF(REGEXMATCH(G$82,""SUN""),""WO"",IF(G$85&lt;&gt;"""",IF(VALUE(G$85)&gt;=9/24,""FD"",""HD""),""A"")))))))"),"WO")</f>
        <v>WO</v>
      </c>
      <c r="H86" s="43" t="str">
        <f>IFERROR(__xludf.DUMMYFUNCTION("IF($A81="""","""",IF(H$82="""","""",LET(logStatus,IFNA(INDEX(DATA_LOG!$E:$E,MATCH(1,(DATA_LOG!$A:$A=$A81)*(TEXT(DATA_LOG!$B:$B,""yyyy-MM-dd"")=TEXT(DATE($P$3,MONTH(1&amp;$N$3),VALUE(LEFT(H$82,2))),""yyyy-MM-dd"")),0)),""""),selectedDate,DATE($P$3,MONTH(1&amp;$N$3"&amp;"),VALUE(LEFT(H$82,2))),IF(logStatus&lt;&gt;"""",UPPER(logStatus),IF(selectedDate&gt;TODAY(),""-"",IF(REGEXMATCH(H$82,""SUN""),""WO"",IF(H$85&lt;&gt;"""",IF(VALUE(H$85)&gt;=9/24,""FD"",""HD""),""A"")))))))"),"A")</f>
        <v>A</v>
      </c>
      <c r="I86" s="43" t="str">
        <f>IFERROR(__xludf.DUMMYFUNCTION("IF($A81="""","""",IF(I$82="""","""",LET(logStatus,IFNA(INDEX(DATA_LOG!$E:$E,MATCH(1,(DATA_LOG!$A:$A=$A81)*(TEXT(DATA_LOG!$B:$B,""yyyy-MM-dd"")=TEXT(DATE($P$3,MONTH(1&amp;$N$3),VALUE(LEFT(I$82,2))),""yyyy-MM-dd"")),0)),""""),selectedDate,DATE($P$3,MONTH(1&amp;$N$3"&amp;"),VALUE(LEFT(I$82,2))),IF(logStatus&lt;&gt;"""",UPPER(logStatus),IF(selectedDate&gt;TODAY(),""-"",IF(REGEXMATCH(I$82,""SUN""),""WO"",IF(I$85&lt;&gt;"""",IF(VALUE(I$85)&gt;=9/24,""FD"",""HD""),""A"")))))))"),"A")</f>
        <v>A</v>
      </c>
      <c r="J86" s="43" t="str">
        <f>IFERROR(__xludf.DUMMYFUNCTION("IF($A81="""","""",IF(J$82="""","""",LET(logStatus,IFNA(INDEX(DATA_LOG!$E:$E,MATCH(1,(DATA_LOG!$A:$A=$A81)*(TEXT(DATA_LOG!$B:$B,""yyyy-MM-dd"")=TEXT(DATE($P$3,MONTH(1&amp;$N$3),VALUE(LEFT(J$82,2))),""yyyy-MM-dd"")),0)),""""),selectedDate,DATE($P$3,MONTH(1&amp;$N$3"&amp;"),VALUE(LEFT(J$82,2))),IF(logStatus&lt;&gt;"""",UPPER(logStatus),IF(selectedDate&gt;TODAY(),""-"",IF(REGEXMATCH(J$82,""SUN""),""WO"",IF(J$85&lt;&gt;"""",IF(VALUE(J$85)&gt;=9/24,""FD"",""HD""),""A"")))))))"),"A")</f>
        <v>A</v>
      </c>
      <c r="K86" s="43" t="str">
        <f>IFERROR(__xludf.DUMMYFUNCTION("IF($A81="""","""",IF(K$82="""","""",LET(logStatus,IFNA(INDEX(DATA_LOG!$E:$E,MATCH(1,(DATA_LOG!$A:$A=$A81)*(TEXT(DATA_LOG!$B:$B,""yyyy-MM-dd"")=TEXT(DATE($P$3,MONTH(1&amp;$N$3),VALUE(LEFT(K$82,2))),""yyyy-MM-dd"")),0)),""""),selectedDate,DATE($P$3,MONTH(1&amp;$N$3"&amp;"),VALUE(LEFT(K$82,2))),IF(logStatus&lt;&gt;"""",UPPER(logStatus),IF(selectedDate&gt;TODAY(),""-"",IF(REGEXMATCH(K$82,""SUN""),""WO"",IF(K$85&lt;&gt;"""",IF(VALUE(K$85)&gt;=9/24,""FD"",""HD""),""A"")))))))"),"A")</f>
        <v>A</v>
      </c>
      <c r="L86" s="43" t="str">
        <f>IFERROR(__xludf.DUMMYFUNCTION("IF($A81="""","""",IF(L$82="""","""",LET(logStatus,IFNA(INDEX(DATA_LOG!$E:$E,MATCH(1,(DATA_LOG!$A:$A=$A81)*(TEXT(DATA_LOG!$B:$B,""yyyy-MM-dd"")=TEXT(DATE($P$3,MONTH(1&amp;$N$3),VALUE(LEFT(L$82,2))),""yyyy-MM-dd"")),0)),""""),selectedDate,DATE($P$3,MONTH(1&amp;$N$3"&amp;"),VALUE(LEFT(L$82,2))),IF(logStatus&lt;&gt;"""",UPPER(logStatus),IF(selectedDate&gt;TODAY(),""-"",IF(REGEXMATCH(L$82,""SUN""),""WO"",IF(L$85&lt;&gt;"""",IF(VALUE(L$85)&gt;=9/24,""FD"",""HD""),""A"")))))))"),"A")</f>
        <v>A</v>
      </c>
      <c r="M86" s="43" t="str">
        <f>IFERROR(__xludf.DUMMYFUNCTION("IF($A81="""","""",IF(M$82="""","""",LET(logStatus,IFNA(INDEX(DATA_LOG!$E:$E,MATCH(1,(DATA_LOG!$A:$A=$A81)*(TEXT(DATA_LOG!$B:$B,""yyyy-MM-dd"")=TEXT(DATE($P$3,MONTH(1&amp;$N$3),VALUE(LEFT(M$82,2))),""yyyy-MM-dd"")),0)),""""),selectedDate,DATE($P$3,MONTH(1&amp;$N$3"&amp;"),VALUE(LEFT(M$82,2))),IF(logStatus&lt;&gt;"""",UPPER(logStatus),IF(selectedDate&gt;TODAY(),""-"",IF(REGEXMATCH(M$82,""SUN""),""WO"",IF(M$85&lt;&gt;"""",IF(VALUE(M$85)&gt;=9/24,""FD"",""HD""),""A"")))))))"),"-")</f>
        <v>-</v>
      </c>
      <c r="N86" s="43" t="str">
        <f>IFERROR(__xludf.DUMMYFUNCTION("IF($A81="""","""",IF(N$82="""","""",LET(logStatus,IFNA(INDEX(DATA_LOG!$E:$E,MATCH(1,(DATA_LOG!$A:$A=$A81)*(TEXT(DATA_LOG!$B:$B,""yyyy-MM-dd"")=TEXT(DATE($P$3,MONTH(1&amp;$N$3),VALUE(LEFT(N$82,2))),""yyyy-MM-dd"")),0)),""""),selectedDate,DATE($P$3,MONTH(1&amp;$N$3"&amp;"),VALUE(LEFT(N$82,2))),IF(logStatus&lt;&gt;"""",UPPER(logStatus),IF(selectedDate&gt;TODAY(),""-"",IF(REGEXMATCH(N$82,""SUN""),""WO"",IF(N$85&lt;&gt;"""",IF(VALUE(N$85)&gt;=9/24,""FD"",""HD""),""A"")))))))"),"-")</f>
        <v>-</v>
      </c>
      <c r="O86" s="43" t="str">
        <f>IFERROR(__xludf.DUMMYFUNCTION("IF($A81="""","""",IF(O$82="""","""",LET(logStatus,IFNA(INDEX(DATA_LOG!$E:$E,MATCH(1,(DATA_LOG!$A:$A=$A81)*(TEXT(DATA_LOG!$B:$B,""yyyy-MM-dd"")=TEXT(DATE($P$3,MONTH(1&amp;$N$3),VALUE(LEFT(O$82,2))),""yyyy-MM-dd"")),0)),""""),selectedDate,DATE($P$3,MONTH(1&amp;$N$3"&amp;"),VALUE(LEFT(O$82,2))),IF(logStatus&lt;&gt;"""",UPPER(logStatus),IF(selectedDate&gt;TODAY(),""-"",IF(REGEXMATCH(O$82,""SUN""),""WO"",IF(O$85&lt;&gt;"""",IF(VALUE(O$85)&gt;=9/24,""FD"",""HD""),""A"")))))))"),"-")</f>
        <v>-</v>
      </c>
      <c r="P86" s="43" t="str">
        <f>IFERROR(__xludf.DUMMYFUNCTION("IF($A81="""","""",IF(P$82="""","""",LET(logStatus,IFNA(INDEX(DATA_LOG!$E:$E,MATCH(1,(DATA_LOG!$A:$A=$A81)*(TEXT(DATA_LOG!$B:$B,""yyyy-MM-dd"")=TEXT(DATE($P$3,MONTH(1&amp;$N$3),VALUE(LEFT(P$82,2))),""yyyy-MM-dd"")),0)),""""),selectedDate,DATE($P$3,MONTH(1&amp;$N$3"&amp;"),VALUE(LEFT(P$82,2))),IF(logStatus&lt;&gt;"""",UPPER(logStatus),IF(selectedDate&gt;TODAY(),""-"",IF(REGEXMATCH(P$82,""SUN""),""WO"",IF(P$85&lt;&gt;"""",IF(VALUE(P$85)&gt;=9/24,""FD"",""HD""),""A"")))))))"),"-")</f>
        <v>-</v>
      </c>
      <c r="Q86" s="43" t="str">
        <f>IFERROR(__xludf.DUMMYFUNCTION("IF($A81="""","""",IF(Q$82="""","""",LET(logStatus,IFNA(INDEX(DATA_LOG!$E:$E,MATCH(1,(DATA_LOG!$A:$A=$A81)*(TEXT(DATA_LOG!$B:$B,""yyyy-MM-dd"")=TEXT(DATE($P$3,MONTH(1&amp;$N$3),VALUE(LEFT(Q$82,2))),""yyyy-MM-dd"")),0)),""""),selectedDate,DATE($P$3,MONTH(1&amp;$N$3"&amp;"),VALUE(LEFT(Q$82,2))),IF(logStatus&lt;&gt;"""",UPPER(logStatus),IF(selectedDate&gt;TODAY(),""-"",IF(REGEXMATCH(Q$82,""SUN""),""WO"",IF(Q$85&lt;&gt;"""",IF(VALUE(Q$85)&gt;=9/24,""FD"",""HD""),""A"")))))))"),"-")</f>
        <v>-</v>
      </c>
      <c r="R86" s="43" t="str">
        <f>IFERROR(__xludf.DUMMYFUNCTION("IF($A81="""","""",IF(R$82="""","""",LET(logStatus,IFNA(INDEX(DATA_LOG!$E:$E,MATCH(1,(DATA_LOG!$A:$A=$A81)*(TEXT(DATA_LOG!$B:$B,""yyyy-MM-dd"")=TEXT(DATE($P$3,MONTH(1&amp;$N$3),VALUE(LEFT(R$82,2))),""yyyy-MM-dd"")),0)),""""),selectedDate,DATE($P$3,MONTH(1&amp;$N$3"&amp;"),VALUE(LEFT(R$82,2))),IF(logStatus&lt;&gt;"""",UPPER(logStatus),IF(selectedDate&gt;TODAY(),""-"",IF(REGEXMATCH(R$82,""SUN""),""WO"",IF(R$85&lt;&gt;"""",IF(VALUE(R$85)&gt;=9/24,""FD"",""HD""),""A"")))))))"),"-")</f>
        <v>-</v>
      </c>
      <c r="S86" s="43" t="str">
        <f>IFERROR(__xludf.DUMMYFUNCTION("IF($A81="""","""",IF(S$82="""","""",LET(logStatus,IFNA(INDEX(DATA_LOG!$E:$E,MATCH(1,(DATA_LOG!$A:$A=$A81)*(TEXT(DATA_LOG!$B:$B,""yyyy-MM-dd"")=TEXT(DATE($P$3,MONTH(1&amp;$N$3),VALUE(LEFT(S$82,2))),""yyyy-MM-dd"")),0)),""""),selectedDate,DATE($P$3,MONTH(1&amp;$N$3"&amp;"),VALUE(LEFT(S$82,2))),IF(logStatus&lt;&gt;"""",UPPER(logStatus),IF(selectedDate&gt;TODAY(),""-"",IF(REGEXMATCH(S$82,""SUN""),""WO"",IF(S$85&lt;&gt;"""",IF(VALUE(S$85)&gt;=9/24,""FD"",""HD""),""A"")))))))"),"-")</f>
        <v>-</v>
      </c>
      <c r="T86" s="43" t="str">
        <f>IFERROR(__xludf.DUMMYFUNCTION("IF($A81="""","""",IF(T$82="""","""",LET(logStatus,IFNA(INDEX(DATA_LOG!$E:$E,MATCH(1,(DATA_LOG!$A:$A=$A81)*(TEXT(DATA_LOG!$B:$B,""yyyy-MM-dd"")=TEXT(DATE($P$3,MONTH(1&amp;$N$3),VALUE(LEFT(T$82,2))),""yyyy-MM-dd"")),0)),""""),selectedDate,DATE($P$3,MONTH(1&amp;$N$3"&amp;"),VALUE(LEFT(T$82,2))),IF(logStatus&lt;&gt;"""",UPPER(logStatus),IF(selectedDate&gt;TODAY(),""-"",IF(REGEXMATCH(T$82,""SUN""),""WO"",IF(T$85&lt;&gt;"""",IF(VALUE(T$85)&gt;=9/24,""FD"",""HD""),""A"")))))))"),"-")</f>
        <v>-</v>
      </c>
      <c r="U86" s="43" t="str">
        <f>IFERROR(__xludf.DUMMYFUNCTION("IF($A81="""","""",IF(U$82="""","""",LET(logStatus,IFNA(INDEX(DATA_LOG!$E:$E,MATCH(1,(DATA_LOG!$A:$A=$A81)*(TEXT(DATA_LOG!$B:$B,""yyyy-MM-dd"")=TEXT(DATE($P$3,MONTH(1&amp;$N$3),VALUE(LEFT(U$82,2))),""yyyy-MM-dd"")),0)),""""),selectedDate,DATE($P$3,MONTH(1&amp;$N$3"&amp;"),VALUE(LEFT(U$82,2))),IF(logStatus&lt;&gt;"""",UPPER(logStatus),IF(selectedDate&gt;TODAY(),""-"",IF(REGEXMATCH(U$82,""SUN""),""WO"",IF(U$85&lt;&gt;"""",IF(VALUE(U$85)&gt;=9/24,""FD"",""HD""),""A"")))))))"),"-")</f>
        <v>-</v>
      </c>
      <c r="V86" s="43" t="str">
        <f>IFERROR(__xludf.DUMMYFUNCTION("IF($A81="""","""",IF(V$82="""","""",LET(logStatus,IFNA(INDEX(DATA_LOG!$E:$E,MATCH(1,(DATA_LOG!$A:$A=$A81)*(TEXT(DATA_LOG!$B:$B,""yyyy-MM-dd"")=TEXT(DATE($P$3,MONTH(1&amp;$N$3),VALUE(LEFT(V$82,2))),""yyyy-MM-dd"")),0)),""""),selectedDate,DATE($P$3,MONTH(1&amp;$N$3"&amp;"),VALUE(LEFT(V$82,2))),IF(logStatus&lt;&gt;"""",UPPER(logStatus),IF(selectedDate&gt;TODAY(),""-"",IF(REGEXMATCH(V$82,""SUN""),""WO"",IF(V$85&lt;&gt;"""",IF(VALUE(V$85)&gt;=9/24,""FD"",""HD""),""A"")))))))"),"-")</f>
        <v>-</v>
      </c>
      <c r="W86" s="43" t="str">
        <f>IFERROR(__xludf.DUMMYFUNCTION("IF($A81="""","""",IF(W$82="""","""",LET(logStatus,IFNA(INDEX(DATA_LOG!$E:$E,MATCH(1,(DATA_LOG!$A:$A=$A81)*(TEXT(DATA_LOG!$B:$B,""yyyy-MM-dd"")=TEXT(DATE($P$3,MONTH(1&amp;$N$3),VALUE(LEFT(W$82,2))),""yyyy-MM-dd"")),0)),""""),selectedDate,DATE($P$3,MONTH(1&amp;$N$3"&amp;"),VALUE(LEFT(W$82,2))),IF(logStatus&lt;&gt;"""",UPPER(logStatus),IF(selectedDate&gt;TODAY(),""-"",IF(REGEXMATCH(W$82,""SUN""),""WO"",IF(W$85&lt;&gt;"""",IF(VALUE(W$85)&gt;=9/24,""FD"",""HD""),""A"")))))))"),"-")</f>
        <v>-</v>
      </c>
      <c r="X86" s="43" t="str">
        <f>IFERROR(__xludf.DUMMYFUNCTION("IF($A81="""","""",IF(X$82="""","""",LET(logStatus,IFNA(INDEX(DATA_LOG!$E:$E,MATCH(1,(DATA_LOG!$A:$A=$A81)*(TEXT(DATA_LOG!$B:$B,""yyyy-MM-dd"")=TEXT(DATE($P$3,MONTH(1&amp;$N$3),VALUE(LEFT(X$82,2))),""yyyy-MM-dd"")),0)),""""),selectedDate,DATE($P$3,MONTH(1&amp;$N$3"&amp;"),VALUE(LEFT(X$82,2))),IF(logStatus&lt;&gt;"""",UPPER(logStatus),IF(selectedDate&gt;TODAY(),""-"",IF(REGEXMATCH(X$82,""SUN""),""WO"",IF(X$85&lt;&gt;"""",IF(VALUE(X$85)&gt;=9/24,""FD"",""HD""),""A"")))))))"),"-")</f>
        <v>-</v>
      </c>
      <c r="Y86" s="43" t="str">
        <f>IFERROR(__xludf.DUMMYFUNCTION("IF($A81="""","""",IF(Y$82="""","""",LET(logStatus,IFNA(INDEX(DATA_LOG!$E:$E,MATCH(1,(DATA_LOG!$A:$A=$A81)*(TEXT(DATA_LOG!$B:$B,""yyyy-MM-dd"")=TEXT(DATE($P$3,MONTH(1&amp;$N$3),VALUE(LEFT(Y$82,2))),""yyyy-MM-dd"")),0)),""""),selectedDate,DATE($P$3,MONTH(1&amp;$N$3"&amp;"),VALUE(LEFT(Y$82,2))),IF(logStatus&lt;&gt;"""",UPPER(logStatus),IF(selectedDate&gt;TODAY(),""-"",IF(REGEXMATCH(Y$82,""SUN""),""WO"",IF(Y$85&lt;&gt;"""",IF(VALUE(Y$85)&gt;=9/24,""FD"",""HD""),""A"")))))))"),"-")</f>
        <v>-</v>
      </c>
      <c r="Z86" s="43" t="str">
        <f>IFERROR(__xludf.DUMMYFUNCTION("IF($A81="""","""",IF(Z$82="""","""",LET(logStatus,IFNA(INDEX(DATA_LOG!$E:$E,MATCH(1,(DATA_LOG!$A:$A=$A81)*(TEXT(DATA_LOG!$B:$B,""yyyy-MM-dd"")=TEXT(DATE($P$3,MONTH(1&amp;$N$3),VALUE(LEFT(Z$82,2))),""yyyy-MM-dd"")),0)),""""),selectedDate,DATE($P$3,MONTH(1&amp;$N$3"&amp;"),VALUE(LEFT(Z$82,2))),IF(logStatus&lt;&gt;"""",UPPER(logStatus),IF(selectedDate&gt;TODAY(),""-"",IF(REGEXMATCH(Z$82,""SUN""),""WO"",IF(Z$85&lt;&gt;"""",IF(VALUE(Z$85)&gt;=9/24,""FD"",""HD""),""A"")))))))"),"-")</f>
        <v>-</v>
      </c>
      <c r="AA86" s="43" t="str">
        <f>IFERROR(__xludf.DUMMYFUNCTION("IF($A81="""","""",IF(AA$82="""","""",LET(logStatus,IFNA(INDEX(DATA_LOG!$E:$E,MATCH(1,(DATA_LOG!$A:$A=$A81)*(TEXT(DATA_LOG!$B:$B,""yyyy-MM-dd"")=TEXT(DATE($P$3,MONTH(1&amp;$N$3),VALUE(LEFT(AA$82,2))),""yyyy-MM-dd"")),0)),""""),selectedDate,DATE($P$3,MONTH(1&amp;$N"&amp;"$3),VALUE(LEFT(AA$82,2))),IF(logStatus&lt;&gt;"""",UPPER(logStatus),IF(selectedDate&gt;TODAY(),""-"",IF(REGEXMATCH(AA$82,""SUN""),""WO"",IF(AA$85&lt;&gt;"""",IF(VALUE(AA$85)&gt;=9/24,""FD"",""HD""),""A"")))))))"),"-")</f>
        <v>-</v>
      </c>
      <c r="AB86" s="43" t="str">
        <f>IFERROR(__xludf.DUMMYFUNCTION("IF($A81="""","""",IF(AB$82="""","""",LET(logStatus,IFNA(INDEX(DATA_LOG!$E:$E,MATCH(1,(DATA_LOG!$A:$A=$A81)*(TEXT(DATA_LOG!$B:$B,""yyyy-MM-dd"")=TEXT(DATE($P$3,MONTH(1&amp;$N$3),VALUE(LEFT(AB$82,2))),""yyyy-MM-dd"")),0)),""""),selectedDate,DATE($P$3,MONTH(1&amp;$N"&amp;"$3),VALUE(LEFT(AB$82,2))),IF(logStatus&lt;&gt;"""",UPPER(logStatus),IF(selectedDate&gt;TODAY(),""-"",IF(REGEXMATCH(AB$82,""SUN""),""WO"",IF(AB$85&lt;&gt;"""",IF(VALUE(AB$85)&gt;=9/24,""FD"",""HD""),""A"")))))))"),"-")</f>
        <v>-</v>
      </c>
      <c r="AC86" s="43" t="str">
        <f>IFERROR(__xludf.DUMMYFUNCTION("IF($A81="""","""",IF(AC$82="""","""",LET(logStatus,IFNA(INDEX(DATA_LOG!$E:$E,MATCH(1,(DATA_LOG!$A:$A=$A81)*(TEXT(DATA_LOG!$B:$B,""yyyy-MM-dd"")=TEXT(DATE($P$3,MONTH(1&amp;$N$3),VALUE(LEFT(AC$82,2))),""yyyy-MM-dd"")),0)),""""),selectedDate,DATE($P$3,MONTH(1&amp;$N"&amp;"$3),VALUE(LEFT(AC$82,2))),IF(logStatus&lt;&gt;"""",UPPER(logStatus),IF(selectedDate&gt;TODAY(),""-"",IF(REGEXMATCH(AC$82,""SUN""),""WO"",IF(AC$85&lt;&gt;"""",IF(VALUE(AC$85)&gt;=9/24,""FD"",""HD""),""A"")))))))"),"-")</f>
        <v>-</v>
      </c>
      <c r="AD86" s="43" t="str">
        <f>IFERROR(__xludf.DUMMYFUNCTION("IF($A81="""","""",IF(AD$82="""","""",LET(logStatus,IFNA(INDEX(DATA_LOG!$E:$E,MATCH(1,(DATA_LOG!$A:$A=$A81)*(TEXT(DATA_LOG!$B:$B,""yyyy-MM-dd"")=TEXT(DATE($P$3,MONTH(1&amp;$N$3),VALUE(LEFT(AD$82,2))),""yyyy-MM-dd"")),0)),""""),selectedDate,DATE($P$3,MONTH(1&amp;$N"&amp;"$3),VALUE(LEFT(AD$82,2))),IF(logStatus&lt;&gt;"""",UPPER(logStatus),IF(selectedDate&gt;TODAY(),""-"",IF(REGEXMATCH(AD$82,""SUN""),""WO"",IF(AD$85&lt;&gt;"""",IF(VALUE(AD$85)&gt;=9/24,""FD"",""HD""),""A"")))))))"),"-")</f>
        <v>-</v>
      </c>
      <c r="AE86" s="43" t="str">
        <f>IFERROR(__xludf.DUMMYFUNCTION("IF($A81="""","""",IF(AE$82="""","""",LET(logStatus,IFNA(INDEX(DATA_LOG!$E:$E,MATCH(1,(DATA_LOG!$A:$A=$A81)*(TEXT(DATA_LOG!$B:$B,""yyyy-MM-dd"")=TEXT(DATE($P$3,MONTH(1&amp;$N$3),VALUE(LEFT(AE$82,2))),""yyyy-MM-dd"")),0)),""""),selectedDate,DATE($P$3,MONTH(1&amp;$N"&amp;"$3),VALUE(LEFT(AE$82,2))),IF(logStatus&lt;&gt;"""",UPPER(logStatus),IF(selectedDate&gt;TODAY(),""-"",IF(REGEXMATCH(AE$82,""SUN""),""WO"",IF(AE$85&lt;&gt;"""",IF(VALUE(AE$85)&gt;=9/24,""FD"",""HD""),""A"")))))))"),"-")</f>
        <v>-</v>
      </c>
      <c r="AF86" s="43" t="str">
        <f>IFERROR(__xludf.DUMMYFUNCTION("IF($A81="""","""",IF(AF$82="""","""",LET(logStatus,IFNA(INDEX(DATA_LOG!$E:$E,MATCH(1,(DATA_LOG!$A:$A=$A81)*(TEXT(DATA_LOG!$B:$B,""yyyy-MM-dd"")=TEXT(DATE($P$3,MONTH(1&amp;$N$3),VALUE(LEFT(AF$82,2))),""yyyy-MM-dd"")),0)),""""),selectedDate,DATE($P$3,MONTH(1&amp;$N"&amp;"$3),VALUE(LEFT(AF$82,2))),IF(logStatus&lt;&gt;"""",UPPER(logStatus),IF(selectedDate&gt;TODAY(),""-"",IF(REGEXMATCH(AF$82,""SUN""),""WO"",IF(AF$85&lt;&gt;"""",IF(VALUE(AF$85)&gt;=9/24,""FD"",""HD""),""A"")))))))"),"")</f>
        <v/>
      </c>
    </row>
    <row r="87">
      <c r="A87" s="44"/>
    </row>
    <row r="88">
      <c r="A88" s="25" t="str">
        <f t="array" ref="A88">INDEX(EMPLOYEE_LIST!$A:$A,INT((ROW()-4)/7)+2)</f>
        <v>SUBHAM KUMAR</v>
      </c>
      <c r="B88" s="26"/>
      <c r="C88" s="27"/>
      <c r="D88" s="28" t="str">
        <f>IF(A88="", "", IFERROR(VLOOKUP(A88, EMPLOYEE_LIST!$A:$H, 2, FALSE), ""))</f>
        <v>AYV-79</v>
      </c>
      <c r="E88" s="26"/>
      <c r="F88" s="26"/>
      <c r="G88" s="27"/>
      <c r="H88" s="29" t="str">
        <f>IF(A88="", "", IFERROR(VLOOKUP(A88, EMPLOYEE_LIST!$A:$H, 3, FALSE), ""))</f>
        <v>CIVIL</v>
      </c>
      <c r="I88" s="26"/>
      <c r="J88" s="26"/>
      <c r="K88" s="27"/>
      <c r="L88" s="29" t="str">
        <f>IF(A88="", "", IFERROR(VLOOKUP(A88, EMPLOYEE_LIST!$A:$H, 4, FALSE), ""))</f>
        <v>STRUCTURE ENGINEER</v>
      </c>
      <c r="M88" s="26"/>
      <c r="N88" s="26"/>
      <c r="O88" s="27"/>
      <c r="P88" s="30" t="str">
        <f>IF($A88="", "", "Full Day: " &amp; COUNTIF(B93:AF93, "FD"))</f>
        <v>Full Day: 0</v>
      </c>
      <c r="Q88" s="26"/>
      <c r="R88" s="27"/>
      <c r="S88" s="31" t="str">
        <f>IF($A88="", "", "HALF Day: " &amp; COUNTIF(B93:AF93, "HD"))</f>
        <v>HALF Day: 0</v>
      </c>
      <c r="T88" s="26"/>
      <c r="U88" s="27"/>
      <c r="V88" s="31" t="str">
        <f>IF($A88="", "", "ABSENT: " &amp; COUNTIF(B93:AF93, "A"))</f>
        <v>ABSENT: 10</v>
      </c>
      <c r="W88" s="26"/>
      <c r="X88" s="27"/>
      <c r="Y88" s="31" t="str">
        <f>IF($A88="", "", "WEEK OFF: " &amp; COUNTIF(B93:AF93, "WO"))</f>
        <v>WEEK OFF: 1</v>
      </c>
      <c r="Z88" s="26"/>
      <c r="AA88" s="27"/>
      <c r="AB88" s="31" t="str">
        <f>IF($A88="", "", "LEAVE: " &amp; COUNTIF(B93:AF93, "L"))</f>
        <v>LEAVE: 0</v>
      </c>
      <c r="AC88" s="27"/>
      <c r="AD88" s="31" t="str">
        <f>IF($A88="", "", "HOLIDAY: " &amp; COUNTIF(B93:AF93, "HL"))</f>
        <v>HOLIDAY: 0</v>
      </c>
      <c r="AE88" s="26"/>
      <c r="AF88" s="27"/>
    </row>
    <row r="89">
      <c r="A89" s="32" t="str">
        <f>IF($A88="", "", "DATE")</f>
        <v>DATE</v>
      </c>
      <c r="B89" s="33" t="str">
        <f t="array" ref="B89:AE89">IF($A88="","",LET(mNum,MONTH(1&amp;$N$3),start,DATE($P$3,mNum,1),days,DAY(EOMONTH(start,0)),MAP(SEQUENCE(1,days,0),LAMBDA(n,UPPER(TEXT(start+n,"dd (ddd)"))))))</f>
        <v>01 (TUE)</v>
      </c>
      <c r="C89" s="34" t="s">
        <v>89</v>
      </c>
      <c r="D89" s="34" t="s">
        <v>90</v>
      </c>
      <c r="E89" s="34" t="s">
        <v>91</v>
      </c>
      <c r="F89" s="34" t="s">
        <v>92</v>
      </c>
      <c r="G89" s="34" t="s">
        <v>93</v>
      </c>
      <c r="H89" s="34" t="s">
        <v>94</v>
      </c>
      <c r="I89" s="34" t="s">
        <v>95</v>
      </c>
      <c r="J89" s="34" t="s">
        <v>96</v>
      </c>
      <c r="K89" s="34" t="s">
        <v>97</v>
      </c>
      <c r="L89" s="34" t="s">
        <v>98</v>
      </c>
      <c r="M89" s="34" t="s">
        <v>99</v>
      </c>
      <c r="N89" s="34" t="s">
        <v>100</v>
      </c>
      <c r="O89" s="34" t="s">
        <v>101</v>
      </c>
      <c r="P89" s="34" t="s">
        <v>102</v>
      </c>
      <c r="Q89" s="34" t="s">
        <v>103</v>
      </c>
      <c r="R89" s="34" t="s">
        <v>104</v>
      </c>
      <c r="S89" s="34" t="s">
        <v>105</v>
      </c>
      <c r="T89" s="34" t="s">
        <v>106</v>
      </c>
      <c r="U89" s="34" t="s">
        <v>107</v>
      </c>
      <c r="V89" s="34" t="s">
        <v>108</v>
      </c>
      <c r="W89" s="34" t="s">
        <v>109</v>
      </c>
      <c r="X89" s="34" t="s">
        <v>110</v>
      </c>
      <c r="Y89" s="34" t="s">
        <v>111</v>
      </c>
      <c r="Z89" s="34" t="s">
        <v>112</v>
      </c>
      <c r="AA89" s="34" t="s">
        <v>113</v>
      </c>
      <c r="AB89" s="34" t="s">
        <v>114</v>
      </c>
      <c r="AC89" s="34" t="s">
        <v>115</v>
      </c>
      <c r="AD89" s="34" t="s">
        <v>116</v>
      </c>
      <c r="AE89" s="34" t="s">
        <v>117</v>
      </c>
      <c r="AF89" s="34"/>
    </row>
    <row r="90">
      <c r="A90" s="37" t="str">
        <f>IF($A88="", "", "IN")</f>
        <v>IN</v>
      </c>
      <c r="B90" s="39" t="str">
        <f t="array" ref="B90">IF(OR($A88="",B$5=""),"",IFNA(INDEX(DATA_LOG!$C:$C,MATCH(1,(DATA_LOG!$A:$A=$A88)*(TEXT(DATA_LOG!$B:$B,"yyyy-MM-dd")=TEXT(DATE($P$3,MONTH(1&amp;$N$3),VALUE(LEFT(B$5,2))),"yyyy-MM-dd")),0)),""))</f>
        <v/>
      </c>
      <c r="C90" s="39" t="str">
        <f t="array" ref="C90">IF(OR($A88="",C$5=""),"",IFNA(INDEX(DATA_LOG!$C:$C,MATCH(1,(DATA_LOG!$A:$A=$A88)*(TEXT(DATA_LOG!$B:$B,"yyyy-MM-dd")=TEXT(DATE($P$3,MONTH(1&amp;$N$3),VALUE(LEFT(C$5,2))),"yyyy-MM-dd")),0)),""))</f>
        <v/>
      </c>
      <c r="D90" s="39" t="str">
        <f t="array" ref="D90">IF(OR($A88="",D$5=""),"",IFNA(INDEX(DATA_LOG!$C:$C,MATCH(1,(DATA_LOG!$A:$A=$A88)*(TEXT(DATA_LOG!$B:$B,"yyyy-MM-dd")=TEXT(DATE($P$3,MONTH(1&amp;$N$3),VALUE(LEFT(D$5,2))),"yyyy-MM-dd")),0)),""))</f>
        <v/>
      </c>
      <c r="E90" s="39" t="str">
        <f t="array" ref="E90">IF(OR($A88="",E$5=""),"",IFNA(INDEX(DATA_LOG!$C:$C,MATCH(1,(DATA_LOG!$A:$A=$A88)*(TEXT(DATA_LOG!$B:$B,"yyyy-MM-dd")=TEXT(DATE($P$3,MONTH(1&amp;$N$3),VALUE(LEFT(E$5,2))),"yyyy-MM-dd")),0)),""))</f>
        <v/>
      </c>
      <c r="F90" s="39" t="str">
        <f t="array" ref="F90">IF(OR($A88="",F$5=""),"",IFNA(INDEX(DATA_LOG!$C:$C,MATCH(1,(DATA_LOG!$A:$A=$A88)*(TEXT(DATA_LOG!$B:$B,"yyyy-MM-dd")=TEXT(DATE($P$3,MONTH(1&amp;$N$3),VALUE(LEFT(F$5,2))),"yyyy-MM-dd")),0)),""))</f>
        <v/>
      </c>
      <c r="G90" s="39" t="str">
        <f t="array" ref="G90">IF(OR($A88="",G$5=""),"",IFNA(INDEX(DATA_LOG!$C:$C,MATCH(1,(DATA_LOG!$A:$A=$A88)*(TEXT(DATA_LOG!$B:$B,"yyyy-MM-dd")=TEXT(DATE($P$3,MONTH(1&amp;$N$3),VALUE(LEFT(G$5,2))),"yyyy-MM-dd")),0)),""))</f>
        <v/>
      </c>
      <c r="H90" s="39" t="str">
        <f t="array" ref="H90">IF(OR($A88="",H$5=""),"",IFNA(INDEX(DATA_LOG!$C:$C,MATCH(1,(DATA_LOG!$A:$A=$A88)*(TEXT(DATA_LOG!$B:$B,"yyyy-MM-dd")=TEXT(DATE($P$3,MONTH(1&amp;$N$3),VALUE(LEFT(H$5,2))),"yyyy-MM-dd")),0)),""))</f>
        <v/>
      </c>
      <c r="I90" s="39" t="str">
        <f t="array" ref="I90">IF(OR($A88="",I$5=""),"",IFNA(INDEX(DATA_LOG!$C:$C,MATCH(1,(DATA_LOG!$A:$A=$A88)*(TEXT(DATA_LOG!$B:$B,"yyyy-MM-dd")=TEXT(DATE($P$3,MONTH(1&amp;$N$3),VALUE(LEFT(I$5,2))),"yyyy-MM-dd")),0)),""))</f>
        <v/>
      </c>
      <c r="J90" s="39" t="str">
        <f t="array" ref="J90">IF(OR($A88="",J$5=""),"",IFNA(INDEX(DATA_LOG!$C:$C,MATCH(1,(DATA_LOG!$A:$A=$A88)*(TEXT(DATA_LOG!$B:$B,"yyyy-MM-dd")=TEXT(DATE($P$3,MONTH(1&amp;$N$3),VALUE(LEFT(J$5,2))),"yyyy-MM-dd")),0)),""))</f>
        <v/>
      </c>
      <c r="K90" s="39" t="str">
        <f t="array" ref="K90">IF(OR($A88="",K$5=""),"",IFNA(INDEX(DATA_LOG!$C:$C,MATCH(1,(DATA_LOG!$A:$A=$A88)*(TEXT(DATA_LOG!$B:$B,"yyyy-MM-dd")=TEXT(DATE($P$3,MONTH(1&amp;$N$3),VALUE(LEFT(K$5,2))),"yyyy-MM-dd")),0)),""))</f>
        <v/>
      </c>
      <c r="L90" s="39" t="str">
        <f t="array" ref="L90">IF(OR($A88="",L$5=""),"",IFNA(INDEX(DATA_LOG!$C:$C,MATCH(1,(DATA_LOG!$A:$A=$A88)*(TEXT(DATA_LOG!$B:$B,"yyyy-MM-dd")=TEXT(DATE($P$3,MONTH(1&amp;$N$3),VALUE(LEFT(L$5,2))),"yyyy-MM-dd")),0)),""))</f>
        <v/>
      </c>
      <c r="M90" s="39" t="str">
        <f t="array" ref="M90">IF(OR($A88="",M$5=""),"",IFNA(INDEX(DATA_LOG!$C:$C,MATCH(1,(DATA_LOG!$A:$A=$A88)*(TEXT(DATA_LOG!$B:$B,"yyyy-MM-dd")=TEXT(DATE($P$3,MONTH(1&amp;$N$3),VALUE(LEFT(M$5,2))),"yyyy-MM-dd")),0)),""))</f>
        <v/>
      </c>
      <c r="N90" s="39" t="str">
        <f t="array" ref="N90">IF(OR($A88="",N$5=""),"",IFNA(INDEX(DATA_LOG!$C:$C,MATCH(1,(DATA_LOG!$A:$A=$A88)*(TEXT(DATA_LOG!$B:$B,"yyyy-MM-dd")=TEXT(DATE($P$3,MONTH(1&amp;$N$3),VALUE(LEFT(N$5,2))),"yyyy-MM-dd")),0)),""))</f>
        <v/>
      </c>
      <c r="O90" s="39" t="str">
        <f t="array" ref="O90">IF(OR($A88="",O$5=""),"",IFNA(INDEX(DATA_LOG!$C:$C,MATCH(1,(DATA_LOG!$A:$A=$A88)*(TEXT(DATA_LOG!$B:$B,"yyyy-MM-dd")=TEXT(DATE($P$3,MONTH(1&amp;$N$3),VALUE(LEFT(O$5,2))),"yyyy-MM-dd")),0)),""))</f>
        <v/>
      </c>
      <c r="P90" s="39" t="str">
        <f t="array" ref="P90">IF(OR($A88="",P$5=""),"",IFNA(INDEX(DATA_LOG!$C:$C,MATCH(1,(DATA_LOG!$A:$A=$A88)*(TEXT(DATA_LOG!$B:$B,"yyyy-MM-dd")=TEXT(DATE($P$3,MONTH(1&amp;$N$3),VALUE(LEFT(P$5,2))),"yyyy-MM-dd")),0)),""))</f>
        <v/>
      </c>
      <c r="Q90" s="39" t="str">
        <f t="array" ref="Q90">IF(OR($A88="",Q$5=""),"",IFNA(INDEX(DATA_LOG!$C:$C,MATCH(1,(DATA_LOG!$A:$A=$A88)*(TEXT(DATA_LOG!$B:$B,"yyyy-MM-dd")=TEXT(DATE($P$3,MONTH(1&amp;$N$3),VALUE(LEFT(Q$5,2))),"yyyy-MM-dd")),0)),""))</f>
        <v/>
      </c>
      <c r="R90" s="39" t="str">
        <f t="array" ref="R90">IF(OR($A88="",R$5=""),"",IFNA(INDEX(DATA_LOG!$C:$C,MATCH(1,(DATA_LOG!$A:$A=$A88)*(TEXT(DATA_LOG!$B:$B,"yyyy-MM-dd")=TEXT(DATE($P$3,MONTH(1&amp;$N$3),VALUE(LEFT(R$5,2))),"yyyy-MM-dd")),0)),""))</f>
        <v/>
      </c>
      <c r="S90" s="39" t="str">
        <f t="array" ref="S90">IF(OR($A88="",S$5=""),"",IFNA(INDEX(DATA_LOG!$C:$C,MATCH(1,(DATA_LOG!$A:$A=$A88)*(TEXT(DATA_LOG!$B:$B,"yyyy-MM-dd")=TEXT(DATE($P$3,MONTH(1&amp;$N$3),VALUE(LEFT(S$5,2))),"yyyy-MM-dd")),0)),""))</f>
        <v/>
      </c>
      <c r="T90" s="39" t="str">
        <f t="array" ref="T90">IF(OR($A88="",T$5=""),"",IFNA(INDEX(DATA_LOG!$C:$C,MATCH(1,(DATA_LOG!$A:$A=$A88)*(TEXT(DATA_LOG!$B:$B,"yyyy-MM-dd")=TEXT(DATE($P$3,MONTH(1&amp;$N$3),VALUE(LEFT(T$5,2))),"yyyy-MM-dd")),0)),""))</f>
        <v/>
      </c>
      <c r="U90" s="39" t="str">
        <f t="array" ref="U90">IF(OR($A88="",U$5=""),"",IFNA(INDEX(DATA_LOG!$C:$C,MATCH(1,(DATA_LOG!$A:$A=$A88)*(TEXT(DATA_LOG!$B:$B,"yyyy-MM-dd")=TEXT(DATE($P$3,MONTH(1&amp;$N$3),VALUE(LEFT(U$5,2))),"yyyy-MM-dd")),0)),""))</f>
        <v/>
      </c>
      <c r="V90" s="39" t="str">
        <f t="array" ref="V90">IF(OR($A88="",V$5=""),"",IFNA(INDEX(DATA_LOG!$C:$C,MATCH(1,(DATA_LOG!$A:$A=$A88)*(TEXT(DATA_LOG!$B:$B,"yyyy-MM-dd")=TEXT(DATE($P$3,MONTH(1&amp;$N$3),VALUE(LEFT(V$5,2))),"yyyy-MM-dd")),0)),""))</f>
        <v/>
      </c>
      <c r="W90" s="39" t="str">
        <f t="array" ref="W90">IF(OR($A88="",W$5=""),"",IFNA(INDEX(DATA_LOG!$C:$C,MATCH(1,(DATA_LOG!$A:$A=$A88)*(TEXT(DATA_LOG!$B:$B,"yyyy-MM-dd")=TEXT(DATE($P$3,MONTH(1&amp;$N$3),VALUE(LEFT(W$5,2))),"yyyy-MM-dd")),0)),""))</f>
        <v/>
      </c>
      <c r="X90" s="39" t="str">
        <f t="array" ref="X90">IF(OR($A88="",X$5=""),"",IFNA(INDEX(DATA_LOG!$C:$C,MATCH(1,(DATA_LOG!$A:$A=$A88)*(TEXT(DATA_LOG!$B:$B,"yyyy-MM-dd")=TEXT(DATE($P$3,MONTH(1&amp;$N$3),VALUE(LEFT(X$5,2))),"yyyy-MM-dd")),0)),""))</f>
        <v/>
      </c>
      <c r="Y90" s="39" t="str">
        <f t="array" ref="Y90">IF(OR($A88="",Y$5=""),"",IFNA(INDEX(DATA_LOG!$C:$C,MATCH(1,(DATA_LOG!$A:$A=$A88)*(TEXT(DATA_LOG!$B:$B,"yyyy-MM-dd")=TEXT(DATE($P$3,MONTH(1&amp;$N$3),VALUE(LEFT(Y$5,2))),"yyyy-MM-dd")),0)),""))</f>
        <v/>
      </c>
      <c r="Z90" s="39" t="str">
        <f t="array" ref="Z90">IF(OR($A88="",Z$5=""),"",IFNA(INDEX(DATA_LOG!$C:$C,MATCH(1,(DATA_LOG!$A:$A=$A88)*(TEXT(DATA_LOG!$B:$B,"yyyy-MM-dd")=TEXT(DATE($P$3,MONTH(1&amp;$N$3),VALUE(LEFT(Z$5,2))),"yyyy-MM-dd")),0)),""))</f>
        <v/>
      </c>
      <c r="AA90" s="39" t="str">
        <f t="array" ref="AA90">IF(OR($A88="",AA$5=""),"",IFNA(INDEX(DATA_LOG!$C:$C,MATCH(1,(DATA_LOG!$A:$A=$A88)*(TEXT(DATA_LOG!$B:$B,"yyyy-MM-dd")=TEXT(DATE($P$3,MONTH(1&amp;$N$3),VALUE(LEFT(AA$5,2))),"yyyy-MM-dd")),0)),""))</f>
        <v/>
      </c>
      <c r="AB90" s="39" t="str">
        <f t="array" ref="AB90">IF(OR($A88="",AB$5=""),"",IFNA(INDEX(DATA_LOG!$C:$C,MATCH(1,(DATA_LOG!$A:$A=$A88)*(TEXT(DATA_LOG!$B:$B,"yyyy-MM-dd")=TEXT(DATE($P$3,MONTH(1&amp;$N$3),VALUE(LEFT(AB$5,2))),"yyyy-MM-dd")),0)),""))</f>
        <v/>
      </c>
      <c r="AC90" s="39" t="str">
        <f t="array" ref="AC90">IF(OR($A88="",AC$5=""),"",IFNA(INDEX(DATA_LOG!$C:$C,MATCH(1,(DATA_LOG!$A:$A=$A88)*(TEXT(DATA_LOG!$B:$B,"yyyy-MM-dd")=TEXT(DATE($P$3,MONTH(1&amp;$N$3),VALUE(LEFT(AC$5,2))),"yyyy-MM-dd")),0)),""))</f>
        <v/>
      </c>
      <c r="AD90" s="39" t="str">
        <f t="array" ref="AD90">IF(OR($A88="",AD$5=""),"",IFNA(INDEX(DATA_LOG!$C:$C,MATCH(1,(DATA_LOG!$A:$A=$A88)*(TEXT(DATA_LOG!$B:$B,"yyyy-MM-dd")=TEXT(DATE($P$3,MONTH(1&amp;$N$3),VALUE(LEFT(AD$5,2))),"yyyy-MM-dd")),0)),""))</f>
        <v/>
      </c>
      <c r="AE90" s="39" t="str">
        <f t="array" ref="AE90">IF(OR($A88="",AE$5=""),"",IFNA(INDEX(DATA_LOG!$C:$C,MATCH(1,(DATA_LOG!$A:$A=$A88)*(TEXT(DATA_LOG!$B:$B,"yyyy-MM-dd")=TEXT(DATE($P$3,MONTH(1&amp;$N$3),VALUE(LEFT(AE$5,2))),"yyyy-MM-dd")),0)),""))</f>
        <v/>
      </c>
      <c r="AF90" s="39" t="str">
        <f t="array" ref="AF90">IF(OR($A88="",AF$5=""),"",IFNA(INDEX(DATA_LOG!$C:$C,MATCH(1,(DATA_LOG!$A:$A=$A88)*(TEXT(DATA_LOG!$B:$B,"yyyy-MM-dd")=TEXT(DATE($P$3,MONTH(1&amp;$N$3),VALUE(LEFT(AF$5,2))),"yyyy-MM-dd")),0)),""))</f>
        <v/>
      </c>
    </row>
    <row r="91">
      <c r="A91" s="37" t="str">
        <f>IF($A88="", "", "OUT")</f>
        <v>OUT</v>
      </c>
      <c r="B91" s="39" t="str">
        <f t="array" ref="B91">IF(OR($A88="",B$5=""),"",IFNA(INDEX(DATA_LOG!$D:$D,MATCH(1,(DATA_LOG!$A:$A=$A88)*(TEXT(DATA_LOG!$B:$B,"yyyy-MM-dd")=TEXT(DATE($P$3,MONTH(1&amp;$N$3),VALUE(LEFT(B$5,2))),"yyyy-MM-dd")),0)),""))</f>
        <v/>
      </c>
      <c r="C91" s="39" t="str">
        <f t="array" ref="C91">IF(OR($A88="",C$5=""),"",IFNA(INDEX(DATA_LOG!$D:$D,MATCH(1,(DATA_LOG!$A:$A=$A88)*(TEXT(DATA_LOG!$B:$B,"yyyy-MM-dd")=TEXT(DATE($P$3,MONTH(1&amp;$N$3),VALUE(LEFT(C$5,2))),"yyyy-MM-dd")),0)),""))</f>
        <v/>
      </c>
      <c r="D91" s="39" t="str">
        <f t="array" ref="D91">IF(OR($A88="",D$5=""),"",IFNA(INDEX(DATA_LOG!$D:$D,MATCH(1,(DATA_LOG!$A:$A=$A88)*(TEXT(DATA_LOG!$B:$B,"yyyy-MM-dd")=TEXT(DATE($P$3,MONTH(1&amp;$N$3),VALUE(LEFT(D$5,2))),"yyyy-MM-dd")),0)),""))</f>
        <v/>
      </c>
      <c r="E91" s="39" t="str">
        <f t="array" ref="E91">IF(OR($A88="",E$5=""),"",IFNA(INDEX(DATA_LOG!$D:$D,MATCH(1,(DATA_LOG!$A:$A=$A88)*(TEXT(DATA_LOG!$B:$B,"yyyy-MM-dd")=TEXT(DATE($P$3,MONTH(1&amp;$N$3),VALUE(LEFT(E$5,2))),"yyyy-MM-dd")),0)),""))</f>
        <v/>
      </c>
      <c r="F91" s="39" t="str">
        <f t="array" ref="F91">IF(OR($A88="",F$5=""),"",IFNA(INDEX(DATA_LOG!$D:$D,MATCH(1,(DATA_LOG!$A:$A=$A88)*(TEXT(DATA_LOG!$B:$B,"yyyy-MM-dd")=TEXT(DATE($P$3,MONTH(1&amp;$N$3),VALUE(LEFT(F$5,2))),"yyyy-MM-dd")),0)),""))</f>
        <v/>
      </c>
      <c r="G91" s="39" t="str">
        <f t="array" ref="G91">IF(OR($A88="",G$5=""),"",IFNA(INDEX(DATA_LOG!$D:$D,MATCH(1,(DATA_LOG!$A:$A=$A88)*(TEXT(DATA_LOG!$B:$B,"yyyy-MM-dd")=TEXT(DATE($P$3,MONTH(1&amp;$N$3),VALUE(LEFT(G$5,2))),"yyyy-MM-dd")),0)),""))</f>
        <v/>
      </c>
      <c r="H91" s="39" t="str">
        <f t="array" ref="H91">IF(OR($A88="",H$5=""),"",IFNA(INDEX(DATA_LOG!$D:$D,MATCH(1,(DATA_LOG!$A:$A=$A88)*(TEXT(DATA_LOG!$B:$B,"yyyy-MM-dd")=TEXT(DATE($P$3,MONTH(1&amp;$N$3),VALUE(LEFT(H$5,2))),"yyyy-MM-dd")),0)),""))</f>
        <v/>
      </c>
      <c r="I91" s="39" t="str">
        <f t="array" ref="I91">IF(OR($A88="",I$5=""),"",IFNA(INDEX(DATA_LOG!$D:$D,MATCH(1,(DATA_LOG!$A:$A=$A88)*(TEXT(DATA_LOG!$B:$B,"yyyy-MM-dd")=TEXT(DATE($P$3,MONTH(1&amp;$N$3),VALUE(LEFT(I$5,2))),"yyyy-MM-dd")),0)),""))</f>
        <v/>
      </c>
      <c r="J91" s="39" t="str">
        <f t="array" ref="J91">IF(OR($A88="",J$5=""),"",IFNA(INDEX(DATA_LOG!$D:$D,MATCH(1,(DATA_LOG!$A:$A=$A88)*(TEXT(DATA_LOG!$B:$B,"yyyy-MM-dd")=TEXT(DATE($P$3,MONTH(1&amp;$N$3),VALUE(LEFT(J$5,2))),"yyyy-MM-dd")),0)),""))</f>
        <v/>
      </c>
      <c r="K91" s="39" t="str">
        <f t="array" ref="K91">IF(OR($A88="",K$5=""),"",IFNA(INDEX(DATA_LOG!$D:$D,MATCH(1,(DATA_LOG!$A:$A=$A88)*(TEXT(DATA_LOG!$B:$B,"yyyy-MM-dd")=TEXT(DATE($P$3,MONTH(1&amp;$N$3),VALUE(LEFT(K$5,2))),"yyyy-MM-dd")),0)),""))</f>
        <v/>
      </c>
      <c r="L91" s="39" t="str">
        <f t="array" ref="L91">IF(OR($A88="",L$5=""),"",IFNA(INDEX(DATA_LOG!$D:$D,MATCH(1,(DATA_LOG!$A:$A=$A88)*(TEXT(DATA_LOG!$B:$B,"yyyy-MM-dd")=TEXT(DATE($P$3,MONTH(1&amp;$N$3),VALUE(LEFT(L$5,2))),"yyyy-MM-dd")),0)),""))</f>
        <v/>
      </c>
      <c r="M91" s="39" t="str">
        <f t="array" ref="M91">IF(OR($A88="",M$5=""),"",IFNA(INDEX(DATA_LOG!$D:$D,MATCH(1,(DATA_LOG!$A:$A=$A88)*(TEXT(DATA_LOG!$B:$B,"yyyy-MM-dd")=TEXT(DATE($P$3,MONTH(1&amp;$N$3),VALUE(LEFT(M$5,2))),"yyyy-MM-dd")),0)),""))</f>
        <v/>
      </c>
      <c r="N91" s="39" t="str">
        <f t="array" ref="N91">IF(OR($A88="",N$5=""),"",IFNA(INDEX(DATA_LOG!$D:$D,MATCH(1,(DATA_LOG!$A:$A=$A88)*(TEXT(DATA_LOG!$B:$B,"yyyy-MM-dd")=TEXT(DATE($P$3,MONTH(1&amp;$N$3),VALUE(LEFT(N$5,2))),"yyyy-MM-dd")),0)),""))</f>
        <v/>
      </c>
      <c r="O91" s="39" t="str">
        <f t="array" ref="O91">IF(OR($A88="",O$5=""),"",IFNA(INDEX(DATA_LOG!$D:$D,MATCH(1,(DATA_LOG!$A:$A=$A88)*(TEXT(DATA_LOG!$B:$B,"yyyy-MM-dd")=TEXT(DATE($P$3,MONTH(1&amp;$N$3),VALUE(LEFT(O$5,2))),"yyyy-MM-dd")),0)),""))</f>
        <v/>
      </c>
      <c r="P91" s="39" t="str">
        <f t="array" ref="P91">IF(OR($A88="",P$5=""),"",IFNA(INDEX(DATA_LOG!$D:$D,MATCH(1,(DATA_LOG!$A:$A=$A88)*(TEXT(DATA_LOG!$B:$B,"yyyy-MM-dd")=TEXT(DATE($P$3,MONTH(1&amp;$N$3),VALUE(LEFT(P$5,2))),"yyyy-MM-dd")),0)),""))</f>
        <v/>
      </c>
      <c r="Q91" s="39" t="str">
        <f t="array" ref="Q91">IF(OR($A88="",Q$5=""),"",IFNA(INDEX(DATA_LOG!$D:$D,MATCH(1,(DATA_LOG!$A:$A=$A88)*(TEXT(DATA_LOG!$B:$B,"yyyy-MM-dd")=TEXT(DATE($P$3,MONTH(1&amp;$N$3),VALUE(LEFT(Q$5,2))),"yyyy-MM-dd")),0)),""))</f>
        <v/>
      </c>
      <c r="R91" s="39" t="str">
        <f t="array" ref="R91">IF(OR($A88="",R$5=""),"",IFNA(INDEX(DATA_LOG!$D:$D,MATCH(1,(DATA_LOG!$A:$A=$A88)*(TEXT(DATA_LOG!$B:$B,"yyyy-MM-dd")=TEXT(DATE($P$3,MONTH(1&amp;$N$3),VALUE(LEFT(R$5,2))),"yyyy-MM-dd")),0)),""))</f>
        <v/>
      </c>
      <c r="S91" s="39" t="str">
        <f t="array" ref="S91">IF(OR($A88="",S$5=""),"",IFNA(INDEX(DATA_LOG!$D:$D,MATCH(1,(DATA_LOG!$A:$A=$A88)*(TEXT(DATA_LOG!$B:$B,"yyyy-MM-dd")=TEXT(DATE($P$3,MONTH(1&amp;$N$3),VALUE(LEFT(S$5,2))),"yyyy-MM-dd")),0)),""))</f>
        <v/>
      </c>
      <c r="T91" s="39" t="str">
        <f t="array" ref="T91">IF(OR($A88="",T$5=""),"",IFNA(INDEX(DATA_LOG!$D:$D,MATCH(1,(DATA_LOG!$A:$A=$A88)*(TEXT(DATA_LOG!$B:$B,"yyyy-MM-dd")=TEXT(DATE($P$3,MONTH(1&amp;$N$3),VALUE(LEFT(T$5,2))),"yyyy-MM-dd")),0)),""))</f>
        <v/>
      </c>
      <c r="U91" s="39" t="str">
        <f t="array" ref="U91">IF(OR($A88="",U$5=""),"",IFNA(INDEX(DATA_LOG!$D:$D,MATCH(1,(DATA_LOG!$A:$A=$A88)*(TEXT(DATA_LOG!$B:$B,"yyyy-MM-dd")=TEXT(DATE($P$3,MONTH(1&amp;$N$3),VALUE(LEFT(U$5,2))),"yyyy-MM-dd")),0)),""))</f>
        <v/>
      </c>
      <c r="V91" s="39" t="str">
        <f t="array" ref="V91">IF(OR($A88="",V$5=""),"",IFNA(INDEX(DATA_LOG!$D:$D,MATCH(1,(DATA_LOG!$A:$A=$A88)*(TEXT(DATA_LOG!$B:$B,"yyyy-MM-dd")=TEXT(DATE($P$3,MONTH(1&amp;$N$3),VALUE(LEFT(V$5,2))),"yyyy-MM-dd")),0)),""))</f>
        <v/>
      </c>
      <c r="W91" s="39" t="str">
        <f t="array" ref="W91">IF(OR($A88="",W$5=""),"",IFNA(INDEX(DATA_LOG!$D:$D,MATCH(1,(DATA_LOG!$A:$A=$A88)*(TEXT(DATA_LOG!$B:$B,"yyyy-MM-dd")=TEXT(DATE($P$3,MONTH(1&amp;$N$3),VALUE(LEFT(W$5,2))),"yyyy-MM-dd")),0)),""))</f>
        <v/>
      </c>
      <c r="X91" s="39" t="str">
        <f t="array" ref="X91">IF(OR($A88="",X$5=""),"",IFNA(INDEX(DATA_LOG!$D:$D,MATCH(1,(DATA_LOG!$A:$A=$A88)*(TEXT(DATA_LOG!$B:$B,"yyyy-MM-dd")=TEXT(DATE($P$3,MONTH(1&amp;$N$3),VALUE(LEFT(X$5,2))),"yyyy-MM-dd")),0)),""))</f>
        <v/>
      </c>
      <c r="Y91" s="39" t="str">
        <f t="array" ref="Y91">IF(OR($A88="",Y$5=""),"",IFNA(INDEX(DATA_LOG!$D:$D,MATCH(1,(DATA_LOG!$A:$A=$A88)*(TEXT(DATA_LOG!$B:$B,"yyyy-MM-dd")=TEXT(DATE($P$3,MONTH(1&amp;$N$3),VALUE(LEFT(Y$5,2))),"yyyy-MM-dd")),0)),""))</f>
        <v/>
      </c>
      <c r="Z91" s="39" t="str">
        <f t="array" ref="Z91">IF(OR($A88="",Z$5=""),"",IFNA(INDEX(DATA_LOG!$D:$D,MATCH(1,(DATA_LOG!$A:$A=$A88)*(TEXT(DATA_LOG!$B:$B,"yyyy-MM-dd")=TEXT(DATE($P$3,MONTH(1&amp;$N$3),VALUE(LEFT(Z$5,2))),"yyyy-MM-dd")),0)),""))</f>
        <v/>
      </c>
      <c r="AA91" s="39" t="str">
        <f t="array" ref="AA91">IF(OR($A88="",AA$5=""),"",IFNA(INDEX(DATA_LOG!$D:$D,MATCH(1,(DATA_LOG!$A:$A=$A88)*(TEXT(DATA_LOG!$B:$B,"yyyy-MM-dd")=TEXT(DATE($P$3,MONTH(1&amp;$N$3),VALUE(LEFT(AA$5,2))),"yyyy-MM-dd")),0)),""))</f>
        <v/>
      </c>
      <c r="AB91" s="39" t="str">
        <f t="array" ref="AB91">IF(OR($A88="",AB$5=""),"",IFNA(INDEX(DATA_LOG!$D:$D,MATCH(1,(DATA_LOG!$A:$A=$A88)*(TEXT(DATA_LOG!$B:$B,"yyyy-MM-dd")=TEXT(DATE($P$3,MONTH(1&amp;$N$3),VALUE(LEFT(AB$5,2))),"yyyy-MM-dd")),0)),""))</f>
        <v/>
      </c>
      <c r="AC91" s="39" t="str">
        <f t="array" ref="AC91">IF(OR($A88="",AC$5=""),"",IFNA(INDEX(DATA_LOG!$D:$D,MATCH(1,(DATA_LOG!$A:$A=$A88)*(TEXT(DATA_LOG!$B:$B,"yyyy-MM-dd")=TEXT(DATE($P$3,MONTH(1&amp;$N$3),VALUE(LEFT(AC$5,2))),"yyyy-MM-dd")),0)),""))</f>
        <v/>
      </c>
      <c r="AD91" s="39" t="str">
        <f t="array" ref="AD91">IF(OR($A88="",AD$5=""),"",IFNA(INDEX(DATA_LOG!$D:$D,MATCH(1,(DATA_LOG!$A:$A=$A88)*(TEXT(DATA_LOG!$B:$B,"yyyy-MM-dd")=TEXT(DATE($P$3,MONTH(1&amp;$N$3),VALUE(LEFT(AD$5,2))),"yyyy-MM-dd")),0)),""))</f>
        <v/>
      </c>
      <c r="AE91" s="39" t="str">
        <f t="array" ref="AE91">IF(OR($A88="",AE$5=""),"",IFNA(INDEX(DATA_LOG!$D:$D,MATCH(1,(DATA_LOG!$A:$A=$A88)*(TEXT(DATA_LOG!$B:$B,"yyyy-MM-dd")=TEXT(DATE($P$3,MONTH(1&amp;$N$3),VALUE(LEFT(AE$5,2))),"yyyy-MM-dd")),0)),""))</f>
        <v/>
      </c>
      <c r="AF91" s="39" t="str">
        <f t="array" ref="AF91">IF(OR($A88="",AF$5=""),"",IFNA(INDEX(DATA_LOG!$D:$D,MATCH(1,(DATA_LOG!$A:$A=$A88)*(TEXT(DATA_LOG!$B:$B,"yyyy-MM-dd")=TEXT(DATE($P$3,MONTH(1&amp;$N$3),VALUE(LEFT(AF$5,2))),"yyyy-MM-dd")),0)),""))</f>
        <v/>
      </c>
    </row>
    <row r="92">
      <c r="A92" s="40" t="str">
        <f>IF($A88="", "", "TOTAL")</f>
        <v>TOTAL</v>
      </c>
      <c r="B92" s="41" t="str">
        <f t="shared" ref="B92:AF92" si="13">IF(OR(B90="",B91=""),"",B91-B90)</f>
        <v/>
      </c>
      <c r="C92" s="34" t="str">
        <f t="shared" si="13"/>
        <v/>
      </c>
      <c r="D92" s="34" t="str">
        <f t="shared" si="13"/>
        <v/>
      </c>
      <c r="E92" s="34" t="str">
        <f t="shared" si="13"/>
        <v/>
      </c>
      <c r="F92" s="34" t="str">
        <f t="shared" si="13"/>
        <v/>
      </c>
      <c r="G92" s="34" t="str">
        <f t="shared" si="13"/>
        <v/>
      </c>
      <c r="H92" s="34" t="str">
        <f t="shared" si="13"/>
        <v/>
      </c>
      <c r="I92" s="34" t="str">
        <f t="shared" si="13"/>
        <v/>
      </c>
      <c r="J92" s="34" t="str">
        <f t="shared" si="13"/>
        <v/>
      </c>
      <c r="K92" s="34" t="str">
        <f t="shared" si="13"/>
        <v/>
      </c>
      <c r="L92" s="34" t="str">
        <f t="shared" si="13"/>
        <v/>
      </c>
      <c r="M92" s="34" t="str">
        <f t="shared" si="13"/>
        <v/>
      </c>
      <c r="N92" s="34" t="str">
        <f t="shared" si="13"/>
        <v/>
      </c>
      <c r="O92" s="34" t="str">
        <f t="shared" si="13"/>
        <v/>
      </c>
      <c r="P92" s="34" t="str">
        <f t="shared" si="13"/>
        <v/>
      </c>
      <c r="Q92" s="34" t="str">
        <f t="shared" si="13"/>
        <v/>
      </c>
      <c r="R92" s="34" t="str">
        <f t="shared" si="13"/>
        <v/>
      </c>
      <c r="S92" s="34" t="str">
        <f t="shared" si="13"/>
        <v/>
      </c>
      <c r="T92" s="34" t="str">
        <f t="shared" si="13"/>
        <v/>
      </c>
      <c r="U92" s="34" t="str">
        <f t="shared" si="13"/>
        <v/>
      </c>
      <c r="V92" s="34" t="str">
        <f t="shared" si="13"/>
        <v/>
      </c>
      <c r="W92" s="34" t="str">
        <f t="shared" si="13"/>
        <v/>
      </c>
      <c r="X92" s="34" t="str">
        <f t="shared" si="13"/>
        <v/>
      </c>
      <c r="Y92" s="34" t="str">
        <f t="shared" si="13"/>
        <v/>
      </c>
      <c r="Z92" s="34" t="str">
        <f t="shared" si="13"/>
        <v/>
      </c>
      <c r="AA92" s="34" t="str">
        <f t="shared" si="13"/>
        <v/>
      </c>
      <c r="AB92" s="34" t="str">
        <f t="shared" si="13"/>
        <v/>
      </c>
      <c r="AC92" s="34" t="str">
        <f t="shared" si="13"/>
        <v/>
      </c>
      <c r="AD92" s="34" t="str">
        <f t="shared" si="13"/>
        <v/>
      </c>
      <c r="AE92" s="34" t="str">
        <f t="shared" si="13"/>
        <v/>
      </c>
      <c r="AF92" s="34" t="str">
        <f t="shared" si="13"/>
        <v/>
      </c>
    </row>
    <row r="93">
      <c r="A93" s="42" t="str">
        <f>IF($A88="", "", "STATUS")</f>
        <v>STATUS</v>
      </c>
      <c r="B93" s="43" t="str">
        <f>IFERROR(__xludf.DUMMYFUNCTION("IF($A88="""","""",IF(B$89="""","""",LET(logStatus,IFNA(INDEX(DATA_LOG!$E:$E,MATCH(1,(DATA_LOG!$A:$A=$A88)*(TEXT(DATA_LOG!$B:$B,""yyyy-MM-dd"")=TEXT(DATE($P$3,MONTH(1&amp;$N$3),VALUE(LEFT(B$89,2))),""yyyy-MM-dd"")),0)),""""),selectedDate,DATE($P$3,MONTH(1&amp;$N$3"&amp;"),VALUE(LEFT(B$89,2))),IF(logStatus&lt;&gt;"""",UPPER(logStatus),IF(selectedDate&gt;TODAY(),""-"",IF(REGEXMATCH(B$89,""SUN""),""WO"",IF(B$92&lt;&gt;"""",IF(VALUE(B$92)&gt;=9/24,""FD"",""HD""),""A"")))))))"),"A")</f>
        <v>A</v>
      </c>
      <c r="C93" s="43" t="str">
        <f>IFERROR(__xludf.DUMMYFUNCTION("IF($A88="""","""",IF(C$89="""","""",LET(logStatus,IFNA(INDEX(DATA_LOG!$E:$E,MATCH(1,(DATA_LOG!$A:$A=$A88)*(TEXT(DATA_LOG!$B:$B,""yyyy-MM-dd"")=TEXT(DATE($P$3,MONTH(1&amp;$N$3),VALUE(LEFT(C$89,2))),""yyyy-MM-dd"")),0)),""""),selectedDate,DATE($P$3,MONTH(1&amp;$N$3"&amp;"),VALUE(LEFT(C$89,2))),IF(logStatus&lt;&gt;"""",UPPER(logStatus),IF(selectedDate&gt;TODAY(),""-"",IF(REGEXMATCH(C$89,""SUN""),""WO"",IF(C$92&lt;&gt;"""",IF(VALUE(C$92)&gt;=9/24,""FD"",""HD""),""A"")))))))"),"A")</f>
        <v>A</v>
      </c>
      <c r="D93" s="43" t="str">
        <f>IFERROR(__xludf.DUMMYFUNCTION("IF($A88="""","""",IF(D$89="""","""",LET(logStatus,IFNA(INDEX(DATA_LOG!$E:$E,MATCH(1,(DATA_LOG!$A:$A=$A88)*(TEXT(DATA_LOG!$B:$B,""yyyy-MM-dd"")=TEXT(DATE($P$3,MONTH(1&amp;$N$3),VALUE(LEFT(D$89,2))),""yyyy-MM-dd"")),0)),""""),selectedDate,DATE($P$3,MONTH(1&amp;$N$3"&amp;"),VALUE(LEFT(D$89,2))),IF(logStatus&lt;&gt;"""",UPPER(logStatus),IF(selectedDate&gt;TODAY(),""-"",IF(REGEXMATCH(D$89,""SUN""),""WO"",IF(D$92&lt;&gt;"""",IF(VALUE(D$92)&gt;=9/24,""FD"",""HD""),""A"")))))))"),"A")</f>
        <v>A</v>
      </c>
      <c r="E93" s="43" t="str">
        <f>IFERROR(__xludf.DUMMYFUNCTION("IF($A88="""","""",IF(E$89="""","""",LET(logStatus,IFNA(INDEX(DATA_LOG!$E:$E,MATCH(1,(DATA_LOG!$A:$A=$A88)*(TEXT(DATA_LOG!$B:$B,""yyyy-MM-dd"")=TEXT(DATE($P$3,MONTH(1&amp;$N$3),VALUE(LEFT(E$89,2))),""yyyy-MM-dd"")),0)),""""),selectedDate,DATE($P$3,MONTH(1&amp;$N$3"&amp;"),VALUE(LEFT(E$89,2))),IF(logStatus&lt;&gt;"""",UPPER(logStatus),IF(selectedDate&gt;TODAY(),""-"",IF(REGEXMATCH(E$89,""SUN""),""WO"",IF(E$92&lt;&gt;"""",IF(VALUE(E$92)&gt;=9/24,""FD"",""HD""),""A"")))))))"),"A")</f>
        <v>A</v>
      </c>
      <c r="F93" s="43" t="str">
        <f>IFERROR(__xludf.DUMMYFUNCTION("IF($A88="""","""",IF(F$89="""","""",LET(logStatus,IFNA(INDEX(DATA_LOG!$E:$E,MATCH(1,(DATA_LOG!$A:$A=$A88)*(TEXT(DATA_LOG!$B:$B,""yyyy-MM-dd"")=TEXT(DATE($P$3,MONTH(1&amp;$N$3),VALUE(LEFT(F$89,2))),""yyyy-MM-dd"")),0)),""""),selectedDate,DATE($P$3,MONTH(1&amp;$N$3"&amp;"),VALUE(LEFT(F$89,2))),IF(logStatus&lt;&gt;"""",UPPER(logStatus),IF(selectedDate&gt;TODAY(),""-"",IF(REGEXMATCH(F$89,""SUN""),""WO"",IF(F$92&lt;&gt;"""",IF(VALUE(F$92)&gt;=9/24,""FD"",""HD""),""A"")))))))"),"A")</f>
        <v>A</v>
      </c>
      <c r="G93" s="43" t="str">
        <f>IFERROR(__xludf.DUMMYFUNCTION("IF($A88="""","""",IF(G$89="""","""",LET(logStatus,IFNA(INDEX(DATA_LOG!$E:$E,MATCH(1,(DATA_LOG!$A:$A=$A88)*(TEXT(DATA_LOG!$B:$B,""yyyy-MM-dd"")=TEXT(DATE($P$3,MONTH(1&amp;$N$3),VALUE(LEFT(G$89,2))),""yyyy-MM-dd"")),0)),""""),selectedDate,DATE($P$3,MONTH(1&amp;$N$3"&amp;"),VALUE(LEFT(G$89,2))),IF(logStatus&lt;&gt;"""",UPPER(logStatus),IF(selectedDate&gt;TODAY(),""-"",IF(REGEXMATCH(G$89,""SUN""),""WO"",IF(G$92&lt;&gt;"""",IF(VALUE(G$92)&gt;=9/24,""FD"",""HD""),""A"")))))))"),"WO")</f>
        <v>WO</v>
      </c>
      <c r="H93" s="43" t="str">
        <f>IFERROR(__xludf.DUMMYFUNCTION("IF($A88="""","""",IF(H$89="""","""",LET(logStatus,IFNA(INDEX(DATA_LOG!$E:$E,MATCH(1,(DATA_LOG!$A:$A=$A88)*(TEXT(DATA_LOG!$B:$B,""yyyy-MM-dd"")=TEXT(DATE($P$3,MONTH(1&amp;$N$3),VALUE(LEFT(H$89,2))),""yyyy-MM-dd"")),0)),""""),selectedDate,DATE($P$3,MONTH(1&amp;$N$3"&amp;"),VALUE(LEFT(H$89,2))),IF(logStatus&lt;&gt;"""",UPPER(logStatus),IF(selectedDate&gt;TODAY(),""-"",IF(REGEXMATCH(H$89,""SUN""),""WO"",IF(H$92&lt;&gt;"""",IF(VALUE(H$92)&gt;=9/24,""FD"",""HD""),""A"")))))))"),"A")</f>
        <v>A</v>
      </c>
      <c r="I93" s="43" t="str">
        <f>IFERROR(__xludf.DUMMYFUNCTION("IF($A88="""","""",IF(I$89="""","""",LET(logStatus,IFNA(INDEX(DATA_LOG!$E:$E,MATCH(1,(DATA_LOG!$A:$A=$A88)*(TEXT(DATA_LOG!$B:$B,""yyyy-MM-dd"")=TEXT(DATE($P$3,MONTH(1&amp;$N$3),VALUE(LEFT(I$89,2))),""yyyy-MM-dd"")),0)),""""),selectedDate,DATE($P$3,MONTH(1&amp;$N$3"&amp;"),VALUE(LEFT(I$89,2))),IF(logStatus&lt;&gt;"""",UPPER(logStatus),IF(selectedDate&gt;TODAY(),""-"",IF(REGEXMATCH(I$89,""SUN""),""WO"",IF(I$92&lt;&gt;"""",IF(VALUE(I$92)&gt;=9/24,""FD"",""HD""),""A"")))))))"),"A")</f>
        <v>A</v>
      </c>
      <c r="J93" s="43" t="str">
        <f>IFERROR(__xludf.DUMMYFUNCTION("IF($A88="""","""",IF(J$89="""","""",LET(logStatus,IFNA(INDEX(DATA_LOG!$E:$E,MATCH(1,(DATA_LOG!$A:$A=$A88)*(TEXT(DATA_LOG!$B:$B,""yyyy-MM-dd"")=TEXT(DATE($P$3,MONTH(1&amp;$N$3),VALUE(LEFT(J$89,2))),""yyyy-MM-dd"")),0)),""""),selectedDate,DATE($P$3,MONTH(1&amp;$N$3"&amp;"),VALUE(LEFT(J$89,2))),IF(logStatus&lt;&gt;"""",UPPER(logStatus),IF(selectedDate&gt;TODAY(),""-"",IF(REGEXMATCH(J$89,""SUN""),""WO"",IF(J$92&lt;&gt;"""",IF(VALUE(J$92)&gt;=9/24,""FD"",""HD""),""A"")))))))"),"A")</f>
        <v>A</v>
      </c>
      <c r="K93" s="43" t="str">
        <f>IFERROR(__xludf.DUMMYFUNCTION("IF($A88="""","""",IF(K$89="""","""",LET(logStatus,IFNA(INDEX(DATA_LOG!$E:$E,MATCH(1,(DATA_LOG!$A:$A=$A88)*(TEXT(DATA_LOG!$B:$B,""yyyy-MM-dd"")=TEXT(DATE($P$3,MONTH(1&amp;$N$3),VALUE(LEFT(K$89,2))),""yyyy-MM-dd"")),0)),""""),selectedDate,DATE($P$3,MONTH(1&amp;$N$3"&amp;"),VALUE(LEFT(K$89,2))),IF(logStatus&lt;&gt;"""",UPPER(logStatus),IF(selectedDate&gt;TODAY(),""-"",IF(REGEXMATCH(K$89,""SUN""),""WO"",IF(K$92&lt;&gt;"""",IF(VALUE(K$92)&gt;=9/24,""FD"",""HD""),""A"")))))))"),"A")</f>
        <v>A</v>
      </c>
      <c r="L93" s="43" t="str">
        <f>IFERROR(__xludf.DUMMYFUNCTION("IF($A88="""","""",IF(L$89="""","""",LET(logStatus,IFNA(INDEX(DATA_LOG!$E:$E,MATCH(1,(DATA_LOG!$A:$A=$A88)*(TEXT(DATA_LOG!$B:$B,""yyyy-MM-dd"")=TEXT(DATE($P$3,MONTH(1&amp;$N$3),VALUE(LEFT(L$89,2))),""yyyy-MM-dd"")),0)),""""),selectedDate,DATE($P$3,MONTH(1&amp;$N$3"&amp;"),VALUE(LEFT(L$89,2))),IF(logStatus&lt;&gt;"""",UPPER(logStatus),IF(selectedDate&gt;TODAY(),""-"",IF(REGEXMATCH(L$89,""SUN""),""WO"",IF(L$92&lt;&gt;"""",IF(VALUE(L$92)&gt;=9/24,""FD"",""HD""),""A"")))))))"),"A")</f>
        <v>A</v>
      </c>
      <c r="M93" s="43" t="str">
        <f>IFERROR(__xludf.DUMMYFUNCTION("IF($A88="""","""",IF(M$89="""","""",LET(logStatus,IFNA(INDEX(DATA_LOG!$E:$E,MATCH(1,(DATA_LOG!$A:$A=$A88)*(TEXT(DATA_LOG!$B:$B,""yyyy-MM-dd"")=TEXT(DATE($P$3,MONTH(1&amp;$N$3),VALUE(LEFT(M$89,2))),""yyyy-MM-dd"")),0)),""""),selectedDate,DATE($P$3,MONTH(1&amp;$N$3"&amp;"),VALUE(LEFT(M$89,2))),IF(logStatus&lt;&gt;"""",UPPER(logStatus),IF(selectedDate&gt;TODAY(),""-"",IF(REGEXMATCH(M$89,""SUN""),""WO"",IF(M$92&lt;&gt;"""",IF(VALUE(M$92)&gt;=9/24,""FD"",""HD""),""A"")))))))"),"-")</f>
        <v>-</v>
      </c>
      <c r="N93" s="43" t="str">
        <f>IFERROR(__xludf.DUMMYFUNCTION("IF($A88="""","""",IF(N$89="""","""",LET(logStatus,IFNA(INDEX(DATA_LOG!$E:$E,MATCH(1,(DATA_LOG!$A:$A=$A88)*(TEXT(DATA_LOG!$B:$B,""yyyy-MM-dd"")=TEXT(DATE($P$3,MONTH(1&amp;$N$3),VALUE(LEFT(N$89,2))),""yyyy-MM-dd"")),0)),""""),selectedDate,DATE($P$3,MONTH(1&amp;$N$3"&amp;"),VALUE(LEFT(N$89,2))),IF(logStatus&lt;&gt;"""",UPPER(logStatus),IF(selectedDate&gt;TODAY(),""-"",IF(REGEXMATCH(N$89,""SUN""),""WO"",IF(N$92&lt;&gt;"""",IF(VALUE(N$92)&gt;=9/24,""FD"",""HD""),""A"")))))))"),"-")</f>
        <v>-</v>
      </c>
      <c r="O93" s="43" t="str">
        <f>IFERROR(__xludf.DUMMYFUNCTION("IF($A88="""","""",IF(O$89="""","""",LET(logStatus,IFNA(INDEX(DATA_LOG!$E:$E,MATCH(1,(DATA_LOG!$A:$A=$A88)*(TEXT(DATA_LOG!$B:$B,""yyyy-MM-dd"")=TEXT(DATE($P$3,MONTH(1&amp;$N$3),VALUE(LEFT(O$89,2))),""yyyy-MM-dd"")),0)),""""),selectedDate,DATE($P$3,MONTH(1&amp;$N$3"&amp;"),VALUE(LEFT(O$89,2))),IF(logStatus&lt;&gt;"""",UPPER(logStatus),IF(selectedDate&gt;TODAY(),""-"",IF(REGEXMATCH(O$89,""SUN""),""WO"",IF(O$92&lt;&gt;"""",IF(VALUE(O$92)&gt;=9/24,""FD"",""HD""),""A"")))))))"),"-")</f>
        <v>-</v>
      </c>
      <c r="P93" s="43" t="str">
        <f>IFERROR(__xludf.DUMMYFUNCTION("IF($A88="""","""",IF(P$89="""","""",LET(logStatus,IFNA(INDEX(DATA_LOG!$E:$E,MATCH(1,(DATA_LOG!$A:$A=$A88)*(TEXT(DATA_LOG!$B:$B,""yyyy-MM-dd"")=TEXT(DATE($P$3,MONTH(1&amp;$N$3),VALUE(LEFT(P$89,2))),""yyyy-MM-dd"")),0)),""""),selectedDate,DATE($P$3,MONTH(1&amp;$N$3"&amp;"),VALUE(LEFT(P$89,2))),IF(logStatus&lt;&gt;"""",UPPER(logStatus),IF(selectedDate&gt;TODAY(),""-"",IF(REGEXMATCH(P$89,""SUN""),""WO"",IF(P$92&lt;&gt;"""",IF(VALUE(P$92)&gt;=9/24,""FD"",""HD""),""A"")))))))"),"-")</f>
        <v>-</v>
      </c>
      <c r="Q93" s="43" t="str">
        <f>IFERROR(__xludf.DUMMYFUNCTION("IF($A88="""","""",IF(Q$89="""","""",LET(logStatus,IFNA(INDEX(DATA_LOG!$E:$E,MATCH(1,(DATA_LOG!$A:$A=$A88)*(TEXT(DATA_LOG!$B:$B,""yyyy-MM-dd"")=TEXT(DATE($P$3,MONTH(1&amp;$N$3),VALUE(LEFT(Q$89,2))),""yyyy-MM-dd"")),0)),""""),selectedDate,DATE($P$3,MONTH(1&amp;$N$3"&amp;"),VALUE(LEFT(Q$89,2))),IF(logStatus&lt;&gt;"""",UPPER(logStatus),IF(selectedDate&gt;TODAY(),""-"",IF(REGEXMATCH(Q$89,""SUN""),""WO"",IF(Q$92&lt;&gt;"""",IF(VALUE(Q$92)&gt;=9/24,""FD"",""HD""),""A"")))))))"),"-")</f>
        <v>-</v>
      </c>
      <c r="R93" s="43" t="str">
        <f>IFERROR(__xludf.DUMMYFUNCTION("IF($A88="""","""",IF(R$89="""","""",LET(logStatus,IFNA(INDEX(DATA_LOG!$E:$E,MATCH(1,(DATA_LOG!$A:$A=$A88)*(TEXT(DATA_LOG!$B:$B,""yyyy-MM-dd"")=TEXT(DATE($P$3,MONTH(1&amp;$N$3),VALUE(LEFT(R$89,2))),""yyyy-MM-dd"")),0)),""""),selectedDate,DATE($P$3,MONTH(1&amp;$N$3"&amp;"),VALUE(LEFT(R$89,2))),IF(logStatus&lt;&gt;"""",UPPER(logStatus),IF(selectedDate&gt;TODAY(),""-"",IF(REGEXMATCH(R$89,""SUN""),""WO"",IF(R$92&lt;&gt;"""",IF(VALUE(R$92)&gt;=9/24,""FD"",""HD""),""A"")))))))"),"-")</f>
        <v>-</v>
      </c>
      <c r="S93" s="43" t="str">
        <f>IFERROR(__xludf.DUMMYFUNCTION("IF($A88="""","""",IF(S$89="""","""",LET(logStatus,IFNA(INDEX(DATA_LOG!$E:$E,MATCH(1,(DATA_LOG!$A:$A=$A88)*(TEXT(DATA_LOG!$B:$B,""yyyy-MM-dd"")=TEXT(DATE($P$3,MONTH(1&amp;$N$3),VALUE(LEFT(S$89,2))),""yyyy-MM-dd"")),0)),""""),selectedDate,DATE($P$3,MONTH(1&amp;$N$3"&amp;"),VALUE(LEFT(S$89,2))),IF(logStatus&lt;&gt;"""",UPPER(logStatus),IF(selectedDate&gt;TODAY(),""-"",IF(REGEXMATCH(S$89,""SUN""),""WO"",IF(S$92&lt;&gt;"""",IF(VALUE(S$92)&gt;=9/24,""FD"",""HD""),""A"")))))))"),"-")</f>
        <v>-</v>
      </c>
      <c r="T93" s="43" t="str">
        <f>IFERROR(__xludf.DUMMYFUNCTION("IF($A88="""","""",IF(T$89="""","""",LET(logStatus,IFNA(INDEX(DATA_LOG!$E:$E,MATCH(1,(DATA_LOG!$A:$A=$A88)*(TEXT(DATA_LOG!$B:$B,""yyyy-MM-dd"")=TEXT(DATE($P$3,MONTH(1&amp;$N$3),VALUE(LEFT(T$89,2))),""yyyy-MM-dd"")),0)),""""),selectedDate,DATE($P$3,MONTH(1&amp;$N$3"&amp;"),VALUE(LEFT(T$89,2))),IF(logStatus&lt;&gt;"""",UPPER(logStatus),IF(selectedDate&gt;TODAY(),""-"",IF(REGEXMATCH(T$89,""SUN""),""WO"",IF(T$92&lt;&gt;"""",IF(VALUE(T$92)&gt;=9/24,""FD"",""HD""),""A"")))))))"),"-")</f>
        <v>-</v>
      </c>
      <c r="U93" s="43" t="str">
        <f>IFERROR(__xludf.DUMMYFUNCTION("IF($A88="""","""",IF(U$89="""","""",LET(logStatus,IFNA(INDEX(DATA_LOG!$E:$E,MATCH(1,(DATA_LOG!$A:$A=$A88)*(TEXT(DATA_LOG!$B:$B,""yyyy-MM-dd"")=TEXT(DATE($P$3,MONTH(1&amp;$N$3),VALUE(LEFT(U$89,2))),""yyyy-MM-dd"")),0)),""""),selectedDate,DATE($P$3,MONTH(1&amp;$N$3"&amp;"),VALUE(LEFT(U$89,2))),IF(logStatus&lt;&gt;"""",UPPER(logStatus),IF(selectedDate&gt;TODAY(),""-"",IF(REGEXMATCH(U$89,""SUN""),""WO"",IF(U$92&lt;&gt;"""",IF(VALUE(U$92)&gt;=9/24,""FD"",""HD""),""A"")))))))"),"-")</f>
        <v>-</v>
      </c>
      <c r="V93" s="43" t="str">
        <f>IFERROR(__xludf.DUMMYFUNCTION("IF($A88="""","""",IF(V$89="""","""",LET(logStatus,IFNA(INDEX(DATA_LOG!$E:$E,MATCH(1,(DATA_LOG!$A:$A=$A88)*(TEXT(DATA_LOG!$B:$B,""yyyy-MM-dd"")=TEXT(DATE($P$3,MONTH(1&amp;$N$3),VALUE(LEFT(V$89,2))),""yyyy-MM-dd"")),0)),""""),selectedDate,DATE($P$3,MONTH(1&amp;$N$3"&amp;"),VALUE(LEFT(V$89,2))),IF(logStatus&lt;&gt;"""",UPPER(logStatus),IF(selectedDate&gt;TODAY(),""-"",IF(REGEXMATCH(V$89,""SUN""),""WO"",IF(V$92&lt;&gt;"""",IF(VALUE(V$92)&gt;=9/24,""FD"",""HD""),""A"")))))))"),"-")</f>
        <v>-</v>
      </c>
      <c r="W93" s="43" t="str">
        <f>IFERROR(__xludf.DUMMYFUNCTION("IF($A88="""","""",IF(W$89="""","""",LET(logStatus,IFNA(INDEX(DATA_LOG!$E:$E,MATCH(1,(DATA_LOG!$A:$A=$A88)*(TEXT(DATA_LOG!$B:$B,""yyyy-MM-dd"")=TEXT(DATE($P$3,MONTH(1&amp;$N$3),VALUE(LEFT(W$89,2))),""yyyy-MM-dd"")),0)),""""),selectedDate,DATE($P$3,MONTH(1&amp;$N$3"&amp;"),VALUE(LEFT(W$89,2))),IF(logStatus&lt;&gt;"""",UPPER(logStatus),IF(selectedDate&gt;TODAY(),""-"",IF(REGEXMATCH(W$89,""SUN""),""WO"",IF(W$92&lt;&gt;"""",IF(VALUE(W$92)&gt;=9/24,""FD"",""HD""),""A"")))))))"),"-")</f>
        <v>-</v>
      </c>
      <c r="X93" s="43" t="str">
        <f>IFERROR(__xludf.DUMMYFUNCTION("IF($A88="""","""",IF(X$89="""","""",LET(logStatus,IFNA(INDEX(DATA_LOG!$E:$E,MATCH(1,(DATA_LOG!$A:$A=$A88)*(TEXT(DATA_LOG!$B:$B,""yyyy-MM-dd"")=TEXT(DATE($P$3,MONTH(1&amp;$N$3),VALUE(LEFT(X$89,2))),""yyyy-MM-dd"")),0)),""""),selectedDate,DATE($P$3,MONTH(1&amp;$N$3"&amp;"),VALUE(LEFT(X$89,2))),IF(logStatus&lt;&gt;"""",UPPER(logStatus),IF(selectedDate&gt;TODAY(),""-"",IF(REGEXMATCH(X$89,""SUN""),""WO"",IF(X$92&lt;&gt;"""",IF(VALUE(X$92)&gt;=9/24,""FD"",""HD""),""A"")))))))"),"-")</f>
        <v>-</v>
      </c>
      <c r="Y93" s="43" t="str">
        <f>IFERROR(__xludf.DUMMYFUNCTION("IF($A88="""","""",IF(Y$89="""","""",LET(logStatus,IFNA(INDEX(DATA_LOG!$E:$E,MATCH(1,(DATA_LOG!$A:$A=$A88)*(TEXT(DATA_LOG!$B:$B,""yyyy-MM-dd"")=TEXT(DATE($P$3,MONTH(1&amp;$N$3),VALUE(LEFT(Y$89,2))),""yyyy-MM-dd"")),0)),""""),selectedDate,DATE($P$3,MONTH(1&amp;$N$3"&amp;"),VALUE(LEFT(Y$89,2))),IF(logStatus&lt;&gt;"""",UPPER(logStatus),IF(selectedDate&gt;TODAY(),""-"",IF(REGEXMATCH(Y$89,""SUN""),""WO"",IF(Y$92&lt;&gt;"""",IF(VALUE(Y$92)&gt;=9/24,""FD"",""HD""),""A"")))))))"),"-")</f>
        <v>-</v>
      </c>
      <c r="Z93" s="43" t="str">
        <f>IFERROR(__xludf.DUMMYFUNCTION("IF($A88="""","""",IF(Z$89="""","""",LET(logStatus,IFNA(INDEX(DATA_LOG!$E:$E,MATCH(1,(DATA_LOG!$A:$A=$A88)*(TEXT(DATA_LOG!$B:$B,""yyyy-MM-dd"")=TEXT(DATE($P$3,MONTH(1&amp;$N$3),VALUE(LEFT(Z$89,2))),""yyyy-MM-dd"")),0)),""""),selectedDate,DATE($P$3,MONTH(1&amp;$N$3"&amp;"),VALUE(LEFT(Z$89,2))),IF(logStatus&lt;&gt;"""",UPPER(logStatus),IF(selectedDate&gt;TODAY(),""-"",IF(REGEXMATCH(Z$89,""SUN""),""WO"",IF(Z$92&lt;&gt;"""",IF(VALUE(Z$92)&gt;=9/24,""FD"",""HD""),""A"")))))))"),"-")</f>
        <v>-</v>
      </c>
      <c r="AA93" s="43" t="str">
        <f>IFERROR(__xludf.DUMMYFUNCTION("IF($A88="""","""",IF(AA$89="""","""",LET(logStatus,IFNA(INDEX(DATA_LOG!$E:$E,MATCH(1,(DATA_LOG!$A:$A=$A88)*(TEXT(DATA_LOG!$B:$B,""yyyy-MM-dd"")=TEXT(DATE($P$3,MONTH(1&amp;$N$3),VALUE(LEFT(AA$89,2))),""yyyy-MM-dd"")),0)),""""),selectedDate,DATE($P$3,MONTH(1&amp;$N"&amp;"$3),VALUE(LEFT(AA$89,2))),IF(logStatus&lt;&gt;"""",UPPER(logStatus),IF(selectedDate&gt;TODAY(),""-"",IF(REGEXMATCH(AA$89,""SUN""),""WO"",IF(AA$92&lt;&gt;"""",IF(VALUE(AA$92)&gt;=9/24,""FD"",""HD""),""A"")))))))"),"-")</f>
        <v>-</v>
      </c>
      <c r="AB93" s="43" t="str">
        <f>IFERROR(__xludf.DUMMYFUNCTION("IF($A88="""","""",IF(AB$89="""","""",LET(logStatus,IFNA(INDEX(DATA_LOG!$E:$E,MATCH(1,(DATA_LOG!$A:$A=$A88)*(TEXT(DATA_LOG!$B:$B,""yyyy-MM-dd"")=TEXT(DATE($P$3,MONTH(1&amp;$N$3),VALUE(LEFT(AB$89,2))),""yyyy-MM-dd"")),0)),""""),selectedDate,DATE($P$3,MONTH(1&amp;$N"&amp;"$3),VALUE(LEFT(AB$89,2))),IF(logStatus&lt;&gt;"""",UPPER(logStatus),IF(selectedDate&gt;TODAY(),""-"",IF(REGEXMATCH(AB$89,""SUN""),""WO"",IF(AB$92&lt;&gt;"""",IF(VALUE(AB$92)&gt;=9/24,""FD"",""HD""),""A"")))))))"),"-")</f>
        <v>-</v>
      </c>
      <c r="AC93" s="43" t="str">
        <f>IFERROR(__xludf.DUMMYFUNCTION("IF($A88="""","""",IF(AC$89="""","""",LET(logStatus,IFNA(INDEX(DATA_LOG!$E:$E,MATCH(1,(DATA_LOG!$A:$A=$A88)*(TEXT(DATA_LOG!$B:$B,""yyyy-MM-dd"")=TEXT(DATE($P$3,MONTH(1&amp;$N$3),VALUE(LEFT(AC$89,2))),""yyyy-MM-dd"")),0)),""""),selectedDate,DATE($P$3,MONTH(1&amp;$N"&amp;"$3),VALUE(LEFT(AC$89,2))),IF(logStatus&lt;&gt;"""",UPPER(logStatus),IF(selectedDate&gt;TODAY(),""-"",IF(REGEXMATCH(AC$89,""SUN""),""WO"",IF(AC$92&lt;&gt;"""",IF(VALUE(AC$92)&gt;=9/24,""FD"",""HD""),""A"")))))))"),"-")</f>
        <v>-</v>
      </c>
      <c r="AD93" s="43" t="str">
        <f>IFERROR(__xludf.DUMMYFUNCTION("IF($A88="""","""",IF(AD$89="""","""",LET(logStatus,IFNA(INDEX(DATA_LOG!$E:$E,MATCH(1,(DATA_LOG!$A:$A=$A88)*(TEXT(DATA_LOG!$B:$B,""yyyy-MM-dd"")=TEXT(DATE($P$3,MONTH(1&amp;$N$3),VALUE(LEFT(AD$89,2))),""yyyy-MM-dd"")),0)),""""),selectedDate,DATE($P$3,MONTH(1&amp;$N"&amp;"$3),VALUE(LEFT(AD$89,2))),IF(logStatus&lt;&gt;"""",UPPER(logStatus),IF(selectedDate&gt;TODAY(),""-"",IF(REGEXMATCH(AD$89,""SUN""),""WO"",IF(AD$92&lt;&gt;"""",IF(VALUE(AD$92)&gt;=9/24,""FD"",""HD""),""A"")))))))"),"-")</f>
        <v>-</v>
      </c>
      <c r="AE93" s="43" t="str">
        <f>IFERROR(__xludf.DUMMYFUNCTION("IF($A88="""","""",IF(AE$89="""","""",LET(logStatus,IFNA(INDEX(DATA_LOG!$E:$E,MATCH(1,(DATA_LOG!$A:$A=$A88)*(TEXT(DATA_LOG!$B:$B,""yyyy-MM-dd"")=TEXT(DATE($P$3,MONTH(1&amp;$N$3),VALUE(LEFT(AE$89,2))),""yyyy-MM-dd"")),0)),""""),selectedDate,DATE($P$3,MONTH(1&amp;$N"&amp;"$3),VALUE(LEFT(AE$89,2))),IF(logStatus&lt;&gt;"""",UPPER(logStatus),IF(selectedDate&gt;TODAY(),""-"",IF(REGEXMATCH(AE$89,""SUN""),""WO"",IF(AE$92&lt;&gt;"""",IF(VALUE(AE$92)&gt;=9/24,""FD"",""HD""),""A"")))))))"),"-")</f>
        <v>-</v>
      </c>
      <c r="AF93" s="43" t="str">
        <f>IFERROR(__xludf.DUMMYFUNCTION("IF($A88="""","""",IF(AF$89="""","""",LET(logStatus,IFNA(INDEX(DATA_LOG!$E:$E,MATCH(1,(DATA_LOG!$A:$A=$A88)*(TEXT(DATA_LOG!$B:$B,""yyyy-MM-dd"")=TEXT(DATE($P$3,MONTH(1&amp;$N$3),VALUE(LEFT(AF$89,2))),""yyyy-MM-dd"")),0)),""""),selectedDate,DATE($P$3,MONTH(1&amp;$N"&amp;"$3),VALUE(LEFT(AF$89,2))),IF(logStatus&lt;&gt;"""",UPPER(logStatus),IF(selectedDate&gt;TODAY(),""-"",IF(REGEXMATCH(AF$89,""SUN""),""WO"",IF(AF$92&lt;&gt;"""",IF(VALUE(AF$92)&gt;=9/24,""FD"",""HD""),""A"")))))))"),"")</f>
        <v/>
      </c>
    </row>
    <row r="94">
      <c r="A94" s="44"/>
    </row>
    <row r="95">
      <c r="A95" s="25" t="str">
        <f t="array" ref="A95">INDEX(EMPLOYEE_LIST!$A:$A,INT((ROW()-4)/7)+2)</f>
        <v>VINAY KUMAR</v>
      </c>
      <c r="B95" s="26"/>
      <c r="C95" s="27"/>
      <c r="D95" s="28" t="str">
        <f>IF(A95="", "", IFERROR(VLOOKUP(A95, EMPLOYEE_LIST!$A:$H, 2, FALSE), ""))</f>
        <v>AYV-78</v>
      </c>
      <c r="E95" s="26"/>
      <c r="F95" s="26"/>
      <c r="G95" s="27"/>
      <c r="H95" s="29" t="str">
        <f>IF(A95="", "", IFERROR(VLOOKUP(A95, EMPLOYEE_LIST!$A:$H, 3, FALSE), ""))</f>
        <v>ENGINEERING</v>
      </c>
      <c r="I95" s="26"/>
      <c r="J95" s="26"/>
      <c r="K95" s="27"/>
      <c r="L95" s="29" t="str">
        <f>IF(A95="", "", IFERROR(VLOOKUP(A95, EMPLOYEE_LIST!$A:$H, 4, FALSE), ""))</f>
        <v>SUPERVISOR</v>
      </c>
      <c r="M95" s="26"/>
      <c r="N95" s="26"/>
      <c r="O95" s="27"/>
      <c r="P95" s="30" t="str">
        <f>IF($A95="", "", "Full Day: " &amp; COUNTIF(B100:AF100, "FD"))</f>
        <v>Full Day: 0</v>
      </c>
      <c r="Q95" s="26"/>
      <c r="R95" s="27"/>
      <c r="S95" s="31" t="str">
        <f>IF($A95="", "", "HALF Day: " &amp; COUNTIF(B100:AF100, "HD"))</f>
        <v>HALF Day: 0</v>
      </c>
      <c r="T95" s="26"/>
      <c r="U95" s="27"/>
      <c r="V95" s="31" t="str">
        <f>IF($A95="", "", "ABSENT: " &amp; COUNTIF(B100:AF100, "A"))</f>
        <v>ABSENT: 10</v>
      </c>
      <c r="W95" s="26"/>
      <c r="X95" s="27"/>
      <c r="Y95" s="31" t="str">
        <f>IF($A95="", "", "WEEK OFF: " &amp; COUNTIF(B100:AF100, "WO"))</f>
        <v>WEEK OFF: 1</v>
      </c>
      <c r="Z95" s="26"/>
      <c r="AA95" s="27"/>
      <c r="AB95" s="31" t="str">
        <f>IF($A95="", "", "LEAVE: " &amp; COUNTIF(B100:AF100, "L"))</f>
        <v>LEAVE: 0</v>
      </c>
      <c r="AC95" s="27"/>
      <c r="AD95" s="31" t="str">
        <f>IF($A95="", "", "HOLIDAY: " &amp; COUNTIF(B100:AF100, "HL"))</f>
        <v>HOLIDAY: 0</v>
      </c>
      <c r="AE95" s="26"/>
      <c r="AF95" s="27"/>
    </row>
    <row r="96">
      <c r="A96" s="32" t="str">
        <f>IF($A95="", "", "DATE")</f>
        <v>DATE</v>
      </c>
      <c r="B96" s="33" t="str">
        <f t="array" ref="B96:AE96">IF($A95="","",LET(mNum,MONTH(1&amp;$N$3),start,DATE($P$3,mNum,1),days,DAY(EOMONTH(start,0)),MAP(SEQUENCE(1,days,0),LAMBDA(n,UPPER(TEXT(start+n,"dd (ddd)"))))))</f>
        <v>01 (TUE)</v>
      </c>
      <c r="C96" s="34" t="s">
        <v>89</v>
      </c>
      <c r="D96" s="34" t="s">
        <v>90</v>
      </c>
      <c r="E96" s="34" t="s">
        <v>91</v>
      </c>
      <c r="F96" s="34" t="s">
        <v>92</v>
      </c>
      <c r="G96" s="34" t="s">
        <v>93</v>
      </c>
      <c r="H96" s="34" t="s">
        <v>94</v>
      </c>
      <c r="I96" s="34" t="s">
        <v>95</v>
      </c>
      <c r="J96" s="34" t="s">
        <v>96</v>
      </c>
      <c r="K96" s="34" t="s">
        <v>97</v>
      </c>
      <c r="L96" s="34" t="s">
        <v>98</v>
      </c>
      <c r="M96" s="34" t="s">
        <v>99</v>
      </c>
      <c r="N96" s="34" t="s">
        <v>100</v>
      </c>
      <c r="O96" s="34" t="s">
        <v>101</v>
      </c>
      <c r="P96" s="34" t="s">
        <v>102</v>
      </c>
      <c r="Q96" s="34" t="s">
        <v>103</v>
      </c>
      <c r="R96" s="34" t="s">
        <v>104</v>
      </c>
      <c r="S96" s="34" t="s">
        <v>105</v>
      </c>
      <c r="T96" s="34" t="s">
        <v>106</v>
      </c>
      <c r="U96" s="34" t="s">
        <v>107</v>
      </c>
      <c r="V96" s="34" t="s">
        <v>108</v>
      </c>
      <c r="W96" s="34" t="s">
        <v>109</v>
      </c>
      <c r="X96" s="34" t="s">
        <v>110</v>
      </c>
      <c r="Y96" s="34" t="s">
        <v>111</v>
      </c>
      <c r="Z96" s="34" t="s">
        <v>112</v>
      </c>
      <c r="AA96" s="34" t="s">
        <v>113</v>
      </c>
      <c r="AB96" s="34" t="s">
        <v>114</v>
      </c>
      <c r="AC96" s="34" t="s">
        <v>115</v>
      </c>
      <c r="AD96" s="34" t="s">
        <v>116</v>
      </c>
      <c r="AE96" s="34" t="s">
        <v>117</v>
      </c>
      <c r="AF96" s="34"/>
    </row>
    <row r="97">
      <c r="A97" s="37" t="str">
        <f>IF($A95="", "", "IN")</f>
        <v>IN</v>
      </c>
      <c r="B97" s="38" t="str">
        <f t="array" ref="B97">IF(OR($A95="",B$96=""),"",IFNA(INDEX(DATA_LOG!$C:$C,MATCH(1,(DATA_LOG!$A:$A=$A95)*(TEXT(DATA_LOG!$B:$B,"yyyy-MM-dd")=TEXT(DATE($P$3,MONTH(1&amp;$N$3),VALUE(LEFT(B$96,2))),"yyyy-MM-dd")),0)),""))</f>
        <v/>
      </c>
      <c r="C97" s="39" t="str">
        <f t="array" ref="C97">IF(OR($A95="",C$5=""),"",IFNA(INDEX(DATA_LOG!$C:$C,MATCH(1,(DATA_LOG!$A:$A=$A95)*(TEXT(DATA_LOG!$B:$B,"yyyy-MM-dd")=TEXT(DATE($P$3,MONTH(1&amp;$N$3),VALUE(LEFT(C$5,2))),"yyyy-MM-dd")),0)),""))</f>
        <v/>
      </c>
      <c r="D97" s="39" t="str">
        <f t="array" ref="D97">IF(OR($A95="",D$5=""),"",IFNA(INDEX(DATA_LOG!$C:$C,MATCH(1,(DATA_LOG!$A:$A=$A95)*(TEXT(DATA_LOG!$B:$B,"yyyy-MM-dd")=TEXT(DATE($P$3,MONTH(1&amp;$N$3),VALUE(LEFT(D$5,2))),"yyyy-MM-dd")),0)),""))</f>
        <v/>
      </c>
      <c r="E97" s="39" t="str">
        <f t="array" ref="E97">IF(OR($A95="",E$5=""),"",IFNA(INDEX(DATA_LOG!$C:$C,MATCH(1,(DATA_LOG!$A:$A=$A95)*(TEXT(DATA_LOG!$B:$B,"yyyy-MM-dd")=TEXT(DATE($P$3,MONTH(1&amp;$N$3),VALUE(LEFT(E$5,2))),"yyyy-MM-dd")),0)),""))</f>
        <v/>
      </c>
      <c r="F97" s="39" t="str">
        <f t="array" ref="F97">IF(OR($A95="",F$5=""),"",IFNA(INDEX(DATA_LOG!$C:$C,MATCH(1,(DATA_LOG!$A:$A=$A95)*(TEXT(DATA_LOG!$B:$B,"yyyy-MM-dd")=TEXT(DATE($P$3,MONTH(1&amp;$N$3),VALUE(LEFT(F$5,2))),"yyyy-MM-dd")),0)),""))</f>
        <v/>
      </c>
      <c r="G97" s="39" t="str">
        <f t="array" ref="G97">IF(OR($A95="",G$5=""),"",IFNA(INDEX(DATA_LOG!$C:$C,MATCH(1,(DATA_LOG!$A:$A=$A95)*(TEXT(DATA_LOG!$B:$B,"yyyy-MM-dd")=TEXT(DATE($P$3,MONTH(1&amp;$N$3),VALUE(LEFT(G$5,2))),"yyyy-MM-dd")),0)),""))</f>
        <v/>
      </c>
      <c r="H97" s="39" t="str">
        <f t="array" ref="H97">IF(OR($A95="",H$5=""),"",IFNA(INDEX(DATA_LOG!$C:$C,MATCH(1,(DATA_LOG!$A:$A=$A95)*(TEXT(DATA_LOG!$B:$B,"yyyy-MM-dd")=TEXT(DATE($P$3,MONTH(1&amp;$N$3),VALUE(LEFT(H$5,2))),"yyyy-MM-dd")),0)),""))</f>
        <v/>
      </c>
      <c r="I97" s="39" t="str">
        <f t="array" ref="I97">IF(OR($A95="",I$5=""),"",IFNA(INDEX(DATA_LOG!$C:$C,MATCH(1,(DATA_LOG!$A:$A=$A95)*(TEXT(DATA_LOG!$B:$B,"yyyy-MM-dd")=TEXT(DATE($P$3,MONTH(1&amp;$N$3),VALUE(LEFT(I$5,2))),"yyyy-MM-dd")),0)),""))</f>
        <v/>
      </c>
      <c r="J97" s="39" t="str">
        <f t="array" ref="J97">IF(OR($A95="",J$5=""),"",IFNA(INDEX(DATA_LOG!$C:$C,MATCH(1,(DATA_LOG!$A:$A=$A95)*(TEXT(DATA_LOG!$B:$B,"yyyy-MM-dd")=TEXT(DATE($P$3,MONTH(1&amp;$N$3),VALUE(LEFT(J$5,2))),"yyyy-MM-dd")),0)),""))</f>
        <v/>
      </c>
      <c r="K97" s="39" t="str">
        <f t="array" ref="K97">IF(OR($A95="",K$5=""),"",IFNA(INDEX(DATA_LOG!$C:$C,MATCH(1,(DATA_LOG!$A:$A=$A95)*(TEXT(DATA_LOG!$B:$B,"yyyy-MM-dd")=TEXT(DATE($P$3,MONTH(1&amp;$N$3),VALUE(LEFT(K$5,2))),"yyyy-MM-dd")),0)),""))</f>
        <v/>
      </c>
      <c r="L97" s="39" t="str">
        <f t="array" ref="L97">IF(OR($A95="",L$5=""),"",IFNA(INDEX(DATA_LOG!$C:$C,MATCH(1,(DATA_LOG!$A:$A=$A95)*(TEXT(DATA_LOG!$B:$B,"yyyy-MM-dd")=TEXT(DATE($P$3,MONTH(1&amp;$N$3),VALUE(LEFT(L$5,2))),"yyyy-MM-dd")),0)),""))</f>
        <v/>
      </c>
      <c r="M97" s="39" t="str">
        <f t="array" ref="M97">IF(OR($A95="",M$5=""),"",IFNA(INDEX(DATA_LOG!$C:$C,MATCH(1,(DATA_LOG!$A:$A=$A95)*(TEXT(DATA_LOG!$B:$B,"yyyy-MM-dd")=TEXT(DATE($P$3,MONTH(1&amp;$N$3),VALUE(LEFT(M$5,2))),"yyyy-MM-dd")),0)),""))</f>
        <v/>
      </c>
      <c r="N97" s="39" t="str">
        <f t="array" ref="N97">IF(OR($A95="",N$5=""),"",IFNA(INDEX(DATA_LOG!$C:$C,MATCH(1,(DATA_LOG!$A:$A=$A95)*(TEXT(DATA_LOG!$B:$B,"yyyy-MM-dd")=TEXT(DATE($P$3,MONTH(1&amp;$N$3),VALUE(LEFT(N$5,2))),"yyyy-MM-dd")),0)),""))</f>
        <v/>
      </c>
      <c r="O97" s="39" t="str">
        <f t="array" ref="O97">IF(OR($A95="",O$5=""),"",IFNA(INDEX(DATA_LOG!$C:$C,MATCH(1,(DATA_LOG!$A:$A=$A95)*(TEXT(DATA_LOG!$B:$B,"yyyy-MM-dd")=TEXT(DATE($P$3,MONTH(1&amp;$N$3),VALUE(LEFT(O$5,2))),"yyyy-MM-dd")),0)),""))</f>
        <v/>
      </c>
      <c r="P97" s="39" t="str">
        <f t="array" ref="P97">IF(OR($A95="",P$5=""),"",IFNA(INDEX(DATA_LOG!$C:$C,MATCH(1,(DATA_LOG!$A:$A=$A95)*(TEXT(DATA_LOG!$B:$B,"yyyy-MM-dd")=TEXT(DATE($P$3,MONTH(1&amp;$N$3),VALUE(LEFT(P$5,2))),"yyyy-MM-dd")),0)),""))</f>
        <v/>
      </c>
      <c r="Q97" s="39" t="str">
        <f t="array" ref="Q97">IF(OR($A95="",Q$5=""),"",IFNA(INDEX(DATA_LOG!$C:$C,MATCH(1,(DATA_LOG!$A:$A=$A95)*(TEXT(DATA_LOG!$B:$B,"yyyy-MM-dd")=TEXT(DATE($P$3,MONTH(1&amp;$N$3),VALUE(LEFT(Q$5,2))),"yyyy-MM-dd")),0)),""))</f>
        <v/>
      </c>
      <c r="R97" s="39" t="str">
        <f t="array" ref="R97">IF(OR($A95="",R$5=""),"",IFNA(INDEX(DATA_LOG!$C:$C,MATCH(1,(DATA_LOG!$A:$A=$A95)*(TEXT(DATA_LOG!$B:$B,"yyyy-MM-dd")=TEXT(DATE($P$3,MONTH(1&amp;$N$3),VALUE(LEFT(R$5,2))),"yyyy-MM-dd")),0)),""))</f>
        <v/>
      </c>
      <c r="S97" s="39" t="str">
        <f t="array" ref="S97">IF(OR($A95="",S$5=""),"",IFNA(INDEX(DATA_LOG!$C:$C,MATCH(1,(DATA_LOG!$A:$A=$A95)*(TEXT(DATA_LOG!$B:$B,"yyyy-MM-dd")=TEXT(DATE($P$3,MONTH(1&amp;$N$3),VALUE(LEFT(S$5,2))),"yyyy-MM-dd")),0)),""))</f>
        <v/>
      </c>
      <c r="T97" s="39" t="str">
        <f t="array" ref="T97">IF(OR($A95="",T$5=""),"",IFNA(INDEX(DATA_LOG!$C:$C,MATCH(1,(DATA_LOG!$A:$A=$A95)*(TEXT(DATA_LOG!$B:$B,"yyyy-MM-dd")=TEXT(DATE($P$3,MONTH(1&amp;$N$3),VALUE(LEFT(T$5,2))),"yyyy-MM-dd")),0)),""))</f>
        <v/>
      </c>
      <c r="U97" s="39" t="str">
        <f t="array" ref="U97">IF(OR($A95="",U$5=""),"",IFNA(INDEX(DATA_LOG!$C:$C,MATCH(1,(DATA_LOG!$A:$A=$A95)*(TEXT(DATA_LOG!$B:$B,"yyyy-MM-dd")=TEXT(DATE($P$3,MONTH(1&amp;$N$3),VALUE(LEFT(U$5,2))),"yyyy-MM-dd")),0)),""))</f>
        <v/>
      </c>
      <c r="V97" s="39" t="str">
        <f t="array" ref="V97">IF(OR($A95="",V$5=""),"",IFNA(INDEX(DATA_LOG!$C:$C,MATCH(1,(DATA_LOG!$A:$A=$A95)*(TEXT(DATA_LOG!$B:$B,"yyyy-MM-dd")=TEXT(DATE($P$3,MONTH(1&amp;$N$3),VALUE(LEFT(V$5,2))),"yyyy-MM-dd")),0)),""))</f>
        <v/>
      </c>
      <c r="W97" s="39" t="str">
        <f t="array" ref="W97">IF(OR($A95="",W$5=""),"",IFNA(INDEX(DATA_LOG!$C:$C,MATCH(1,(DATA_LOG!$A:$A=$A95)*(TEXT(DATA_LOG!$B:$B,"yyyy-MM-dd")=TEXT(DATE($P$3,MONTH(1&amp;$N$3),VALUE(LEFT(W$5,2))),"yyyy-MM-dd")),0)),""))</f>
        <v/>
      </c>
      <c r="X97" s="39" t="str">
        <f t="array" ref="X97">IF(OR($A95="",X$5=""),"",IFNA(INDEX(DATA_LOG!$C:$C,MATCH(1,(DATA_LOG!$A:$A=$A95)*(TEXT(DATA_LOG!$B:$B,"yyyy-MM-dd")=TEXT(DATE($P$3,MONTH(1&amp;$N$3),VALUE(LEFT(X$5,2))),"yyyy-MM-dd")),0)),""))</f>
        <v/>
      </c>
      <c r="Y97" s="39" t="str">
        <f t="array" ref="Y97">IF(OR($A95="",Y$5=""),"",IFNA(INDEX(DATA_LOG!$C:$C,MATCH(1,(DATA_LOG!$A:$A=$A95)*(TEXT(DATA_LOG!$B:$B,"yyyy-MM-dd")=TEXT(DATE($P$3,MONTH(1&amp;$N$3),VALUE(LEFT(Y$5,2))),"yyyy-MM-dd")),0)),""))</f>
        <v/>
      </c>
      <c r="Z97" s="39" t="str">
        <f t="array" ref="Z97">IF(OR($A95="",Z$5=""),"",IFNA(INDEX(DATA_LOG!$C:$C,MATCH(1,(DATA_LOG!$A:$A=$A95)*(TEXT(DATA_LOG!$B:$B,"yyyy-MM-dd")=TEXT(DATE($P$3,MONTH(1&amp;$N$3),VALUE(LEFT(Z$5,2))),"yyyy-MM-dd")),0)),""))</f>
        <v/>
      </c>
      <c r="AA97" s="39" t="str">
        <f t="array" ref="AA97">IF(OR($A95="",AA$5=""),"",IFNA(INDEX(DATA_LOG!$C:$C,MATCH(1,(DATA_LOG!$A:$A=$A95)*(TEXT(DATA_LOG!$B:$B,"yyyy-MM-dd")=TEXT(DATE($P$3,MONTH(1&amp;$N$3),VALUE(LEFT(AA$5,2))),"yyyy-MM-dd")),0)),""))</f>
        <v/>
      </c>
      <c r="AB97" s="39" t="str">
        <f t="array" ref="AB97">IF(OR($A95="",AB$5=""),"",IFNA(INDEX(DATA_LOG!$C:$C,MATCH(1,(DATA_LOG!$A:$A=$A95)*(TEXT(DATA_LOG!$B:$B,"yyyy-MM-dd")=TEXT(DATE($P$3,MONTH(1&amp;$N$3),VALUE(LEFT(AB$5,2))),"yyyy-MM-dd")),0)),""))</f>
        <v/>
      </c>
      <c r="AC97" s="39" t="str">
        <f t="array" ref="AC97">IF(OR($A95="",AC$5=""),"",IFNA(INDEX(DATA_LOG!$C:$C,MATCH(1,(DATA_LOG!$A:$A=$A95)*(TEXT(DATA_LOG!$B:$B,"yyyy-MM-dd")=TEXT(DATE($P$3,MONTH(1&amp;$N$3),VALUE(LEFT(AC$5,2))),"yyyy-MM-dd")),0)),""))</f>
        <v/>
      </c>
      <c r="AD97" s="39" t="str">
        <f t="array" ref="AD97">IF(OR($A95="",AD$5=""),"",IFNA(INDEX(DATA_LOG!$C:$C,MATCH(1,(DATA_LOG!$A:$A=$A95)*(TEXT(DATA_LOG!$B:$B,"yyyy-MM-dd")=TEXT(DATE($P$3,MONTH(1&amp;$N$3),VALUE(LEFT(AD$5,2))),"yyyy-MM-dd")),0)),""))</f>
        <v/>
      </c>
      <c r="AE97" s="39" t="str">
        <f t="array" ref="AE97">IF(OR($A95="",AE$5=""),"",IFNA(INDEX(DATA_LOG!$C:$C,MATCH(1,(DATA_LOG!$A:$A=$A95)*(TEXT(DATA_LOG!$B:$B,"yyyy-MM-dd")=TEXT(DATE($P$3,MONTH(1&amp;$N$3),VALUE(LEFT(AE$5,2))),"yyyy-MM-dd")),0)),""))</f>
        <v/>
      </c>
      <c r="AF97" s="39" t="str">
        <f t="array" ref="AF97">IF(OR($A95="",AF$5=""),"",IFNA(INDEX(DATA_LOG!$C:$C,MATCH(1,(DATA_LOG!$A:$A=$A95)*(TEXT(DATA_LOG!$B:$B,"yyyy-MM-dd")=TEXT(DATE($P$3,MONTH(1&amp;$N$3),VALUE(LEFT(AF$5,2))),"yyyy-MM-dd")),0)),""))</f>
        <v/>
      </c>
    </row>
    <row r="98">
      <c r="A98" s="37" t="str">
        <f>IF($A95="", "", "OUT")</f>
        <v>OUT</v>
      </c>
      <c r="B98" s="39" t="str">
        <f t="array" ref="B98">IF(OR($A95="",B$5=""),"",IFNA(INDEX(DATA_LOG!$D:$D,MATCH(1,(DATA_LOG!$A:$A=$A95)*(TEXT(DATA_LOG!$B:$B,"yyyy-MM-dd")=TEXT(DATE($P$3,MONTH(1&amp;$N$3),VALUE(LEFT(B$5,2))),"yyyy-MM-dd")),0)),""))</f>
        <v/>
      </c>
      <c r="C98" s="39" t="str">
        <f t="array" ref="C98">IF(OR($A95="",C$5=""),"",IFNA(INDEX(DATA_LOG!$D:$D,MATCH(1,(DATA_LOG!$A:$A=$A95)*(TEXT(DATA_LOG!$B:$B,"yyyy-MM-dd")=TEXT(DATE($P$3,MONTH(1&amp;$N$3),VALUE(LEFT(C$5,2))),"yyyy-MM-dd")),0)),""))</f>
        <v/>
      </c>
      <c r="D98" s="39" t="str">
        <f t="array" ref="D98">IF(OR($A95="",D$5=""),"",IFNA(INDEX(DATA_LOG!$D:$D,MATCH(1,(DATA_LOG!$A:$A=$A95)*(TEXT(DATA_LOG!$B:$B,"yyyy-MM-dd")=TEXT(DATE($P$3,MONTH(1&amp;$N$3),VALUE(LEFT(D$5,2))),"yyyy-MM-dd")),0)),""))</f>
        <v/>
      </c>
      <c r="E98" s="39" t="str">
        <f t="array" ref="E98">IF(OR($A95="",E$5=""),"",IFNA(INDEX(DATA_LOG!$D:$D,MATCH(1,(DATA_LOG!$A:$A=$A95)*(TEXT(DATA_LOG!$B:$B,"yyyy-MM-dd")=TEXT(DATE($P$3,MONTH(1&amp;$N$3),VALUE(LEFT(E$5,2))),"yyyy-MM-dd")),0)),""))</f>
        <v/>
      </c>
      <c r="F98" s="39" t="str">
        <f t="array" ref="F98">IF(OR($A95="",F$5=""),"",IFNA(INDEX(DATA_LOG!$D:$D,MATCH(1,(DATA_LOG!$A:$A=$A95)*(TEXT(DATA_LOG!$B:$B,"yyyy-MM-dd")=TEXT(DATE($P$3,MONTH(1&amp;$N$3),VALUE(LEFT(F$5,2))),"yyyy-MM-dd")),0)),""))</f>
        <v/>
      </c>
      <c r="G98" s="39" t="str">
        <f t="array" ref="G98">IF(OR($A95="",G$5=""),"",IFNA(INDEX(DATA_LOG!$D:$D,MATCH(1,(DATA_LOG!$A:$A=$A95)*(TEXT(DATA_LOG!$B:$B,"yyyy-MM-dd")=TEXT(DATE($P$3,MONTH(1&amp;$N$3),VALUE(LEFT(G$5,2))),"yyyy-MM-dd")),0)),""))</f>
        <v/>
      </c>
      <c r="H98" s="39" t="str">
        <f t="array" ref="H98">IF(OR($A95="",H$5=""),"",IFNA(INDEX(DATA_LOG!$D:$D,MATCH(1,(DATA_LOG!$A:$A=$A95)*(TEXT(DATA_LOG!$B:$B,"yyyy-MM-dd")=TEXT(DATE($P$3,MONTH(1&amp;$N$3),VALUE(LEFT(H$5,2))),"yyyy-MM-dd")),0)),""))</f>
        <v/>
      </c>
      <c r="I98" s="39" t="str">
        <f t="array" ref="I98">IF(OR($A95="",I$5=""),"",IFNA(INDEX(DATA_LOG!$D:$D,MATCH(1,(DATA_LOG!$A:$A=$A95)*(TEXT(DATA_LOG!$B:$B,"yyyy-MM-dd")=TEXT(DATE($P$3,MONTH(1&amp;$N$3),VALUE(LEFT(I$5,2))),"yyyy-MM-dd")),0)),""))</f>
        <v/>
      </c>
      <c r="J98" s="39" t="str">
        <f t="array" ref="J98">IF(OR($A95="",J$5=""),"",IFNA(INDEX(DATA_LOG!$D:$D,MATCH(1,(DATA_LOG!$A:$A=$A95)*(TEXT(DATA_LOG!$B:$B,"yyyy-MM-dd")=TEXT(DATE($P$3,MONTH(1&amp;$N$3),VALUE(LEFT(J$5,2))),"yyyy-MM-dd")),0)),""))</f>
        <v/>
      </c>
      <c r="K98" s="39" t="str">
        <f t="array" ref="K98">IF(OR($A95="",K$5=""),"",IFNA(INDEX(DATA_LOG!$D:$D,MATCH(1,(DATA_LOG!$A:$A=$A95)*(TEXT(DATA_LOG!$B:$B,"yyyy-MM-dd")=TEXT(DATE($P$3,MONTH(1&amp;$N$3),VALUE(LEFT(K$5,2))),"yyyy-MM-dd")),0)),""))</f>
        <v/>
      </c>
      <c r="L98" s="39" t="str">
        <f t="array" ref="L98">IF(OR($A95="",L$5=""),"",IFNA(INDEX(DATA_LOG!$D:$D,MATCH(1,(DATA_LOG!$A:$A=$A95)*(TEXT(DATA_LOG!$B:$B,"yyyy-MM-dd")=TEXT(DATE($P$3,MONTH(1&amp;$N$3),VALUE(LEFT(L$5,2))),"yyyy-MM-dd")),0)),""))</f>
        <v/>
      </c>
      <c r="M98" s="39" t="str">
        <f t="array" ref="M98">IF(OR($A95="",M$5=""),"",IFNA(INDEX(DATA_LOG!$D:$D,MATCH(1,(DATA_LOG!$A:$A=$A95)*(TEXT(DATA_LOG!$B:$B,"yyyy-MM-dd")=TEXT(DATE($P$3,MONTH(1&amp;$N$3),VALUE(LEFT(M$5,2))),"yyyy-MM-dd")),0)),""))</f>
        <v/>
      </c>
      <c r="N98" s="39" t="str">
        <f t="array" ref="N98">IF(OR($A95="",N$5=""),"",IFNA(INDEX(DATA_LOG!$D:$D,MATCH(1,(DATA_LOG!$A:$A=$A95)*(TEXT(DATA_LOG!$B:$B,"yyyy-MM-dd")=TEXT(DATE($P$3,MONTH(1&amp;$N$3),VALUE(LEFT(N$5,2))),"yyyy-MM-dd")),0)),""))</f>
        <v/>
      </c>
      <c r="O98" s="39" t="str">
        <f t="array" ref="O98">IF(OR($A95="",O$5=""),"",IFNA(INDEX(DATA_LOG!$D:$D,MATCH(1,(DATA_LOG!$A:$A=$A95)*(TEXT(DATA_LOG!$B:$B,"yyyy-MM-dd")=TEXT(DATE($P$3,MONTH(1&amp;$N$3),VALUE(LEFT(O$5,2))),"yyyy-MM-dd")),0)),""))</f>
        <v/>
      </c>
      <c r="P98" s="39" t="str">
        <f t="array" ref="P98">IF(OR($A95="",P$5=""),"",IFNA(INDEX(DATA_LOG!$D:$D,MATCH(1,(DATA_LOG!$A:$A=$A95)*(TEXT(DATA_LOG!$B:$B,"yyyy-MM-dd")=TEXT(DATE($P$3,MONTH(1&amp;$N$3),VALUE(LEFT(P$5,2))),"yyyy-MM-dd")),0)),""))</f>
        <v/>
      </c>
      <c r="Q98" s="39" t="str">
        <f t="array" ref="Q98">IF(OR($A95="",Q$5=""),"",IFNA(INDEX(DATA_LOG!$D:$D,MATCH(1,(DATA_LOG!$A:$A=$A95)*(TEXT(DATA_LOG!$B:$B,"yyyy-MM-dd")=TEXT(DATE($P$3,MONTH(1&amp;$N$3),VALUE(LEFT(Q$5,2))),"yyyy-MM-dd")),0)),""))</f>
        <v/>
      </c>
      <c r="R98" s="39" t="str">
        <f t="array" ref="R98">IF(OR($A95="",R$5=""),"",IFNA(INDEX(DATA_LOG!$D:$D,MATCH(1,(DATA_LOG!$A:$A=$A95)*(TEXT(DATA_LOG!$B:$B,"yyyy-MM-dd")=TEXT(DATE($P$3,MONTH(1&amp;$N$3),VALUE(LEFT(R$5,2))),"yyyy-MM-dd")),0)),""))</f>
        <v/>
      </c>
      <c r="S98" s="39" t="str">
        <f t="array" ref="S98">IF(OR($A95="",S$5=""),"",IFNA(INDEX(DATA_LOG!$D:$D,MATCH(1,(DATA_LOG!$A:$A=$A95)*(TEXT(DATA_LOG!$B:$B,"yyyy-MM-dd")=TEXT(DATE($P$3,MONTH(1&amp;$N$3),VALUE(LEFT(S$5,2))),"yyyy-MM-dd")),0)),""))</f>
        <v/>
      </c>
      <c r="T98" s="39" t="str">
        <f t="array" ref="T98">IF(OR($A95="",T$5=""),"",IFNA(INDEX(DATA_LOG!$D:$D,MATCH(1,(DATA_LOG!$A:$A=$A95)*(TEXT(DATA_LOG!$B:$B,"yyyy-MM-dd")=TEXT(DATE($P$3,MONTH(1&amp;$N$3),VALUE(LEFT(T$5,2))),"yyyy-MM-dd")),0)),""))</f>
        <v/>
      </c>
      <c r="U98" s="39" t="str">
        <f t="array" ref="U98">IF(OR($A95="",U$5=""),"",IFNA(INDEX(DATA_LOG!$D:$D,MATCH(1,(DATA_LOG!$A:$A=$A95)*(TEXT(DATA_LOG!$B:$B,"yyyy-MM-dd")=TEXT(DATE($P$3,MONTH(1&amp;$N$3),VALUE(LEFT(U$5,2))),"yyyy-MM-dd")),0)),""))</f>
        <v/>
      </c>
      <c r="V98" s="39" t="str">
        <f t="array" ref="V98">IF(OR($A95="",V$5=""),"",IFNA(INDEX(DATA_LOG!$D:$D,MATCH(1,(DATA_LOG!$A:$A=$A95)*(TEXT(DATA_LOG!$B:$B,"yyyy-MM-dd")=TEXT(DATE($P$3,MONTH(1&amp;$N$3),VALUE(LEFT(V$5,2))),"yyyy-MM-dd")),0)),""))</f>
        <v/>
      </c>
      <c r="W98" s="39" t="str">
        <f t="array" ref="W98">IF(OR($A95="",W$5=""),"",IFNA(INDEX(DATA_LOG!$D:$D,MATCH(1,(DATA_LOG!$A:$A=$A95)*(TEXT(DATA_LOG!$B:$B,"yyyy-MM-dd")=TEXT(DATE($P$3,MONTH(1&amp;$N$3),VALUE(LEFT(W$5,2))),"yyyy-MM-dd")),0)),""))</f>
        <v/>
      </c>
      <c r="X98" s="39" t="str">
        <f t="array" ref="X98">IF(OR($A95="",X$5=""),"",IFNA(INDEX(DATA_LOG!$D:$D,MATCH(1,(DATA_LOG!$A:$A=$A95)*(TEXT(DATA_LOG!$B:$B,"yyyy-MM-dd")=TEXT(DATE($P$3,MONTH(1&amp;$N$3),VALUE(LEFT(X$5,2))),"yyyy-MM-dd")),0)),""))</f>
        <v/>
      </c>
      <c r="Y98" s="39" t="str">
        <f t="array" ref="Y98">IF(OR($A95="",Y$5=""),"",IFNA(INDEX(DATA_LOG!$D:$D,MATCH(1,(DATA_LOG!$A:$A=$A95)*(TEXT(DATA_LOG!$B:$B,"yyyy-MM-dd")=TEXT(DATE($P$3,MONTH(1&amp;$N$3),VALUE(LEFT(Y$5,2))),"yyyy-MM-dd")),0)),""))</f>
        <v/>
      </c>
      <c r="Z98" s="39" t="str">
        <f t="array" ref="Z98">IF(OR($A95="",Z$5=""),"",IFNA(INDEX(DATA_LOG!$D:$D,MATCH(1,(DATA_LOG!$A:$A=$A95)*(TEXT(DATA_LOG!$B:$B,"yyyy-MM-dd")=TEXT(DATE($P$3,MONTH(1&amp;$N$3),VALUE(LEFT(Z$5,2))),"yyyy-MM-dd")),0)),""))</f>
        <v/>
      </c>
      <c r="AA98" s="39" t="str">
        <f t="array" ref="AA98">IF(OR($A95="",AA$5=""),"",IFNA(INDEX(DATA_LOG!$D:$D,MATCH(1,(DATA_LOG!$A:$A=$A95)*(TEXT(DATA_LOG!$B:$B,"yyyy-MM-dd")=TEXT(DATE($P$3,MONTH(1&amp;$N$3),VALUE(LEFT(AA$5,2))),"yyyy-MM-dd")),0)),""))</f>
        <v/>
      </c>
      <c r="AB98" s="39" t="str">
        <f t="array" ref="AB98">IF(OR($A95="",AB$5=""),"",IFNA(INDEX(DATA_LOG!$D:$D,MATCH(1,(DATA_LOG!$A:$A=$A95)*(TEXT(DATA_LOG!$B:$B,"yyyy-MM-dd")=TEXT(DATE($P$3,MONTH(1&amp;$N$3),VALUE(LEFT(AB$5,2))),"yyyy-MM-dd")),0)),""))</f>
        <v/>
      </c>
      <c r="AC98" s="39" t="str">
        <f t="array" ref="AC98">IF(OR($A95="",AC$5=""),"",IFNA(INDEX(DATA_LOG!$D:$D,MATCH(1,(DATA_LOG!$A:$A=$A95)*(TEXT(DATA_LOG!$B:$B,"yyyy-MM-dd")=TEXT(DATE($P$3,MONTH(1&amp;$N$3),VALUE(LEFT(AC$5,2))),"yyyy-MM-dd")),0)),""))</f>
        <v/>
      </c>
      <c r="AD98" s="39" t="str">
        <f t="array" ref="AD98">IF(OR($A95="",AD$5=""),"",IFNA(INDEX(DATA_LOG!$D:$D,MATCH(1,(DATA_LOG!$A:$A=$A95)*(TEXT(DATA_LOG!$B:$B,"yyyy-MM-dd")=TEXT(DATE($P$3,MONTH(1&amp;$N$3),VALUE(LEFT(AD$5,2))),"yyyy-MM-dd")),0)),""))</f>
        <v/>
      </c>
      <c r="AE98" s="39" t="str">
        <f t="array" ref="AE98">IF(OR($A95="",AE$5=""),"",IFNA(INDEX(DATA_LOG!$D:$D,MATCH(1,(DATA_LOG!$A:$A=$A95)*(TEXT(DATA_LOG!$B:$B,"yyyy-MM-dd")=TEXT(DATE($P$3,MONTH(1&amp;$N$3),VALUE(LEFT(AE$5,2))),"yyyy-MM-dd")),0)),""))</f>
        <v/>
      </c>
      <c r="AF98" s="39" t="str">
        <f t="array" ref="AF98">IF(OR($A95="",AF$5=""),"",IFNA(INDEX(DATA_LOG!$D:$D,MATCH(1,(DATA_LOG!$A:$A=$A95)*(TEXT(DATA_LOG!$B:$B,"yyyy-MM-dd")=TEXT(DATE($P$3,MONTH(1&amp;$N$3),VALUE(LEFT(AF$5,2))),"yyyy-MM-dd")),0)),""))</f>
        <v/>
      </c>
    </row>
    <row r="99">
      <c r="A99" s="40" t="str">
        <f>IF($A95="", "", "TOTAL")</f>
        <v>TOTAL</v>
      </c>
      <c r="B99" s="41" t="str">
        <f t="shared" ref="B99:AF99" si="14">IF(OR(B97="",B98=""),"",B98-B97)</f>
        <v/>
      </c>
      <c r="C99" s="34" t="str">
        <f t="shared" si="14"/>
        <v/>
      </c>
      <c r="D99" s="34" t="str">
        <f t="shared" si="14"/>
        <v/>
      </c>
      <c r="E99" s="34" t="str">
        <f t="shared" si="14"/>
        <v/>
      </c>
      <c r="F99" s="34" t="str">
        <f t="shared" si="14"/>
        <v/>
      </c>
      <c r="G99" s="34" t="str">
        <f t="shared" si="14"/>
        <v/>
      </c>
      <c r="H99" s="34" t="str">
        <f t="shared" si="14"/>
        <v/>
      </c>
      <c r="I99" s="34" t="str">
        <f t="shared" si="14"/>
        <v/>
      </c>
      <c r="J99" s="34" t="str">
        <f t="shared" si="14"/>
        <v/>
      </c>
      <c r="K99" s="34" t="str">
        <f t="shared" si="14"/>
        <v/>
      </c>
      <c r="L99" s="34" t="str">
        <f t="shared" si="14"/>
        <v/>
      </c>
      <c r="M99" s="34" t="str">
        <f t="shared" si="14"/>
        <v/>
      </c>
      <c r="N99" s="34" t="str">
        <f t="shared" si="14"/>
        <v/>
      </c>
      <c r="O99" s="34" t="str">
        <f t="shared" si="14"/>
        <v/>
      </c>
      <c r="P99" s="34" t="str">
        <f t="shared" si="14"/>
        <v/>
      </c>
      <c r="Q99" s="34" t="str">
        <f t="shared" si="14"/>
        <v/>
      </c>
      <c r="R99" s="34" t="str">
        <f t="shared" si="14"/>
        <v/>
      </c>
      <c r="S99" s="34" t="str">
        <f t="shared" si="14"/>
        <v/>
      </c>
      <c r="T99" s="34" t="str">
        <f t="shared" si="14"/>
        <v/>
      </c>
      <c r="U99" s="34" t="str">
        <f t="shared" si="14"/>
        <v/>
      </c>
      <c r="V99" s="34" t="str">
        <f t="shared" si="14"/>
        <v/>
      </c>
      <c r="W99" s="34" t="str">
        <f t="shared" si="14"/>
        <v/>
      </c>
      <c r="X99" s="34" t="str">
        <f t="shared" si="14"/>
        <v/>
      </c>
      <c r="Y99" s="34" t="str">
        <f t="shared" si="14"/>
        <v/>
      </c>
      <c r="Z99" s="34" t="str">
        <f t="shared" si="14"/>
        <v/>
      </c>
      <c r="AA99" s="34" t="str">
        <f t="shared" si="14"/>
        <v/>
      </c>
      <c r="AB99" s="34" t="str">
        <f t="shared" si="14"/>
        <v/>
      </c>
      <c r="AC99" s="34" t="str">
        <f t="shared" si="14"/>
        <v/>
      </c>
      <c r="AD99" s="34" t="str">
        <f t="shared" si="14"/>
        <v/>
      </c>
      <c r="AE99" s="34" t="str">
        <f t="shared" si="14"/>
        <v/>
      </c>
      <c r="AF99" s="34" t="str">
        <f t="shared" si="14"/>
        <v/>
      </c>
    </row>
    <row r="100">
      <c r="A100" s="42" t="str">
        <f>IF($A95="", "", "STATUS")</f>
        <v>STATUS</v>
      </c>
      <c r="B100" s="43" t="str">
        <f>IFERROR(__xludf.DUMMYFUNCTION("IF($A95="""","""",IF(B$96="""","""",LET(logStatus,IFNA(INDEX(DATA_LOG!$E:$E,MATCH(1,(DATA_LOG!$A:$A=$A95)*(TEXT(DATA_LOG!$B:$B,""yyyy-MM-dd"")=TEXT(DATE($P$3,MONTH(1&amp;$N$3),VALUE(LEFT(B$96,2))),""yyyy-MM-dd"")),0)),""""),selectedDate,DATE($P$3,MONTH(1&amp;$N$3"&amp;"),VALUE(LEFT(B$96,2))),IF(logStatus&lt;&gt;"""",UPPER(logStatus),IF(selectedDate&gt;TODAY(),""-"",IF(REGEXMATCH(B$96,""SUN""),""WO"",IF(B$99&lt;&gt;"""",IF(VALUE(B$99)&gt;=9/24,""FD"",""HD""),""A"")))))))"),"A")</f>
        <v>A</v>
      </c>
      <c r="C100" s="43" t="str">
        <f>IFERROR(__xludf.DUMMYFUNCTION("IF($A95="""","""",IF(C$96="""","""",LET(logStatus,IFNA(INDEX(DATA_LOG!$E:$E,MATCH(1,(DATA_LOG!$A:$A=$A95)*(TEXT(DATA_LOG!$B:$B,""yyyy-MM-dd"")=TEXT(DATE($P$3,MONTH(1&amp;$N$3),VALUE(LEFT(C$96,2))),""yyyy-MM-dd"")),0)),""""),selectedDate,DATE($P$3,MONTH(1&amp;$N$3"&amp;"),VALUE(LEFT(C$96,2))),IF(logStatus&lt;&gt;"""",UPPER(logStatus),IF(selectedDate&gt;TODAY(),""-"",IF(REGEXMATCH(C$96,""SUN""),""WO"",IF(C$99&lt;&gt;"""",IF(VALUE(C$99)&gt;=9/24,""FD"",""HD""),""A"")))))))"),"A")</f>
        <v>A</v>
      </c>
      <c r="D100" s="43" t="str">
        <f>IFERROR(__xludf.DUMMYFUNCTION("IF($A95="""","""",IF(D$96="""","""",LET(logStatus,IFNA(INDEX(DATA_LOG!$E:$E,MATCH(1,(DATA_LOG!$A:$A=$A95)*(TEXT(DATA_LOG!$B:$B,""yyyy-MM-dd"")=TEXT(DATE($P$3,MONTH(1&amp;$N$3),VALUE(LEFT(D$96,2))),""yyyy-MM-dd"")),0)),""""),selectedDate,DATE($P$3,MONTH(1&amp;$N$3"&amp;"),VALUE(LEFT(D$96,2))),IF(logStatus&lt;&gt;"""",UPPER(logStatus),IF(selectedDate&gt;TODAY(),""-"",IF(REGEXMATCH(D$96,""SUN""),""WO"",IF(D$99&lt;&gt;"""",IF(VALUE(D$99)&gt;=9/24,""FD"",""HD""),""A"")))))))"),"A")</f>
        <v>A</v>
      </c>
      <c r="E100" s="43" t="str">
        <f>IFERROR(__xludf.DUMMYFUNCTION("IF($A95="""","""",IF(E$96="""","""",LET(logStatus,IFNA(INDEX(DATA_LOG!$E:$E,MATCH(1,(DATA_LOG!$A:$A=$A95)*(TEXT(DATA_LOG!$B:$B,""yyyy-MM-dd"")=TEXT(DATE($P$3,MONTH(1&amp;$N$3),VALUE(LEFT(E$96,2))),""yyyy-MM-dd"")),0)),""""),selectedDate,DATE($P$3,MONTH(1&amp;$N$3"&amp;"),VALUE(LEFT(E$96,2))),IF(logStatus&lt;&gt;"""",UPPER(logStatus),IF(selectedDate&gt;TODAY(),""-"",IF(REGEXMATCH(E$96,""SUN""),""WO"",IF(E$99&lt;&gt;"""",IF(VALUE(E$99)&gt;=9/24,""FD"",""HD""),""A"")))))))"),"A")</f>
        <v>A</v>
      </c>
      <c r="F100" s="43" t="str">
        <f>IFERROR(__xludf.DUMMYFUNCTION("IF($A95="""","""",IF(F$96="""","""",LET(logStatus,IFNA(INDEX(DATA_LOG!$E:$E,MATCH(1,(DATA_LOG!$A:$A=$A95)*(TEXT(DATA_LOG!$B:$B,""yyyy-MM-dd"")=TEXT(DATE($P$3,MONTH(1&amp;$N$3),VALUE(LEFT(F$96,2))),""yyyy-MM-dd"")),0)),""""),selectedDate,DATE($P$3,MONTH(1&amp;$N$3"&amp;"),VALUE(LEFT(F$96,2))),IF(logStatus&lt;&gt;"""",UPPER(logStatus),IF(selectedDate&gt;TODAY(),""-"",IF(REGEXMATCH(F$96,""SUN""),""WO"",IF(F$99&lt;&gt;"""",IF(VALUE(F$99)&gt;=9/24,""FD"",""HD""),""A"")))))))"),"A")</f>
        <v>A</v>
      </c>
      <c r="G100" s="43" t="str">
        <f>IFERROR(__xludf.DUMMYFUNCTION("IF($A95="""","""",IF(G$96="""","""",LET(logStatus,IFNA(INDEX(DATA_LOG!$E:$E,MATCH(1,(DATA_LOG!$A:$A=$A95)*(TEXT(DATA_LOG!$B:$B,""yyyy-MM-dd"")=TEXT(DATE($P$3,MONTH(1&amp;$N$3),VALUE(LEFT(G$96,2))),""yyyy-MM-dd"")),0)),""""),selectedDate,DATE($P$3,MONTH(1&amp;$N$3"&amp;"),VALUE(LEFT(G$96,2))),IF(logStatus&lt;&gt;"""",UPPER(logStatus),IF(selectedDate&gt;TODAY(),""-"",IF(REGEXMATCH(G$96,""SUN""),""WO"",IF(G$99&lt;&gt;"""",IF(VALUE(G$99)&gt;=9/24,""FD"",""HD""),""A"")))))))"),"WO")</f>
        <v>WO</v>
      </c>
      <c r="H100" s="43" t="str">
        <f>IFERROR(__xludf.DUMMYFUNCTION("IF($A95="""","""",IF(H$96="""","""",LET(logStatus,IFNA(INDEX(DATA_LOG!$E:$E,MATCH(1,(DATA_LOG!$A:$A=$A95)*(TEXT(DATA_LOG!$B:$B,""yyyy-MM-dd"")=TEXT(DATE($P$3,MONTH(1&amp;$N$3),VALUE(LEFT(H$96,2))),""yyyy-MM-dd"")),0)),""""),selectedDate,DATE($P$3,MONTH(1&amp;$N$3"&amp;"),VALUE(LEFT(H$96,2))),IF(logStatus&lt;&gt;"""",UPPER(logStatus),IF(selectedDate&gt;TODAY(),""-"",IF(REGEXMATCH(H$96,""SUN""),""WO"",IF(H$99&lt;&gt;"""",IF(VALUE(H$99)&gt;=9/24,""FD"",""HD""),""A"")))))))"),"A")</f>
        <v>A</v>
      </c>
      <c r="I100" s="43" t="str">
        <f>IFERROR(__xludf.DUMMYFUNCTION("IF($A95="""","""",IF(I$96="""","""",LET(logStatus,IFNA(INDEX(DATA_LOG!$E:$E,MATCH(1,(DATA_LOG!$A:$A=$A95)*(TEXT(DATA_LOG!$B:$B,""yyyy-MM-dd"")=TEXT(DATE($P$3,MONTH(1&amp;$N$3),VALUE(LEFT(I$96,2))),""yyyy-MM-dd"")),0)),""""),selectedDate,DATE($P$3,MONTH(1&amp;$N$3"&amp;"),VALUE(LEFT(I$96,2))),IF(logStatus&lt;&gt;"""",UPPER(logStatus),IF(selectedDate&gt;TODAY(),""-"",IF(REGEXMATCH(I$96,""SUN""),""WO"",IF(I$99&lt;&gt;"""",IF(VALUE(I$99)&gt;=9/24,""FD"",""HD""),""A"")))))))"),"A")</f>
        <v>A</v>
      </c>
      <c r="J100" s="43" t="str">
        <f>IFERROR(__xludf.DUMMYFUNCTION("IF($A95="""","""",IF(J$96="""","""",LET(logStatus,IFNA(INDEX(DATA_LOG!$E:$E,MATCH(1,(DATA_LOG!$A:$A=$A95)*(TEXT(DATA_LOG!$B:$B,""yyyy-MM-dd"")=TEXT(DATE($P$3,MONTH(1&amp;$N$3),VALUE(LEFT(J$96,2))),""yyyy-MM-dd"")),0)),""""),selectedDate,DATE($P$3,MONTH(1&amp;$N$3"&amp;"),VALUE(LEFT(J$96,2))),IF(logStatus&lt;&gt;"""",UPPER(logStatus),IF(selectedDate&gt;TODAY(),""-"",IF(REGEXMATCH(J$96,""SUN""),""WO"",IF(J$99&lt;&gt;"""",IF(VALUE(J$99)&gt;=9/24,""FD"",""HD""),""A"")))))))"),"A")</f>
        <v>A</v>
      </c>
      <c r="K100" s="43" t="str">
        <f>IFERROR(__xludf.DUMMYFUNCTION("IF($A95="""","""",IF(K$96="""","""",LET(logStatus,IFNA(INDEX(DATA_LOG!$E:$E,MATCH(1,(DATA_LOG!$A:$A=$A95)*(TEXT(DATA_LOG!$B:$B,""yyyy-MM-dd"")=TEXT(DATE($P$3,MONTH(1&amp;$N$3),VALUE(LEFT(K$96,2))),""yyyy-MM-dd"")),0)),""""),selectedDate,DATE($P$3,MONTH(1&amp;$N$3"&amp;"),VALUE(LEFT(K$96,2))),IF(logStatus&lt;&gt;"""",UPPER(logStatus),IF(selectedDate&gt;TODAY(),""-"",IF(REGEXMATCH(K$96,""SUN""),""WO"",IF(K$99&lt;&gt;"""",IF(VALUE(K$99)&gt;=9/24,""FD"",""HD""),""A"")))))))"),"A")</f>
        <v>A</v>
      </c>
      <c r="L100" s="43" t="str">
        <f>IFERROR(__xludf.DUMMYFUNCTION("IF($A95="""","""",IF(L$96="""","""",LET(logStatus,IFNA(INDEX(DATA_LOG!$E:$E,MATCH(1,(DATA_LOG!$A:$A=$A95)*(TEXT(DATA_LOG!$B:$B,""yyyy-MM-dd"")=TEXT(DATE($P$3,MONTH(1&amp;$N$3),VALUE(LEFT(L$96,2))),""yyyy-MM-dd"")),0)),""""),selectedDate,DATE($P$3,MONTH(1&amp;$N$3"&amp;"),VALUE(LEFT(L$96,2))),IF(logStatus&lt;&gt;"""",UPPER(logStatus),IF(selectedDate&gt;TODAY(),""-"",IF(REGEXMATCH(L$96,""SUN""),""WO"",IF(L$99&lt;&gt;"""",IF(VALUE(L$99)&gt;=9/24,""FD"",""HD""),""A"")))))))"),"A")</f>
        <v>A</v>
      </c>
      <c r="M100" s="43" t="str">
        <f>IFERROR(__xludf.DUMMYFUNCTION("IF($A95="""","""",IF(M$96="""","""",LET(logStatus,IFNA(INDEX(DATA_LOG!$E:$E,MATCH(1,(DATA_LOG!$A:$A=$A95)*(TEXT(DATA_LOG!$B:$B,""yyyy-MM-dd"")=TEXT(DATE($P$3,MONTH(1&amp;$N$3),VALUE(LEFT(M$96,2))),""yyyy-MM-dd"")),0)),""""),selectedDate,DATE($P$3,MONTH(1&amp;$N$3"&amp;"),VALUE(LEFT(M$96,2))),IF(logStatus&lt;&gt;"""",UPPER(logStatus),IF(selectedDate&gt;TODAY(),""-"",IF(REGEXMATCH(M$96,""SUN""),""WO"",IF(M$99&lt;&gt;"""",IF(VALUE(M$99)&gt;=9/24,""FD"",""HD""),""A"")))))))"),"-")</f>
        <v>-</v>
      </c>
      <c r="N100" s="43" t="str">
        <f>IFERROR(__xludf.DUMMYFUNCTION("IF($A95="""","""",IF(N$96="""","""",LET(logStatus,IFNA(INDEX(DATA_LOG!$E:$E,MATCH(1,(DATA_LOG!$A:$A=$A95)*(TEXT(DATA_LOG!$B:$B,""yyyy-MM-dd"")=TEXT(DATE($P$3,MONTH(1&amp;$N$3),VALUE(LEFT(N$96,2))),""yyyy-MM-dd"")),0)),""""),selectedDate,DATE($P$3,MONTH(1&amp;$N$3"&amp;"),VALUE(LEFT(N$96,2))),IF(logStatus&lt;&gt;"""",UPPER(logStatus),IF(selectedDate&gt;TODAY(),""-"",IF(REGEXMATCH(N$96,""SUN""),""WO"",IF(N$99&lt;&gt;"""",IF(VALUE(N$99)&gt;=9/24,""FD"",""HD""),""A"")))))))"),"-")</f>
        <v>-</v>
      </c>
      <c r="O100" s="43" t="str">
        <f>IFERROR(__xludf.DUMMYFUNCTION("IF($A95="""","""",IF(O$96="""","""",LET(logStatus,IFNA(INDEX(DATA_LOG!$E:$E,MATCH(1,(DATA_LOG!$A:$A=$A95)*(TEXT(DATA_LOG!$B:$B,""yyyy-MM-dd"")=TEXT(DATE($P$3,MONTH(1&amp;$N$3),VALUE(LEFT(O$96,2))),""yyyy-MM-dd"")),0)),""""),selectedDate,DATE($P$3,MONTH(1&amp;$N$3"&amp;"),VALUE(LEFT(O$96,2))),IF(logStatus&lt;&gt;"""",UPPER(logStatus),IF(selectedDate&gt;TODAY(),""-"",IF(REGEXMATCH(O$96,""SUN""),""WO"",IF(O$99&lt;&gt;"""",IF(VALUE(O$99)&gt;=9/24,""FD"",""HD""),""A"")))))))"),"-")</f>
        <v>-</v>
      </c>
      <c r="P100" s="43" t="str">
        <f>IFERROR(__xludf.DUMMYFUNCTION("IF($A95="""","""",IF(P$96="""","""",LET(logStatus,IFNA(INDEX(DATA_LOG!$E:$E,MATCH(1,(DATA_LOG!$A:$A=$A95)*(TEXT(DATA_LOG!$B:$B,""yyyy-MM-dd"")=TEXT(DATE($P$3,MONTH(1&amp;$N$3),VALUE(LEFT(P$96,2))),""yyyy-MM-dd"")),0)),""""),selectedDate,DATE($P$3,MONTH(1&amp;$N$3"&amp;"),VALUE(LEFT(P$96,2))),IF(logStatus&lt;&gt;"""",UPPER(logStatus),IF(selectedDate&gt;TODAY(),""-"",IF(REGEXMATCH(P$96,""SUN""),""WO"",IF(P$99&lt;&gt;"""",IF(VALUE(P$99)&gt;=9/24,""FD"",""HD""),""A"")))))))"),"-")</f>
        <v>-</v>
      </c>
      <c r="Q100" s="43" t="str">
        <f>IFERROR(__xludf.DUMMYFUNCTION("IF($A95="""","""",IF(Q$96="""","""",LET(logStatus,IFNA(INDEX(DATA_LOG!$E:$E,MATCH(1,(DATA_LOG!$A:$A=$A95)*(TEXT(DATA_LOG!$B:$B,""yyyy-MM-dd"")=TEXT(DATE($P$3,MONTH(1&amp;$N$3),VALUE(LEFT(Q$96,2))),""yyyy-MM-dd"")),0)),""""),selectedDate,DATE($P$3,MONTH(1&amp;$N$3"&amp;"),VALUE(LEFT(Q$96,2))),IF(logStatus&lt;&gt;"""",UPPER(logStatus),IF(selectedDate&gt;TODAY(),""-"",IF(REGEXMATCH(Q$96,""SUN""),""WO"",IF(Q$99&lt;&gt;"""",IF(VALUE(Q$99)&gt;=9/24,""FD"",""HD""),""A"")))))))"),"-")</f>
        <v>-</v>
      </c>
      <c r="R100" s="43" t="str">
        <f>IFERROR(__xludf.DUMMYFUNCTION("IF($A95="""","""",IF(R$96="""","""",LET(logStatus,IFNA(INDEX(DATA_LOG!$E:$E,MATCH(1,(DATA_LOG!$A:$A=$A95)*(TEXT(DATA_LOG!$B:$B,""yyyy-MM-dd"")=TEXT(DATE($P$3,MONTH(1&amp;$N$3),VALUE(LEFT(R$96,2))),""yyyy-MM-dd"")),0)),""""),selectedDate,DATE($P$3,MONTH(1&amp;$N$3"&amp;"),VALUE(LEFT(R$96,2))),IF(logStatus&lt;&gt;"""",UPPER(logStatus),IF(selectedDate&gt;TODAY(),""-"",IF(REGEXMATCH(R$96,""SUN""),""WO"",IF(R$99&lt;&gt;"""",IF(VALUE(R$99)&gt;=9/24,""FD"",""HD""),""A"")))))))"),"-")</f>
        <v>-</v>
      </c>
      <c r="S100" s="43" t="str">
        <f>IFERROR(__xludf.DUMMYFUNCTION("IF($A95="""","""",IF(S$96="""","""",LET(logStatus,IFNA(INDEX(DATA_LOG!$E:$E,MATCH(1,(DATA_LOG!$A:$A=$A95)*(TEXT(DATA_LOG!$B:$B,""yyyy-MM-dd"")=TEXT(DATE($P$3,MONTH(1&amp;$N$3),VALUE(LEFT(S$96,2))),""yyyy-MM-dd"")),0)),""""),selectedDate,DATE($P$3,MONTH(1&amp;$N$3"&amp;"),VALUE(LEFT(S$96,2))),IF(logStatus&lt;&gt;"""",UPPER(logStatus),IF(selectedDate&gt;TODAY(),""-"",IF(REGEXMATCH(S$96,""SUN""),""WO"",IF(S$99&lt;&gt;"""",IF(VALUE(S$99)&gt;=9/24,""FD"",""HD""),""A"")))))))"),"-")</f>
        <v>-</v>
      </c>
      <c r="T100" s="43" t="str">
        <f>IFERROR(__xludf.DUMMYFUNCTION("IF($A95="""","""",IF(T$96="""","""",LET(logStatus,IFNA(INDEX(DATA_LOG!$E:$E,MATCH(1,(DATA_LOG!$A:$A=$A95)*(TEXT(DATA_LOG!$B:$B,""yyyy-MM-dd"")=TEXT(DATE($P$3,MONTH(1&amp;$N$3),VALUE(LEFT(T$96,2))),""yyyy-MM-dd"")),0)),""""),selectedDate,DATE($P$3,MONTH(1&amp;$N$3"&amp;"),VALUE(LEFT(T$96,2))),IF(logStatus&lt;&gt;"""",UPPER(logStatus),IF(selectedDate&gt;TODAY(),""-"",IF(REGEXMATCH(T$96,""SUN""),""WO"",IF(T$99&lt;&gt;"""",IF(VALUE(T$99)&gt;=9/24,""FD"",""HD""),""A"")))))))"),"-")</f>
        <v>-</v>
      </c>
      <c r="U100" s="43" t="str">
        <f>IFERROR(__xludf.DUMMYFUNCTION("IF($A95="""","""",IF(U$96="""","""",LET(logStatus,IFNA(INDEX(DATA_LOG!$E:$E,MATCH(1,(DATA_LOG!$A:$A=$A95)*(TEXT(DATA_LOG!$B:$B,""yyyy-MM-dd"")=TEXT(DATE($P$3,MONTH(1&amp;$N$3),VALUE(LEFT(U$96,2))),""yyyy-MM-dd"")),0)),""""),selectedDate,DATE($P$3,MONTH(1&amp;$N$3"&amp;"),VALUE(LEFT(U$96,2))),IF(logStatus&lt;&gt;"""",UPPER(logStatus),IF(selectedDate&gt;TODAY(),""-"",IF(REGEXMATCH(U$96,""SUN""),""WO"",IF(U$99&lt;&gt;"""",IF(VALUE(U$99)&gt;=9/24,""FD"",""HD""),""A"")))))))"),"-")</f>
        <v>-</v>
      </c>
      <c r="V100" s="43" t="str">
        <f>IFERROR(__xludf.DUMMYFUNCTION("IF($A95="""","""",IF(V$96="""","""",LET(logStatus,IFNA(INDEX(DATA_LOG!$E:$E,MATCH(1,(DATA_LOG!$A:$A=$A95)*(TEXT(DATA_LOG!$B:$B,""yyyy-MM-dd"")=TEXT(DATE($P$3,MONTH(1&amp;$N$3),VALUE(LEFT(V$96,2))),""yyyy-MM-dd"")),0)),""""),selectedDate,DATE($P$3,MONTH(1&amp;$N$3"&amp;"),VALUE(LEFT(V$96,2))),IF(logStatus&lt;&gt;"""",UPPER(logStatus),IF(selectedDate&gt;TODAY(),""-"",IF(REGEXMATCH(V$96,""SUN""),""WO"",IF(V$99&lt;&gt;"""",IF(VALUE(V$99)&gt;=9/24,""FD"",""HD""),""A"")))))))"),"-")</f>
        <v>-</v>
      </c>
      <c r="W100" s="43" t="str">
        <f>IFERROR(__xludf.DUMMYFUNCTION("IF($A95="""","""",IF(W$96="""","""",LET(logStatus,IFNA(INDEX(DATA_LOG!$E:$E,MATCH(1,(DATA_LOG!$A:$A=$A95)*(TEXT(DATA_LOG!$B:$B,""yyyy-MM-dd"")=TEXT(DATE($P$3,MONTH(1&amp;$N$3),VALUE(LEFT(W$96,2))),""yyyy-MM-dd"")),0)),""""),selectedDate,DATE($P$3,MONTH(1&amp;$N$3"&amp;"),VALUE(LEFT(W$96,2))),IF(logStatus&lt;&gt;"""",UPPER(logStatus),IF(selectedDate&gt;TODAY(),""-"",IF(REGEXMATCH(W$96,""SUN""),""WO"",IF(W$99&lt;&gt;"""",IF(VALUE(W$99)&gt;=9/24,""FD"",""HD""),""A"")))))))"),"-")</f>
        <v>-</v>
      </c>
      <c r="X100" s="43" t="str">
        <f>IFERROR(__xludf.DUMMYFUNCTION("IF($A95="""","""",IF(X$96="""","""",LET(logStatus,IFNA(INDEX(DATA_LOG!$E:$E,MATCH(1,(DATA_LOG!$A:$A=$A95)*(TEXT(DATA_LOG!$B:$B,""yyyy-MM-dd"")=TEXT(DATE($P$3,MONTH(1&amp;$N$3),VALUE(LEFT(X$96,2))),""yyyy-MM-dd"")),0)),""""),selectedDate,DATE($P$3,MONTH(1&amp;$N$3"&amp;"),VALUE(LEFT(X$96,2))),IF(logStatus&lt;&gt;"""",UPPER(logStatus),IF(selectedDate&gt;TODAY(),""-"",IF(REGEXMATCH(X$96,""SUN""),""WO"",IF(X$99&lt;&gt;"""",IF(VALUE(X$99)&gt;=9/24,""FD"",""HD""),""A"")))))))"),"-")</f>
        <v>-</v>
      </c>
      <c r="Y100" s="43" t="str">
        <f>IFERROR(__xludf.DUMMYFUNCTION("IF($A95="""","""",IF(Y$96="""","""",LET(logStatus,IFNA(INDEX(DATA_LOG!$E:$E,MATCH(1,(DATA_LOG!$A:$A=$A95)*(TEXT(DATA_LOG!$B:$B,""yyyy-MM-dd"")=TEXT(DATE($P$3,MONTH(1&amp;$N$3),VALUE(LEFT(Y$96,2))),""yyyy-MM-dd"")),0)),""""),selectedDate,DATE($P$3,MONTH(1&amp;$N$3"&amp;"),VALUE(LEFT(Y$96,2))),IF(logStatus&lt;&gt;"""",UPPER(logStatus),IF(selectedDate&gt;TODAY(),""-"",IF(REGEXMATCH(Y$96,""SUN""),""WO"",IF(Y$99&lt;&gt;"""",IF(VALUE(Y$99)&gt;=9/24,""FD"",""HD""),""A"")))))))"),"-")</f>
        <v>-</v>
      </c>
      <c r="Z100" s="43" t="str">
        <f>IFERROR(__xludf.DUMMYFUNCTION("IF($A95="""","""",IF(Z$96="""","""",LET(logStatus,IFNA(INDEX(DATA_LOG!$E:$E,MATCH(1,(DATA_LOG!$A:$A=$A95)*(TEXT(DATA_LOG!$B:$B,""yyyy-MM-dd"")=TEXT(DATE($P$3,MONTH(1&amp;$N$3),VALUE(LEFT(Z$96,2))),""yyyy-MM-dd"")),0)),""""),selectedDate,DATE($P$3,MONTH(1&amp;$N$3"&amp;"),VALUE(LEFT(Z$96,2))),IF(logStatus&lt;&gt;"""",UPPER(logStatus),IF(selectedDate&gt;TODAY(),""-"",IF(REGEXMATCH(Z$96,""SUN""),""WO"",IF(Z$99&lt;&gt;"""",IF(VALUE(Z$99)&gt;=9/24,""FD"",""HD""),""A"")))))))"),"-")</f>
        <v>-</v>
      </c>
      <c r="AA100" s="43" t="str">
        <f>IFERROR(__xludf.DUMMYFUNCTION("IF($A95="""","""",IF(AA$96="""","""",LET(logStatus,IFNA(INDEX(DATA_LOG!$E:$E,MATCH(1,(DATA_LOG!$A:$A=$A95)*(TEXT(DATA_LOG!$B:$B,""yyyy-MM-dd"")=TEXT(DATE($P$3,MONTH(1&amp;$N$3),VALUE(LEFT(AA$96,2))),""yyyy-MM-dd"")),0)),""""),selectedDate,DATE($P$3,MONTH(1&amp;$N"&amp;"$3),VALUE(LEFT(AA$96,2))),IF(logStatus&lt;&gt;"""",UPPER(logStatus),IF(selectedDate&gt;TODAY(),""-"",IF(REGEXMATCH(AA$96,""SUN""),""WO"",IF(AA$99&lt;&gt;"""",IF(VALUE(AA$99)&gt;=9/24,""FD"",""HD""),""A"")))))))"),"-")</f>
        <v>-</v>
      </c>
      <c r="AB100" s="43" t="str">
        <f>IFERROR(__xludf.DUMMYFUNCTION("IF($A95="""","""",IF(AB$96="""","""",LET(logStatus,IFNA(INDEX(DATA_LOG!$E:$E,MATCH(1,(DATA_LOG!$A:$A=$A95)*(TEXT(DATA_LOG!$B:$B,""yyyy-MM-dd"")=TEXT(DATE($P$3,MONTH(1&amp;$N$3),VALUE(LEFT(AB$96,2))),""yyyy-MM-dd"")),0)),""""),selectedDate,DATE($P$3,MONTH(1&amp;$N"&amp;"$3),VALUE(LEFT(AB$96,2))),IF(logStatus&lt;&gt;"""",UPPER(logStatus),IF(selectedDate&gt;TODAY(),""-"",IF(REGEXMATCH(AB$96,""SUN""),""WO"",IF(AB$99&lt;&gt;"""",IF(VALUE(AB$99)&gt;=9/24,""FD"",""HD""),""A"")))))))"),"-")</f>
        <v>-</v>
      </c>
      <c r="AC100" s="43" t="str">
        <f>IFERROR(__xludf.DUMMYFUNCTION("IF($A95="""","""",IF(AC$96="""","""",LET(logStatus,IFNA(INDEX(DATA_LOG!$E:$E,MATCH(1,(DATA_LOG!$A:$A=$A95)*(TEXT(DATA_LOG!$B:$B,""yyyy-MM-dd"")=TEXT(DATE($P$3,MONTH(1&amp;$N$3),VALUE(LEFT(AC$96,2))),""yyyy-MM-dd"")),0)),""""),selectedDate,DATE($P$3,MONTH(1&amp;$N"&amp;"$3),VALUE(LEFT(AC$96,2))),IF(logStatus&lt;&gt;"""",UPPER(logStatus),IF(selectedDate&gt;TODAY(),""-"",IF(REGEXMATCH(AC$96,""SUN""),""WO"",IF(AC$99&lt;&gt;"""",IF(VALUE(AC$99)&gt;=9/24,""FD"",""HD""),""A"")))))))"),"-")</f>
        <v>-</v>
      </c>
      <c r="AD100" s="43" t="str">
        <f>IFERROR(__xludf.DUMMYFUNCTION("IF($A95="""","""",IF(AD$96="""","""",LET(logStatus,IFNA(INDEX(DATA_LOG!$E:$E,MATCH(1,(DATA_LOG!$A:$A=$A95)*(TEXT(DATA_LOG!$B:$B,""yyyy-MM-dd"")=TEXT(DATE($P$3,MONTH(1&amp;$N$3),VALUE(LEFT(AD$96,2))),""yyyy-MM-dd"")),0)),""""),selectedDate,DATE($P$3,MONTH(1&amp;$N"&amp;"$3),VALUE(LEFT(AD$96,2))),IF(logStatus&lt;&gt;"""",UPPER(logStatus),IF(selectedDate&gt;TODAY(),""-"",IF(REGEXMATCH(AD$96,""SUN""),""WO"",IF(AD$99&lt;&gt;"""",IF(VALUE(AD$99)&gt;=9/24,""FD"",""HD""),""A"")))))))"),"-")</f>
        <v>-</v>
      </c>
      <c r="AE100" s="43" t="str">
        <f>IFERROR(__xludf.DUMMYFUNCTION("IF($A95="""","""",IF(AE$96="""","""",LET(logStatus,IFNA(INDEX(DATA_LOG!$E:$E,MATCH(1,(DATA_LOG!$A:$A=$A95)*(TEXT(DATA_LOG!$B:$B,""yyyy-MM-dd"")=TEXT(DATE($P$3,MONTH(1&amp;$N$3),VALUE(LEFT(AE$96,2))),""yyyy-MM-dd"")),0)),""""),selectedDate,DATE($P$3,MONTH(1&amp;$N"&amp;"$3),VALUE(LEFT(AE$96,2))),IF(logStatus&lt;&gt;"""",UPPER(logStatus),IF(selectedDate&gt;TODAY(),""-"",IF(REGEXMATCH(AE$96,""SUN""),""WO"",IF(AE$99&lt;&gt;"""",IF(VALUE(AE$99)&gt;=9/24,""FD"",""HD""),""A"")))))))"),"-")</f>
        <v>-</v>
      </c>
      <c r="AF100" s="43"/>
    </row>
    <row r="101">
      <c r="A101" s="44"/>
    </row>
    <row r="102">
      <c r="A102" s="25" t="str">
        <f t="array" ref="A102">INDEX(EMPLOYEE_LIST!$A:$A,INT((ROW()-4)/7)+2)</f>
        <v>VICKY KUMAR</v>
      </c>
      <c r="B102" s="26"/>
      <c r="C102" s="27"/>
      <c r="D102" s="28" t="str">
        <f>IF(A102="", "", IFERROR(VLOOKUP(A102, EMPLOYEE_LIST!$A:$H, 2, FALSE), ""))</f>
        <v>AYV-99</v>
      </c>
      <c r="E102" s="26"/>
      <c r="F102" s="26"/>
      <c r="G102" s="27"/>
      <c r="H102" s="29" t="str">
        <f>IF(A102="", "", IFERROR(VLOOKUP(A102, EMPLOYEE_LIST!$A:$H, 3, FALSE), ""))</f>
        <v>MECHNICAL</v>
      </c>
      <c r="I102" s="26"/>
      <c r="J102" s="26"/>
      <c r="K102" s="27"/>
      <c r="L102" s="29" t="str">
        <f>IF(A102="", "", IFERROR(VLOOKUP(A102, EMPLOYEE_LIST!$A:$H, 4, FALSE), ""))</f>
        <v>PLANT OPERATOR</v>
      </c>
      <c r="M102" s="26"/>
      <c r="N102" s="26"/>
      <c r="O102" s="27"/>
      <c r="P102" s="30" t="str">
        <f>IF($A102="", "", "Full Day: " &amp; COUNTIF(B107:AF107, "FD"))</f>
        <v>Full Day: 0</v>
      </c>
      <c r="Q102" s="26"/>
      <c r="R102" s="27"/>
      <c r="S102" s="31" t="str">
        <f>IF($A102="", "", "HALF Day: " &amp; COUNTIF(B107:AF107, "HD"))</f>
        <v>HALF Day: 0</v>
      </c>
      <c r="T102" s="26"/>
      <c r="U102" s="27"/>
      <c r="V102" s="31" t="str">
        <f>IF($A102="", "", "ABSENT: " &amp; COUNTIF(B107:AF107, "A"))</f>
        <v>ABSENT: 10</v>
      </c>
      <c r="W102" s="26"/>
      <c r="X102" s="27"/>
      <c r="Y102" s="31" t="str">
        <f>IF($A102="", "", "WEEK OFF: " &amp; COUNTIF(B107:AF107, "WO"))</f>
        <v>WEEK OFF: 1</v>
      </c>
      <c r="Z102" s="26"/>
      <c r="AA102" s="27"/>
      <c r="AB102" s="31" t="str">
        <f>IF($A102="", "", "LEAVE: " &amp; COUNTIF(B107:AF107, "L"))</f>
        <v>LEAVE: 0</v>
      </c>
      <c r="AC102" s="27"/>
      <c r="AD102" s="31" t="str">
        <f>IF($A102="", "", "HOLIDAY: " &amp; COUNTIF(B107:AF107, "HL"))</f>
        <v>HOLIDAY: 0</v>
      </c>
      <c r="AE102" s="26"/>
      <c r="AF102" s="27"/>
    </row>
    <row r="103">
      <c r="A103" s="32" t="str">
        <f>IF($A102="", "", "DATE")</f>
        <v>DATE</v>
      </c>
      <c r="B103" s="33" t="str">
        <f t="array" ref="B103:AE103">IF($A102="","",LET(mNum,MONTH(1&amp;$N$3),start,DATE($P$3,mNum,1),days,DAY(EOMONTH(start,0)),MAP(SEQUENCE(1,days,0),LAMBDA(n,UPPER(TEXT(start+n,"dd (ddd)"))))))</f>
        <v>01 (TUE)</v>
      </c>
      <c r="C103" s="34" t="s">
        <v>89</v>
      </c>
      <c r="D103" s="34" t="s">
        <v>90</v>
      </c>
      <c r="E103" s="34" t="s">
        <v>91</v>
      </c>
      <c r="F103" s="34" t="s">
        <v>92</v>
      </c>
      <c r="G103" s="34" t="s">
        <v>93</v>
      </c>
      <c r="H103" s="34" t="s">
        <v>94</v>
      </c>
      <c r="I103" s="34" t="s">
        <v>95</v>
      </c>
      <c r="J103" s="34" t="s">
        <v>96</v>
      </c>
      <c r="K103" s="34" t="s">
        <v>97</v>
      </c>
      <c r="L103" s="34" t="s">
        <v>98</v>
      </c>
      <c r="M103" s="34" t="s">
        <v>99</v>
      </c>
      <c r="N103" s="34" t="s">
        <v>100</v>
      </c>
      <c r="O103" s="34" t="s">
        <v>101</v>
      </c>
      <c r="P103" s="34" t="s">
        <v>102</v>
      </c>
      <c r="Q103" s="34" t="s">
        <v>103</v>
      </c>
      <c r="R103" s="34" t="s">
        <v>104</v>
      </c>
      <c r="S103" s="34" t="s">
        <v>105</v>
      </c>
      <c r="T103" s="34" t="s">
        <v>106</v>
      </c>
      <c r="U103" s="34" t="s">
        <v>107</v>
      </c>
      <c r="V103" s="34" t="s">
        <v>108</v>
      </c>
      <c r="W103" s="34" t="s">
        <v>109</v>
      </c>
      <c r="X103" s="34" t="s">
        <v>110</v>
      </c>
      <c r="Y103" s="34" t="s">
        <v>111</v>
      </c>
      <c r="Z103" s="34" t="s">
        <v>112</v>
      </c>
      <c r="AA103" s="34" t="s">
        <v>113</v>
      </c>
      <c r="AB103" s="34" t="s">
        <v>114</v>
      </c>
      <c r="AC103" s="34" t="s">
        <v>115</v>
      </c>
      <c r="AD103" s="34" t="s">
        <v>116</v>
      </c>
      <c r="AE103" s="34" t="s">
        <v>117</v>
      </c>
      <c r="AF103" s="34"/>
    </row>
    <row r="104">
      <c r="A104" s="37" t="str">
        <f>IF($A102="", "", "IN")</f>
        <v>IN</v>
      </c>
      <c r="B104" s="38" t="str">
        <f t="array" ref="B104">IF(OR($A102="",B$103=""),"",IFNA(INDEX(DATA_LOG!$C:$C,MATCH(1,(DATA_LOG!$A:$A=$A102)*(TEXT(DATA_LOG!$B:$B,"yyyy-MM-dd")=TEXT(DATE($P$3,MONTH(1&amp;$N$3),VALUE(LEFT(B$103,2))),"yyyy-MM-dd")),0)),""))</f>
        <v/>
      </c>
      <c r="C104" s="39" t="str">
        <f t="array" ref="C104">IF(OR($A102="",C$5=""),"",IFNA(INDEX(DATA_LOG!$C:$C,MATCH(1,(DATA_LOG!$A:$A=$A102)*(TEXT(DATA_LOG!$B:$B,"yyyy-MM-dd")=TEXT(DATE($P$3,MONTH(1&amp;$N$3),VALUE(LEFT(C$5,2))),"yyyy-MM-dd")),0)),""))</f>
        <v/>
      </c>
      <c r="D104" s="39" t="str">
        <f t="array" ref="D104">IF(OR($A102="",D$5=""),"",IFNA(INDEX(DATA_LOG!$C:$C,MATCH(1,(DATA_LOG!$A:$A=$A102)*(TEXT(DATA_LOG!$B:$B,"yyyy-MM-dd")=TEXT(DATE($P$3,MONTH(1&amp;$N$3),VALUE(LEFT(D$5,2))),"yyyy-MM-dd")),0)),""))</f>
        <v/>
      </c>
      <c r="E104" s="39" t="str">
        <f t="array" ref="E104">IF(OR($A102="",E$5=""),"",IFNA(INDEX(DATA_LOG!$C:$C,MATCH(1,(DATA_LOG!$A:$A=$A102)*(TEXT(DATA_LOG!$B:$B,"yyyy-MM-dd")=TEXT(DATE($P$3,MONTH(1&amp;$N$3),VALUE(LEFT(E$5,2))),"yyyy-MM-dd")),0)),""))</f>
        <v/>
      </c>
      <c r="F104" s="39" t="str">
        <f t="array" ref="F104">IF(OR($A102="",F$5=""),"",IFNA(INDEX(DATA_LOG!$C:$C,MATCH(1,(DATA_LOG!$A:$A=$A102)*(TEXT(DATA_LOG!$B:$B,"yyyy-MM-dd")=TEXT(DATE($P$3,MONTH(1&amp;$N$3),VALUE(LEFT(F$5,2))),"yyyy-MM-dd")),0)),""))</f>
        <v/>
      </c>
      <c r="G104" s="39" t="str">
        <f t="array" ref="G104">IF(OR($A102="",G$5=""),"",IFNA(INDEX(DATA_LOG!$C:$C,MATCH(1,(DATA_LOG!$A:$A=$A102)*(TEXT(DATA_LOG!$B:$B,"yyyy-MM-dd")=TEXT(DATE($P$3,MONTH(1&amp;$N$3),VALUE(LEFT(G$5,2))),"yyyy-MM-dd")),0)),""))</f>
        <v/>
      </c>
      <c r="H104" s="39" t="str">
        <f t="array" ref="H104">IF(OR($A102="",H$5=""),"",IFNA(INDEX(DATA_LOG!$C:$C,MATCH(1,(DATA_LOG!$A:$A=$A102)*(TEXT(DATA_LOG!$B:$B,"yyyy-MM-dd")=TEXT(DATE($P$3,MONTH(1&amp;$N$3),VALUE(LEFT(H$5,2))),"yyyy-MM-dd")),0)),""))</f>
        <v/>
      </c>
      <c r="I104" s="39" t="str">
        <f t="array" ref="I104">IF(OR($A102="",I$5=""),"",IFNA(INDEX(DATA_LOG!$C:$C,MATCH(1,(DATA_LOG!$A:$A=$A102)*(TEXT(DATA_LOG!$B:$B,"yyyy-MM-dd")=TEXT(DATE($P$3,MONTH(1&amp;$N$3),VALUE(LEFT(I$5,2))),"yyyy-MM-dd")),0)),""))</f>
        <v/>
      </c>
      <c r="J104" s="39" t="str">
        <f t="array" ref="J104">IF(OR($A102="",J$5=""),"",IFNA(INDEX(DATA_LOG!$C:$C,MATCH(1,(DATA_LOG!$A:$A=$A102)*(TEXT(DATA_LOG!$B:$B,"yyyy-MM-dd")=TEXT(DATE($P$3,MONTH(1&amp;$N$3),VALUE(LEFT(J$5,2))),"yyyy-MM-dd")),0)),""))</f>
        <v/>
      </c>
      <c r="K104" s="39" t="str">
        <f t="array" ref="K104">IF(OR($A102="",K$5=""),"",IFNA(INDEX(DATA_LOG!$C:$C,MATCH(1,(DATA_LOG!$A:$A=$A102)*(TEXT(DATA_LOG!$B:$B,"yyyy-MM-dd")=TEXT(DATE($P$3,MONTH(1&amp;$N$3),VALUE(LEFT(K$5,2))),"yyyy-MM-dd")),0)),""))</f>
        <v/>
      </c>
      <c r="L104" s="39" t="str">
        <f t="array" ref="L104">IF(OR($A102="",L$5=""),"",IFNA(INDEX(DATA_LOG!$C:$C,MATCH(1,(DATA_LOG!$A:$A=$A102)*(TEXT(DATA_LOG!$B:$B,"yyyy-MM-dd")=TEXT(DATE($P$3,MONTH(1&amp;$N$3),VALUE(LEFT(L$5,2))),"yyyy-MM-dd")),0)),""))</f>
        <v/>
      </c>
      <c r="M104" s="39" t="str">
        <f t="array" ref="M104">IF(OR($A102="",M$5=""),"",IFNA(INDEX(DATA_LOG!$C:$C,MATCH(1,(DATA_LOG!$A:$A=$A102)*(TEXT(DATA_LOG!$B:$B,"yyyy-MM-dd")=TEXT(DATE($P$3,MONTH(1&amp;$N$3),VALUE(LEFT(M$5,2))),"yyyy-MM-dd")),0)),""))</f>
        <v/>
      </c>
      <c r="N104" s="39" t="str">
        <f t="array" ref="N104">IF(OR($A102="",N$5=""),"",IFNA(INDEX(DATA_LOG!$C:$C,MATCH(1,(DATA_LOG!$A:$A=$A102)*(TEXT(DATA_LOG!$B:$B,"yyyy-MM-dd")=TEXT(DATE($P$3,MONTH(1&amp;$N$3),VALUE(LEFT(N$5,2))),"yyyy-MM-dd")),0)),""))</f>
        <v/>
      </c>
      <c r="O104" s="39" t="str">
        <f t="array" ref="O104">IF(OR($A102="",O$5=""),"",IFNA(INDEX(DATA_LOG!$C:$C,MATCH(1,(DATA_LOG!$A:$A=$A102)*(TEXT(DATA_LOG!$B:$B,"yyyy-MM-dd")=TEXT(DATE($P$3,MONTH(1&amp;$N$3),VALUE(LEFT(O$5,2))),"yyyy-MM-dd")),0)),""))</f>
        <v/>
      </c>
      <c r="P104" s="39" t="str">
        <f t="array" ref="P104">IF(OR($A102="",P$5=""),"",IFNA(INDEX(DATA_LOG!$C:$C,MATCH(1,(DATA_LOG!$A:$A=$A102)*(TEXT(DATA_LOG!$B:$B,"yyyy-MM-dd")=TEXT(DATE($P$3,MONTH(1&amp;$N$3),VALUE(LEFT(P$5,2))),"yyyy-MM-dd")),0)),""))</f>
        <v/>
      </c>
      <c r="Q104" s="39" t="str">
        <f t="array" ref="Q104">IF(OR($A102="",Q$5=""),"",IFNA(INDEX(DATA_LOG!$C:$C,MATCH(1,(DATA_LOG!$A:$A=$A102)*(TEXT(DATA_LOG!$B:$B,"yyyy-MM-dd")=TEXT(DATE($P$3,MONTH(1&amp;$N$3),VALUE(LEFT(Q$5,2))),"yyyy-MM-dd")),0)),""))</f>
        <v/>
      </c>
      <c r="R104" s="39" t="str">
        <f t="array" ref="R104">IF(OR($A102="",R$5=""),"",IFNA(INDEX(DATA_LOG!$C:$C,MATCH(1,(DATA_LOG!$A:$A=$A102)*(TEXT(DATA_LOG!$B:$B,"yyyy-MM-dd")=TEXT(DATE($P$3,MONTH(1&amp;$N$3),VALUE(LEFT(R$5,2))),"yyyy-MM-dd")),0)),""))</f>
        <v/>
      </c>
      <c r="S104" s="39" t="str">
        <f t="array" ref="S104">IF(OR($A102="",S$5=""),"",IFNA(INDEX(DATA_LOG!$C:$C,MATCH(1,(DATA_LOG!$A:$A=$A102)*(TEXT(DATA_LOG!$B:$B,"yyyy-MM-dd")=TEXT(DATE($P$3,MONTH(1&amp;$N$3),VALUE(LEFT(S$5,2))),"yyyy-MM-dd")),0)),""))</f>
        <v/>
      </c>
      <c r="T104" s="39" t="str">
        <f t="array" ref="T104">IF(OR($A102="",T$5=""),"",IFNA(INDEX(DATA_LOG!$C:$C,MATCH(1,(DATA_LOG!$A:$A=$A102)*(TEXT(DATA_LOG!$B:$B,"yyyy-MM-dd")=TEXT(DATE($P$3,MONTH(1&amp;$N$3),VALUE(LEFT(T$5,2))),"yyyy-MM-dd")),0)),""))</f>
        <v/>
      </c>
      <c r="U104" s="39" t="str">
        <f t="array" ref="U104">IF(OR($A102="",U$5=""),"",IFNA(INDEX(DATA_LOG!$C:$C,MATCH(1,(DATA_LOG!$A:$A=$A102)*(TEXT(DATA_LOG!$B:$B,"yyyy-MM-dd")=TEXT(DATE($P$3,MONTH(1&amp;$N$3),VALUE(LEFT(U$5,2))),"yyyy-MM-dd")),0)),""))</f>
        <v/>
      </c>
      <c r="V104" s="39" t="str">
        <f t="array" ref="V104">IF(OR($A102="",V$5=""),"",IFNA(INDEX(DATA_LOG!$C:$C,MATCH(1,(DATA_LOG!$A:$A=$A102)*(TEXT(DATA_LOG!$B:$B,"yyyy-MM-dd")=TEXT(DATE($P$3,MONTH(1&amp;$N$3),VALUE(LEFT(V$5,2))),"yyyy-MM-dd")),0)),""))</f>
        <v/>
      </c>
      <c r="W104" s="39" t="str">
        <f t="array" ref="W104">IF(OR($A102="",W$5=""),"",IFNA(INDEX(DATA_LOG!$C:$C,MATCH(1,(DATA_LOG!$A:$A=$A102)*(TEXT(DATA_LOG!$B:$B,"yyyy-MM-dd")=TEXT(DATE($P$3,MONTH(1&amp;$N$3),VALUE(LEFT(W$5,2))),"yyyy-MM-dd")),0)),""))</f>
        <v/>
      </c>
      <c r="X104" s="39" t="str">
        <f t="array" ref="X104">IF(OR($A102="",X$5=""),"",IFNA(INDEX(DATA_LOG!$C:$C,MATCH(1,(DATA_LOG!$A:$A=$A102)*(TEXT(DATA_LOG!$B:$B,"yyyy-MM-dd")=TEXT(DATE($P$3,MONTH(1&amp;$N$3),VALUE(LEFT(X$5,2))),"yyyy-MM-dd")),0)),""))</f>
        <v/>
      </c>
      <c r="Y104" s="39" t="str">
        <f t="array" ref="Y104">IF(OR($A102="",Y$5=""),"",IFNA(INDEX(DATA_LOG!$C:$C,MATCH(1,(DATA_LOG!$A:$A=$A102)*(TEXT(DATA_LOG!$B:$B,"yyyy-MM-dd")=TEXT(DATE($P$3,MONTH(1&amp;$N$3),VALUE(LEFT(Y$5,2))),"yyyy-MM-dd")),0)),""))</f>
        <v/>
      </c>
      <c r="Z104" s="39" t="str">
        <f t="array" ref="Z104">IF(OR($A102="",Z$5=""),"",IFNA(INDEX(DATA_LOG!$C:$C,MATCH(1,(DATA_LOG!$A:$A=$A102)*(TEXT(DATA_LOG!$B:$B,"yyyy-MM-dd")=TEXT(DATE($P$3,MONTH(1&amp;$N$3),VALUE(LEFT(Z$5,2))),"yyyy-MM-dd")),0)),""))</f>
        <v/>
      </c>
      <c r="AA104" s="39" t="str">
        <f t="array" ref="AA104">IF(OR($A102="",AA$5=""),"",IFNA(INDEX(DATA_LOG!$C:$C,MATCH(1,(DATA_LOG!$A:$A=$A102)*(TEXT(DATA_LOG!$B:$B,"yyyy-MM-dd")=TEXT(DATE($P$3,MONTH(1&amp;$N$3),VALUE(LEFT(AA$5,2))),"yyyy-MM-dd")),0)),""))</f>
        <v/>
      </c>
      <c r="AB104" s="39" t="str">
        <f t="array" ref="AB104">IF(OR($A102="",AB$5=""),"",IFNA(INDEX(DATA_LOG!$C:$C,MATCH(1,(DATA_LOG!$A:$A=$A102)*(TEXT(DATA_LOG!$B:$B,"yyyy-MM-dd")=TEXT(DATE($P$3,MONTH(1&amp;$N$3),VALUE(LEFT(AB$5,2))),"yyyy-MM-dd")),0)),""))</f>
        <v/>
      </c>
      <c r="AC104" s="39" t="str">
        <f t="array" ref="AC104">IF(OR($A102="",AC$5=""),"",IFNA(INDEX(DATA_LOG!$C:$C,MATCH(1,(DATA_LOG!$A:$A=$A102)*(TEXT(DATA_LOG!$B:$B,"yyyy-MM-dd")=TEXT(DATE($P$3,MONTH(1&amp;$N$3),VALUE(LEFT(AC$5,2))),"yyyy-MM-dd")),0)),""))</f>
        <v/>
      </c>
      <c r="AD104" s="39" t="str">
        <f t="array" ref="AD104">IF(OR($A102="",AD$5=""),"",IFNA(INDEX(DATA_LOG!$C:$C,MATCH(1,(DATA_LOG!$A:$A=$A102)*(TEXT(DATA_LOG!$B:$B,"yyyy-MM-dd")=TEXT(DATE($P$3,MONTH(1&amp;$N$3),VALUE(LEFT(AD$5,2))),"yyyy-MM-dd")),0)),""))</f>
        <v/>
      </c>
      <c r="AE104" s="39" t="str">
        <f t="array" ref="AE104">IF(OR($A102="",AE$5=""),"",IFNA(INDEX(DATA_LOG!$C:$C,MATCH(1,(DATA_LOG!$A:$A=$A102)*(TEXT(DATA_LOG!$B:$B,"yyyy-MM-dd")=TEXT(DATE($P$3,MONTH(1&amp;$N$3),VALUE(LEFT(AE$5,2))),"yyyy-MM-dd")),0)),""))</f>
        <v/>
      </c>
      <c r="AF104" s="39" t="str">
        <f t="array" ref="AF104">IF(OR($A102="",AF$5=""),"",IFNA(INDEX(DATA_LOG!$C:$C,MATCH(1,(DATA_LOG!$A:$A=$A102)*(TEXT(DATA_LOG!$B:$B,"yyyy-MM-dd")=TEXT(DATE($P$3,MONTH(1&amp;$N$3),VALUE(LEFT(AF$5,2))),"yyyy-MM-dd")),0)),""))</f>
        <v/>
      </c>
    </row>
    <row r="105">
      <c r="A105" s="37" t="str">
        <f>IF($A102="", "", "OUT")</f>
        <v>OUT</v>
      </c>
      <c r="B105" s="39" t="str">
        <f t="array" ref="B105">IF(OR($A102="",B$5=""),"",IFNA(INDEX(DATA_LOG!$D:$D,MATCH(1,(DATA_LOG!$A:$A=$A102)*(TEXT(DATA_LOG!$B:$B,"yyyy-MM-dd")=TEXT(DATE($P$3,MONTH(1&amp;$N$3),VALUE(LEFT(B$5,2))),"yyyy-MM-dd")),0)),""))</f>
        <v/>
      </c>
      <c r="C105" s="39" t="str">
        <f t="array" ref="C105">IF(OR($A102="",C$5=""),"",IFNA(INDEX(DATA_LOG!$D:$D,MATCH(1,(DATA_LOG!$A:$A=$A102)*(TEXT(DATA_LOG!$B:$B,"yyyy-MM-dd")=TEXT(DATE($P$3,MONTH(1&amp;$N$3),VALUE(LEFT(C$5,2))),"yyyy-MM-dd")),0)),""))</f>
        <v/>
      </c>
      <c r="D105" s="39" t="str">
        <f t="array" ref="D105">IF(OR($A102="",D$5=""),"",IFNA(INDEX(DATA_LOG!$D:$D,MATCH(1,(DATA_LOG!$A:$A=$A102)*(TEXT(DATA_LOG!$B:$B,"yyyy-MM-dd")=TEXT(DATE($P$3,MONTH(1&amp;$N$3),VALUE(LEFT(D$5,2))),"yyyy-MM-dd")),0)),""))</f>
        <v/>
      </c>
      <c r="E105" s="39" t="str">
        <f t="array" ref="E105">IF(OR($A102="",E$5=""),"",IFNA(INDEX(DATA_LOG!$D:$D,MATCH(1,(DATA_LOG!$A:$A=$A102)*(TEXT(DATA_LOG!$B:$B,"yyyy-MM-dd")=TEXT(DATE($P$3,MONTH(1&amp;$N$3),VALUE(LEFT(E$5,2))),"yyyy-MM-dd")),0)),""))</f>
        <v/>
      </c>
      <c r="F105" s="39" t="str">
        <f t="array" ref="F105">IF(OR($A102="",F$5=""),"",IFNA(INDEX(DATA_LOG!$D:$D,MATCH(1,(DATA_LOG!$A:$A=$A102)*(TEXT(DATA_LOG!$B:$B,"yyyy-MM-dd")=TEXT(DATE($P$3,MONTH(1&amp;$N$3),VALUE(LEFT(F$5,2))),"yyyy-MM-dd")),0)),""))</f>
        <v/>
      </c>
      <c r="G105" s="39" t="str">
        <f t="array" ref="G105">IF(OR($A102="",G$5=""),"",IFNA(INDEX(DATA_LOG!$D:$D,MATCH(1,(DATA_LOG!$A:$A=$A102)*(TEXT(DATA_LOG!$B:$B,"yyyy-MM-dd")=TEXT(DATE($P$3,MONTH(1&amp;$N$3),VALUE(LEFT(G$5,2))),"yyyy-MM-dd")),0)),""))</f>
        <v/>
      </c>
      <c r="H105" s="39" t="str">
        <f t="array" ref="H105">IF(OR($A102="",H$5=""),"",IFNA(INDEX(DATA_LOG!$D:$D,MATCH(1,(DATA_LOG!$A:$A=$A102)*(TEXT(DATA_LOG!$B:$B,"yyyy-MM-dd")=TEXT(DATE($P$3,MONTH(1&amp;$N$3),VALUE(LEFT(H$5,2))),"yyyy-MM-dd")),0)),""))</f>
        <v/>
      </c>
      <c r="I105" s="39" t="str">
        <f t="array" ref="I105">IF(OR($A102="",I$5=""),"",IFNA(INDEX(DATA_LOG!$D:$D,MATCH(1,(DATA_LOG!$A:$A=$A102)*(TEXT(DATA_LOG!$B:$B,"yyyy-MM-dd")=TEXT(DATE($P$3,MONTH(1&amp;$N$3),VALUE(LEFT(I$5,2))),"yyyy-MM-dd")),0)),""))</f>
        <v/>
      </c>
      <c r="J105" s="39" t="str">
        <f t="array" ref="J105">IF(OR($A102="",J$5=""),"",IFNA(INDEX(DATA_LOG!$D:$D,MATCH(1,(DATA_LOG!$A:$A=$A102)*(TEXT(DATA_LOG!$B:$B,"yyyy-MM-dd")=TEXT(DATE($P$3,MONTH(1&amp;$N$3),VALUE(LEFT(J$5,2))),"yyyy-MM-dd")),0)),""))</f>
        <v/>
      </c>
      <c r="K105" s="39" t="str">
        <f t="array" ref="K105">IF(OR($A102="",K$5=""),"",IFNA(INDEX(DATA_LOG!$D:$D,MATCH(1,(DATA_LOG!$A:$A=$A102)*(TEXT(DATA_LOG!$B:$B,"yyyy-MM-dd")=TEXT(DATE($P$3,MONTH(1&amp;$N$3),VALUE(LEFT(K$5,2))),"yyyy-MM-dd")),0)),""))</f>
        <v/>
      </c>
      <c r="L105" s="39" t="str">
        <f t="array" ref="L105">IF(OR($A102="",L$5=""),"",IFNA(INDEX(DATA_LOG!$D:$D,MATCH(1,(DATA_LOG!$A:$A=$A102)*(TEXT(DATA_LOG!$B:$B,"yyyy-MM-dd")=TEXT(DATE($P$3,MONTH(1&amp;$N$3),VALUE(LEFT(L$5,2))),"yyyy-MM-dd")),0)),""))</f>
        <v/>
      </c>
      <c r="M105" s="39" t="str">
        <f t="array" ref="M105">IF(OR($A102="",M$5=""),"",IFNA(INDEX(DATA_LOG!$D:$D,MATCH(1,(DATA_LOG!$A:$A=$A102)*(TEXT(DATA_LOG!$B:$B,"yyyy-MM-dd")=TEXT(DATE($P$3,MONTH(1&amp;$N$3),VALUE(LEFT(M$5,2))),"yyyy-MM-dd")),0)),""))</f>
        <v/>
      </c>
      <c r="N105" s="39" t="str">
        <f t="array" ref="N105">IF(OR($A102="",N$5=""),"",IFNA(INDEX(DATA_LOG!$D:$D,MATCH(1,(DATA_LOG!$A:$A=$A102)*(TEXT(DATA_LOG!$B:$B,"yyyy-MM-dd")=TEXT(DATE($P$3,MONTH(1&amp;$N$3),VALUE(LEFT(N$5,2))),"yyyy-MM-dd")),0)),""))</f>
        <v/>
      </c>
      <c r="O105" s="39" t="str">
        <f t="array" ref="O105">IF(OR($A102="",O$5=""),"",IFNA(INDEX(DATA_LOG!$D:$D,MATCH(1,(DATA_LOG!$A:$A=$A102)*(TEXT(DATA_LOG!$B:$B,"yyyy-MM-dd")=TEXT(DATE($P$3,MONTH(1&amp;$N$3),VALUE(LEFT(O$5,2))),"yyyy-MM-dd")),0)),""))</f>
        <v/>
      </c>
      <c r="P105" s="39" t="str">
        <f t="array" ref="P105">IF(OR($A102="",P$5=""),"",IFNA(INDEX(DATA_LOG!$D:$D,MATCH(1,(DATA_LOG!$A:$A=$A102)*(TEXT(DATA_LOG!$B:$B,"yyyy-MM-dd")=TEXT(DATE($P$3,MONTH(1&amp;$N$3),VALUE(LEFT(P$5,2))),"yyyy-MM-dd")),0)),""))</f>
        <v/>
      </c>
      <c r="Q105" s="39" t="str">
        <f t="array" ref="Q105">IF(OR($A102="",Q$5=""),"",IFNA(INDEX(DATA_LOG!$D:$D,MATCH(1,(DATA_LOG!$A:$A=$A102)*(TEXT(DATA_LOG!$B:$B,"yyyy-MM-dd")=TEXT(DATE($P$3,MONTH(1&amp;$N$3),VALUE(LEFT(Q$5,2))),"yyyy-MM-dd")),0)),""))</f>
        <v/>
      </c>
      <c r="R105" s="39" t="str">
        <f t="array" ref="R105">IF(OR($A102="",R$5=""),"",IFNA(INDEX(DATA_LOG!$D:$D,MATCH(1,(DATA_LOG!$A:$A=$A102)*(TEXT(DATA_LOG!$B:$B,"yyyy-MM-dd")=TEXT(DATE($P$3,MONTH(1&amp;$N$3),VALUE(LEFT(R$5,2))),"yyyy-MM-dd")),0)),""))</f>
        <v/>
      </c>
      <c r="S105" s="39" t="str">
        <f t="array" ref="S105">IF(OR($A102="",S$5=""),"",IFNA(INDEX(DATA_LOG!$D:$D,MATCH(1,(DATA_LOG!$A:$A=$A102)*(TEXT(DATA_LOG!$B:$B,"yyyy-MM-dd")=TEXT(DATE($P$3,MONTH(1&amp;$N$3),VALUE(LEFT(S$5,2))),"yyyy-MM-dd")),0)),""))</f>
        <v/>
      </c>
      <c r="T105" s="39" t="str">
        <f t="array" ref="T105">IF(OR($A102="",T$5=""),"",IFNA(INDEX(DATA_LOG!$D:$D,MATCH(1,(DATA_LOG!$A:$A=$A102)*(TEXT(DATA_LOG!$B:$B,"yyyy-MM-dd")=TEXT(DATE($P$3,MONTH(1&amp;$N$3),VALUE(LEFT(T$5,2))),"yyyy-MM-dd")),0)),""))</f>
        <v/>
      </c>
      <c r="U105" s="39" t="str">
        <f t="array" ref="U105">IF(OR($A102="",U$5=""),"",IFNA(INDEX(DATA_LOG!$D:$D,MATCH(1,(DATA_LOG!$A:$A=$A102)*(TEXT(DATA_LOG!$B:$B,"yyyy-MM-dd")=TEXT(DATE($P$3,MONTH(1&amp;$N$3),VALUE(LEFT(U$5,2))),"yyyy-MM-dd")),0)),""))</f>
        <v/>
      </c>
      <c r="V105" s="39" t="str">
        <f t="array" ref="V105">IF(OR($A102="",V$5=""),"",IFNA(INDEX(DATA_LOG!$D:$D,MATCH(1,(DATA_LOG!$A:$A=$A102)*(TEXT(DATA_LOG!$B:$B,"yyyy-MM-dd")=TEXT(DATE($P$3,MONTH(1&amp;$N$3),VALUE(LEFT(V$5,2))),"yyyy-MM-dd")),0)),""))</f>
        <v/>
      </c>
      <c r="W105" s="39" t="str">
        <f t="array" ref="W105">IF(OR($A102="",W$5=""),"",IFNA(INDEX(DATA_LOG!$D:$D,MATCH(1,(DATA_LOG!$A:$A=$A102)*(TEXT(DATA_LOG!$B:$B,"yyyy-MM-dd")=TEXT(DATE($P$3,MONTH(1&amp;$N$3),VALUE(LEFT(W$5,2))),"yyyy-MM-dd")),0)),""))</f>
        <v/>
      </c>
      <c r="X105" s="39" t="str">
        <f t="array" ref="X105">IF(OR($A102="",X$5=""),"",IFNA(INDEX(DATA_LOG!$D:$D,MATCH(1,(DATA_LOG!$A:$A=$A102)*(TEXT(DATA_LOG!$B:$B,"yyyy-MM-dd")=TEXT(DATE($P$3,MONTH(1&amp;$N$3),VALUE(LEFT(X$5,2))),"yyyy-MM-dd")),0)),""))</f>
        <v/>
      </c>
      <c r="Y105" s="39" t="str">
        <f t="array" ref="Y105">IF(OR($A102="",Y$5=""),"",IFNA(INDEX(DATA_LOG!$D:$D,MATCH(1,(DATA_LOG!$A:$A=$A102)*(TEXT(DATA_LOG!$B:$B,"yyyy-MM-dd")=TEXT(DATE($P$3,MONTH(1&amp;$N$3),VALUE(LEFT(Y$5,2))),"yyyy-MM-dd")),0)),""))</f>
        <v/>
      </c>
      <c r="Z105" s="39" t="str">
        <f t="array" ref="Z105">IF(OR($A102="",Z$5=""),"",IFNA(INDEX(DATA_LOG!$D:$D,MATCH(1,(DATA_LOG!$A:$A=$A102)*(TEXT(DATA_LOG!$B:$B,"yyyy-MM-dd")=TEXT(DATE($P$3,MONTH(1&amp;$N$3),VALUE(LEFT(Z$5,2))),"yyyy-MM-dd")),0)),""))</f>
        <v/>
      </c>
      <c r="AA105" s="39" t="str">
        <f t="array" ref="AA105">IF(OR($A102="",AA$5=""),"",IFNA(INDEX(DATA_LOG!$D:$D,MATCH(1,(DATA_LOG!$A:$A=$A102)*(TEXT(DATA_LOG!$B:$B,"yyyy-MM-dd")=TEXT(DATE($P$3,MONTH(1&amp;$N$3),VALUE(LEFT(AA$5,2))),"yyyy-MM-dd")),0)),""))</f>
        <v/>
      </c>
      <c r="AB105" s="39" t="str">
        <f t="array" ref="AB105">IF(OR($A102="",AB$5=""),"",IFNA(INDEX(DATA_LOG!$D:$D,MATCH(1,(DATA_LOG!$A:$A=$A102)*(TEXT(DATA_LOG!$B:$B,"yyyy-MM-dd")=TEXT(DATE($P$3,MONTH(1&amp;$N$3),VALUE(LEFT(AB$5,2))),"yyyy-MM-dd")),0)),""))</f>
        <v/>
      </c>
      <c r="AC105" s="39" t="str">
        <f t="array" ref="AC105">IF(OR($A102="",AC$5=""),"",IFNA(INDEX(DATA_LOG!$D:$D,MATCH(1,(DATA_LOG!$A:$A=$A102)*(TEXT(DATA_LOG!$B:$B,"yyyy-MM-dd")=TEXT(DATE($P$3,MONTH(1&amp;$N$3),VALUE(LEFT(AC$5,2))),"yyyy-MM-dd")),0)),""))</f>
        <v/>
      </c>
      <c r="AD105" s="39" t="str">
        <f t="array" ref="AD105">IF(OR($A102="",AD$5=""),"",IFNA(INDEX(DATA_LOG!$D:$D,MATCH(1,(DATA_LOG!$A:$A=$A102)*(TEXT(DATA_LOG!$B:$B,"yyyy-MM-dd")=TEXT(DATE($P$3,MONTH(1&amp;$N$3),VALUE(LEFT(AD$5,2))),"yyyy-MM-dd")),0)),""))</f>
        <v/>
      </c>
      <c r="AE105" s="39" t="str">
        <f t="array" ref="AE105">IF(OR($A102="",AE$5=""),"",IFNA(INDEX(DATA_LOG!$D:$D,MATCH(1,(DATA_LOG!$A:$A=$A102)*(TEXT(DATA_LOG!$B:$B,"yyyy-MM-dd")=TEXT(DATE($P$3,MONTH(1&amp;$N$3),VALUE(LEFT(AE$5,2))),"yyyy-MM-dd")),0)),""))</f>
        <v/>
      </c>
      <c r="AF105" s="39" t="str">
        <f t="array" ref="AF105">IF(OR($A102="",AF$5=""),"",IFNA(INDEX(DATA_LOG!$D:$D,MATCH(1,(DATA_LOG!$A:$A=$A102)*(TEXT(DATA_LOG!$B:$B,"yyyy-MM-dd")=TEXT(DATE($P$3,MONTH(1&amp;$N$3),VALUE(LEFT(AF$5,2))),"yyyy-MM-dd")),0)),""))</f>
        <v/>
      </c>
    </row>
    <row r="106">
      <c r="A106" s="40" t="str">
        <f>IF($A102="", "", "TOTAL")</f>
        <v>TOTAL</v>
      </c>
      <c r="B106" s="41" t="str">
        <f t="shared" ref="B106:AF106" si="15">IF(OR(B104="",B105=""),"",B105-B104)</f>
        <v/>
      </c>
      <c r="C106" s="34" t="str">
        <f t="shared" si="15"/>
        <v/>
      </c>
      <c r="D106" s="34" t="str">
        <f t="shared" si="15"/>
        <v/>
      </c>
      <c r="E106" s="34" t="str">
        <f t="shared" si="15"/>
        <v/>
      </c>
      <c r="F106" s="34" t="str">
        <f t="shared" si="15"/>
        <v/>
      </c>
      <c r="G106" s="34" t="str">
        <f t="shared" si="15"/>
        <v/>
      </c>
      <c r="H106" s="34" t="str">
        <f t="shared" si="15"/>
        <v/>
      </c>
      <c r="I106" s="34" t="str">
        <f t="shared" si="15"/>
        <v/>
      </c>
      <c r="J106" s="34" t="str">
        <f t="shared" si="15"/>
        <v/>
      </c>
      <c r="K106" s="34" t="str">
        <f t="shared" si="15"/>
        <v/>
      </c>
      <c r="L106" s="34" t="str">
        <f t="shared" si="15"/>
        <v/>
      </c>
      <c r="M106" s="34" t="str">
        <f t="shared" si="15"/>
        <v/>
      </c>
      <c r="N106" s="34" t="str">
        <f t="shared" si="15"/>
        <v/>
      </c>
      <c r="O106" s="34" t="str">
        <f t="shared" si="15"/>
        <v/>
      </c>
      <c r="P106" s="34" t="str">
        <f t="shared" si="15"/>
        <v/>
      </c>
      <c r="Q106" s="34" t="str">
        <f t="shared" si="15"/>
        <v/>
      </c>
      <c r="R106" s="34" t="str">
        <f t="shared" si="15"/>
        <v/>
      </c>
      <c r="S106" s="34" t="str">
        <f t="shared" si="15"/>
        <v/>
      </c>
      <c r="T106" s="34" t="str">
        <f t="shared" si="15"/>
        <v/>
      </c>
      <c r="U106" s="34" t="str">
        <f t="shared" si="15"/>
        <v/>
      </c>
      <c r="V106" s="34" t="str">
        <f t="shared" si="15"/>
        <v/>
      </c>
      <c r="W106" s="34" t="str">
        <f t="shared" si="15"/>
        <v/>
      </c>
      <c r="X106" s="34" t="str">
        <f t="shared" si="15"/>
        <v/>
      </c>
      <c r="Y106" s="34" t="str">
        <f t="shared" si="15"/>
        <v/>
      </c>
      <c r="Z106" s="34" t="str">
        <f t="shared" si="15"/>
        <v/>
      </c>
      <c r="AA106" s="34" t="str">
        <f t="shared" si="15"/>
        <v/>
      </c>
      <c r="AB106" s="34" t="str">
        <f t="shared" si="15"/>
        <v/>
      </c>
      <c r="AC106" s="34" t="str">
        <f t="shared" si="15"/>
        <v/>
      </c>
      <c r="AD106" s="34" t="str">
        <f t="shared" si="15"/>
        <v/>
      </c>
      <c r="AE106" s="34" t="str">
        <f t="shared" si="15"/>
        <v/>
      </c>
      <c r="AF106" s="34" t="str">
        <f t="shared" si="15"/>
        <v/>
      </c>
    </row>
    <row r="107">
      <c r="A107" s="42" t="str">
        <f>IF($A102="", "", "STATUS")</f>
        <v>STATUS</v>
      </c>
      <c r="B107" s="43" t="str">
        <f>IFERROR(__xludf.DUMMYFUNCTION("IF($A102="""","""",IF(B$103="""","""",LET(logStatus,IFNA(INDEX(DATA_LOG!$E:$E,MATCH(1,(DATA_LOG!$A:$A=$A102)*(TEXT(DATA_LOG!$B:$B,""yyyy-MM-dd"")=TEXT(DATE($P$3,MONTH(1&amp;$N$3),VALUE(LEFT(B$103,2))),""yyyy-MM-dd"")),0)),""""),selectedDate,DATE($P$3,MONTH(1&amp;"&amp;"$N$3),VALUE(LEFT(B$103,2))),IF(logStatus&lt;&gt;"""",UPPER(logStatus),IF(selectedDate&gt;TODAY(),""-"",IF(REGEXMATCH(B$103,""SUN""),""WO"",IF(B$106&lt;&gt;"""",IF(VALUE(B$106)&gt;=9/24,""FD"",""HD""),""A"")))))))"),"A")</f>
        <v>A</v>
      </c>
      <c r="C107" s="43" t="str">
        <f>IFERROR(__xludf.DUMMYFUNCTION("IF($A102="""","""",IF(C$103="""","""",LET(logStatus,IFNA(INDEX(DATA_LOG!$E:$E,MATCH(1,(DATA_LOG!$A:$A=$A102)*(TEXT(DATA_LOG!$B:$B,""yyyy-MM-dd"")=TEXT(DATE($P$3,MONTH(1&amp;$N$3),VALUE(LEFT(C$103,2))),""yyyy-MM-dd"")),0)),""""),selectedDate,DATE($P$3,MONTH(1&amp;"&amp;"$N$3),VALUE(LEFT(C$103,2))),IF(logStatus&lt;&gt;"""",UPPER(logStatus),IF(selectedDate&gt;TODAY(),""-"",IF(REGEXMATCH(C$103,""SUN""),""WO"",IF(C$106&lt;&gt;"""",IF(VALUE(C$106)&gt;=9/24,""FD"",""HD""),""A"")))))))"),"A")</f>
        <v>A</v>
      </c>
      <c r="D107" s="43" t="str">
        <f>IFERROR(__xludf.DUMMYFUNCTION("IF($A102="""","""",IF(D$103="""","""",LET(logStatus,IFNA(INDEX(DATA_LOG!$E:$E,MATCH(1,(DATA_LOG!$A:$A=$A102)*(TEXT(DATA_LOG!$B:$B,""yyyy-MM-dd"")=TEXT(DATE($P$3,MONTH(1&amp;$N$3),VALUE(LEFT(D$103,2))),""yyyy-MM-dd"")),0)),""""),selectedDate,DATE($P$3,MONTH(1&amp;"&amp;"$N$3),VALUE(LEFT(D$103,2))),IF(logStatus&lt;&gt;"""",UPPER(logStatus),IF(selectedDate&gt;TODAY(),""-"",IF(REGEXMATCH(D$103,""SUN""),""WO"",IF(D$106&lt;&gt;"""",IF(VALUE(D$106)&gt;=9/24,""FD"",""HD""),""A"")))))))"),"A")</f>
        <v>A</v>
      </c>
      <c r="E107" s="43" t="str">
        <f>IFERROR(__xludf.DUMMYFUNCTION("IF($A102="""","""",IF(E$103="""","""",LET(logStatus,IFNA(INDEX(DATA_LOG!$E:$E,MATCH(1,(DATA_LOG!$A:$A=$A102)*(TEXT(DATA_LOG!$B:$B,""yyyy-MM-dd"")=TEXT(DATE($P$3,MONTH(1&amp;$N$3),VALUE(LEFT(E$103,2))),""yyyy-MM-dd"")),0)),""""),selectedDate,DATE($P$3,MONTH(1&amp;"&amp;"$N$3),VALUE(LEFT(E$103,2))),IF(logStatus&lt;&gt;"""",UPPER(logStatus),IF(selectedDate&gt;TODAY(),""-"",IF(REGEXMATCH(E$103,""SUN""),""WO"",IF(E$106&lt;&gt;"""",IF(VALUE(E$106)&gt;=9/24,""FD"",""HD""),""A"")))))))"),"A")</f>
        <v>A</v>
      </c>
      <c r="F107" s="43" t="str">
        <f>IFERROR(__xludf.DUMMYFUNCTION("IF($A102="""","""",IF(F$103="""","""",LET(logStatus,IFNA(INDEX(DATA_LOG!$E:$E,MATCH(1,(DATA_LOG!$A:$A=$A102)*(TEXT(DATA_LOG!$B:$B,""yyyy-MM-dd"")=TEXT(DATE($P$3,MONTH(1&amp;$N$3),VALUE(LEFT(F$103,2))),""yyyy-MM-dd"")),0)),""""),selectedDate,DATE($P$3,MONTH(1&amp;"&amp;"$N$3),VALUE(LEFT(F$103,2))),IF(logStatus&lt;&gt;"""",UPPER(logStatus),IF(selectedDate&gt;TODAY(),""-"",IF(REGEXMATCH(F$103,""SUN""),""WO"",IF(F$106&lt;&gt;"""",IF(VALUE(F$106)&gt;=9/24,""FD"",""HD""),""A"")))))))"),"A")</f>
        <v>A</v>
      </c>
      <c r="G107" s="43" t="str">
        <f>IFERROR(__xludf.DUMMYFUNCTION("IF($A102="""","""",IF(G$103="""","""",LET(logStatus,IFNA(INDEX(DATA_LOG!$E:$E,MATCH(1,(DATA_LOG!$A:$A=$A102)*(TEXT(DATA_LOG!$B:$B,""yyyy-MM-dd"")=TEXT(DATE($P$3,MONTH(1&amp;$N$3),VALUE(LEFT(G$103,2))),""yyyy-MM-dd"")),0)),""""),selectedDate,DATE($P$3,MONTH(1&amp;"&amp;"$N$3),VALUE(LEFT(G$103,2))),IF(logStatus&lt;&gt;"""",UPPER(logStatus),IF(selectedDate&gt;TODAY(),""-"",IF(REGEXMATCH(G$103,""SUN""),""WO"",IF(G$106&lt;&gt;"""",IF(VALUE(G$106)&gt;=9/24,""FD"",""HD""),""A"")))))))"),"WO")</f>
        <v>WO</v>
      </c>
      <c r="H107" s="43" t="str">
        <f>IFERROR(__xludf.DUMMYFUNCTION("IF($A102="""","""",IF(H$103="""","""",LET(logStatus,IFNA(INDEX(DATA_LOG!$E:$E,MATCH(1,(DATA_LOG!$A:$A=$A102)*(TEXT(DATA_LOG!$B:$B,""yyyy-MM-dd"")=TEXT(DATE($P$3,MONTH(1&amp;$N$3),VALUE(LEFT(H$103,2))),""yyyy-MM-dd"")),0)),""""),selectedDate,DATE($P$3,MONTH(1&amp;"&amp;"$N$3),VALUE(LEFT(H$103,2))),IF(logStatus&lt;&gt;"""",UPPER(logStatus),IF(selectedDate&gt;TODAY(),""-"",IF(REGEXMATCH(H$103,""SUN""),""WO"",IF(H$106&lt;&gt;"""",IF(VALUE(H$106)&gt;=9/24,""FD"",""HD""),""A"")))))))"),"A")</f>
        <v>A</v>
      </c>
      <c r="I107" s="43" t="str">
        <f>IFERROR(__xludf.DUMMYFUNCTION("IF($A102="""","""",IF(I$103="""","""",LET(logStatus,IFNA(INDEX(DATA_LOG!$E:$E,MATCH(1,(DATA_LOG!$A:$A=$A102)*(TEXT(DATA_LOG!$B:$B,""yyyy-MM-dd"")=TEXT(DATE($P$3,MONTH(1&amp;$N$3),VALUE(LEFT(I$103,2))),""yyyy-MM-dd"")),0)),""""),selectedDate,DATE($P$3,MONTH(1&amp;"&amp;"$N$3),VALUE(LEFT(I$103,2))),IF(logStatus&lt;&gt;"""",UPPER(logStatus),IF(selectedDate&gt;TODAY(),""-"",IF(REGEXMATCH(I$103,""SUN""),""WO"",IF(I$106&lt;&gt;"""",IF(VALUE(I$106)&gt;=9/24,""FD"",""HD""),""A"")))))))"),"A")</f>
        <v>A</v>
      </c>
      <c r="J107" s="43" t="str">
        <f>IFERROR(__xludf.DUMMYFUNCTION("IF($A102="""","""",IF(J$103="""","""",LET(logStatus,IFNA(INDEX(DATA_LOG!$E:$E,MATCH(1,(DATA_LOG!$A:$A=$A102)*(TEXT(DATA_LOG!$B:$B,""yyyy-MM-dd"")=TEXT(DATE($P$3,MONTH(1&amp;$N$3),VALUE(LEFT(J$103,2))),""yyyy-MM-dd"")),0)),""""),selectedDate,DATE($P$3,MONTH(1&amp;"&amp;"$N$3),VALUE(LEFT(J$103,2))),IF(logStatus&lt;&gt;"""",UPPER(logStatus),IF(selectedDate&gt;TODAY(),""-"",IF(REGEXMATCH(J$103,""SUN""),""WO"",IF(J$106&lt;&gt;"""",IF(VALUE(J$106)&gt;=9/24,""FD"",""HD""),""A"")))))))"),"A")</f>
        <v>A</v>
      </c>
      <c r="K107" s="43" t="str">
        <f>IFERROR(__xludf.DUMMYFUNCTION("IF($A102="""","""",IF(K$103="""","""",LET(logStatus,IFNA(INDEX(DATA_LOG!$E:$E,MATCH(1,(DATA_LOG!$A:$A=$A102)*(TEXT(DATA_LOG!$B:$B,""yyyy-MM-dd"")=TEXT(DATE($P$3,MONTH(1&amp;$N$3),VALUE(LEFT(K$103,2))),""yyyy-MM-dd"")),0)),""""),selectedDate,DATE($P$3,MONTH(1&amp;"&amp;"$N$3),VALUE(LEFT(K$103,2))),IF(logStatus&lt;&gt;"""",UPPER(logStatus),IF(selectedDate&gt;TODAY(),""-"",IF(REGEXMATCH(K$103,""SUN""),""WO"",IF(K$106&lt;&gt;"""",IF(VALUE(K$106)&gt;=9/24,""FD"",""HD""),""A"")))))))"),"A")</f>
        <v>A</v>
      </c>
      <c r="L107" s="43" t="str">
        <f>IFERROR(__xludf.DUMMYFUNCTION("IF($A102="""","""",IF(L$103="""","""",LET(logStatus,IFNA(INDEX(DATA_LOG!$E:$E,MATCH(1,(DATA_LOG!$A:$A=$A102)*(TEXT(DATA_LOG!$B:$B,""yyyy-MM-dd"")=TEXT(DATE($P$3,MONTH(1&amp;$N$3),VALUE(LEFT(L$103,2))),""yyyy-MM-dd"")),0)),""""),selectedDate,DATE($P$3,MONTH(1&amp;"&amp;"$N$3),VALUE(LEFT(L$103,2))),IF(logStatus&lt;&gt;"""",UPPER(logStatus),IF(selectedDate&gt;TODAY(),""-"",IF(REGEXMATCH(L$103,""SUN""),""WO"",IF(L$106&lt;&gt;"""",IF(VALUE(L$106)&gt;=9/24,""FD"",""HD""),""A"")))))))"),"A")</f>
        <v>A</v>
      </c>
      <c r="M107" s="43" t="str">
        <f>IFERROR(__xludf.DUMMYFUNCTION("IF($A102="""","""",IF(M$103="""","""",LET(logStatus,IFNA(INDEX(DATA_LOG!$E:$E,MATCH(1,(DATA_LOG!$A:$A=$A102)*(TEXT(DATA_LOG!$B:$B,""yyyy-MM-dd"")=TEXT(DATE($P$3,MONTH(1&amp;$N$3),VALUE(LEFT(M$103,2))),""yyyy-MM-dd"")),0)),""""),selectedDate,DATE($P$3,MONTH(1&amp;"&amp;"$N$3),VALUE(LEFT(M$103,2))),IF(logStatus&lt;&gt;"""",UPPER(logStatus),IF(selectedDate&gt;TODAY(),""-"",IF(REGEXMATCH(M$103,""SUN""),""WO"",IF(M$106&lt;&gt;"""",IF(VALUE(M$106)&gt;=9/24,""FD"",""HD""),""A"")))))))"),"-")</f>
        <v>-</v>
      </c>
      <c r="N107" s="43" t="str">
        <f>IFERROR(__xludf.DUMMYFUNCTION("IF($A102="""","""",IF(N$103="""","""",LET(logStatus,IFNA(INDEX(DATA_LOG!$E:$E,MATCH(1,(DATA_LOG!$A:$A=$A102)*(TEXT(DATA_LOG!$B:$B,""yyyy-MM-dd"")=TEXT(DATE($P$3,MONTH(1&amp;$N$3),VALUE(LEFT(N$103,2))),""yyyy-MM-dd"")),0)),""""),selectedDate,DATE($P$3,MONTH(1&amp;"&amp;"$N$3),VALUE(LEFT(N$103,2))),IF(logStatus&lt;&gt;"""",UPPER(logStatus),IF(selectedDate&gt;TODAY(),""-"",IF(REGEXMATCH(N$103,""SUN""),""WO"",IF(N$106&lt;&gt;"""",IF(VALUE(N$106)&gt;=9/24,""FD"",""HD""),""A"")))))))"),"-")</f>
        <v>-</v>
      </c>
      <c r="O107" s="43" t="str">
        <f>IFERROR(__xludf.DUMMYFUNCTION("IF($A102="""","""",IF(O$103="""","""",LET(logStatus,IFNA(INDEX(DATA_LOG!$E:$E,MATCH(1,(DATA_LOG!$A:$A=$A102)*(TEXT(DATA_LOG!$B:$B,""yyyy-MM-dd"")=TEXT(DATE($P$3,MONTH(1&amp;$N$3),VALUE(LEFT(O$103,2))),""yyyy-MM-dd"")),0)),""""),selectedDate,DATE($P$3,MONTH(1&amp;"&amp;"$N$3),VALUE(LEFT(O$103,2))),IF(logStatus&lt;&gt;"""",UPPER(logStatus),IF(selectedDate&gt;TODAY(),""-"",IF(REGEXMATCH(O$103,""SUN""),""WO"",IF(O$106&lt;&gt;"""",IF(VALUE(O$106)&gt;=9/24,""FD"",""HD""),""A"")))))))"),"-")</f>
        <v>-</v>
      </c>
      <c r="P107" s="43" t="str">
        <f>IFERROR(__xludf.DUMMYFUNCTION("IF($A102="""","""",IF(P$103="""","""",LET(logStatus,IFNA(INDEX(DATA_LOG!$E:$E,MATCH(1,(DATA_LOG!$A:$A=$A102)*(TEXT(DATA_LOG!$B:$B,""yyyy-MM-dd"")=TEXT(DATE($P$3,MONTH(1&amp;$N$3),VALUE(LEFT(P$103,2))),""yyyy-MM-dd"")),0)),""""),selectedDate,DATE($P$3,MONTH(1&amp;"&amp;"$N$3),VALUE(LEFT(P$103,2))),IF(logStatus&lt;&gt;"""",UPPER(logStatus),IF(selectedDate&gt;TODAY(),""-"",IF(REGEXMATCH(P$103,""SUN""),""WO"",IF(P$106&lt;&gt;"""",IF(VALUE(P$106)&gt;=9/24,""FD"",""HD""),""A"")))))))"),"-")</f>
        <v>-</v>
      </c>
      <c r="Q107" s="43" t="str">
        <f>IFERROR(__xludf.DUMMYFUNCTION("IF($A102="""","""",IF(Q$103="""","""",LET(logStatus,IFNA(INDEX(DATA_LOG!$E:$E,MATCH(1,(DATA_LOG!$A:$A=$A102)*(TEXT(DATA_LOG!$B:$B,""yyyy-MM-dd"")=TEXT(DATE($P$3,MONTH(1&amp;$N$3),VALUE(LEFT(Q$103,2))),""yyyy-MM-dd"")),0)),""""),selectedDate,DATE($P$3,MONTH(1&amp;"&amp;"$N$3),VALUE(LEFT(Q$103,2))),IF(logStatus&lt;&gt;"""",UPPER(logStatus),IF(selectedDate&gt;TODAY(),""-"",IF(REGEXMATCH(Q$103,""SUN""),""WO"",IF(Q$106&lt;&gt;"""",IF(VALUE(Q$106)&gt;=9/24,""FD"",""HD""),""A"")))))))"),"-")</f>
        <v>-</v>
      </c>
      <c r="R107" s="43" t="str">
        <f>IFERROR(__xludf.DUMMYFUNCTION("IF($A102="""","""",IF(R$103="""","""",LET(logStatus,IFNA(INDEX(DATA_LOG!$E:$E,MATCH(1,(DATA_LOG!$A:$A=$A102)*(TEXT(DATA_LOG!$B:$B,""yyyy-MM-dd"")=TEXT(DATE($P$3,MONTH(1&amp;$N$3),VALUE(LEFT(R$103,2))),""yyyy-MM-dd"")),0)),""""),selectedDate,DATE($P$3,MONTH(1&amp;"&amp;"$N$3),VALUE(LEFT(R$103,2))),IF(logStatus&lt;&gt;"""",UPPER(logStatus),IF(selectedDate&gt;TODAY(),""-"",IF(REGEXMATCH(R$103,""SUN""),""WO"",IF(R$106&lt;&gt;"""",IF(VALUE(R$106)&gt;=9/24,""FD"",""HD""),""A"")))))))"),"-")</f>
        <v>-</v>
      </c>
      <c r="S107" s="43" t="str">
        <f>IFERROR(__xludf.DUMMYFUNCTION("IF($A102="""","""",IF(S$103="""","""",LET(logStatus,IFNA(INDEX(DATA_LOG!$E:$E,MATCH(1,(DATA_LOG!$A:$A=$A102)*(TEXT(DATA_LOG!$B:$B,""yyyy-MM-dd"")=TEXT(DATE($P$3,MONTH(1&amp;$N$3),VALUE(LEFT(S$103,2))),""yyyy-MM-dd"")),0)),""""),selectedDate,DATE($P$3,MONTH(1&amp;"&amp;"$N$3),VALUE(LEFT(S$103,2))),IF(logStatus&lt;&gt;"""",UPPER(logStatus),IF(selectedDate&gt;TODAY(),""-"",IF(REGEXMATCH(S$103,""SUN""),""WO"",IF(S$106&lt;&gt;"""",IF(VALUE(S$106)&gt;=9/24,""FD"",""HD""),""A"")))))))"),"-")</f>
        <v>-</v>
      </c>
      <c r="T107" s="43" t="str">
        <f>IFERROR(__xludf.DUMMYFUNCTION("IF($A102="""","""",IF(T$103="""","""",LET(logStatus,IFNA(INDEX(DATA_LOG!$E:$E,MATCH(1,(DATA_LOG!$A:$A=$A102)*(TEXT(DATA_LOG!$B:$B,""yyyy-MM-dd"")=TEXT(DATE($P$3,MONTH(1&amp;$N$3),VALUE(LEFT(T$103,2))),""yyyy-MM-dd"")),0)),""""),selectedDate,DATE($P$3,MONTH(1&amp;"&amp;"$N$3),VALUE(LEFT(T$103,2))),IF(logStatus&lt;&gt;"""",UPPER(logStatus),IF(selectedDate&gt;TODAY(),""-"",IF(REGEXMATCH(T$103,""SUN""),""WO"",IF(T$106&lt;&gt;"""",IF(VALUE(T$106)&gt;=9/24,""FD"",""HD""),""A"")))))))"),"-")</f>
        <v>-</v>
      </c>
      <c r="U107" s="43" t="str">
        <f>IFERROR(__xludf.DUMMYFUNCTION("IF($A102="""","""",IF(U$103="""","""",LET(logStatus,IFNA(INDEX(DATA_LOG!$E:$E,MATCH(1,(DATA_LOG!$A:$A=$A102)*(TEXT(DATA_LOG!$B:$B,""yyyy-MM-dd"")=TEXT(DATE($P$3,MONTH(1&amp;$N$3),VALUE(LEFT(U$103,2))),""yyyy-MM-dd"")),0)),""""),selectedDate,DATE($P$3,MONTH(1&amp;"&amp;"$N$3),VALUE(LEFT(U$103,2))),IF(logStatus&lt;&gt;"""",UPPER(logStatus),IF(selectedDate&gt;TODAY(),""-"",IF(REGEXMATCH(U$103,""SUN""),""WO"",IF(U$106&lt;&gt;"""",IF(VALUE(U$106)&gt;=9/24,""FD"",""HD""),""A"")))))))"),"-")</f>
        <v>-</v>
      </c>
      <c r="V107" s="43" t="str">
        <f>IFERROR(__xludf.DUMMYFUNCTION("IF($A102="""","""",IF(V$103="""","""",LET(logStatus,IFNA(INDEX(DATA_LOG!$E:$E,MATCH(1,(DATA_LOG!$A:$A=$A102)*(TEXT(DATA_LOG!$B:$B,""yyyy-MM-dd"")=TEXT(DATE($P$3,MONTH(1&amp;$N$3),VALUE(LEFT(V$103,2))),""yyyy-MM-dd"")),0)),""""),selectedDate,DATE($P$3,MONTH(1&amp;"&amp;"$N$3),VALUE(LEFT(V$103,2))),IF(logStatus&lt;&gt;"""",UPPER(logStatus),IF(selectedDate&gt;TODAY(),""-"",IF(REGEXMATCH(V$103,""SUN""),""WO"",IF(V$106&lt;&gt;"""",IF(VALUE(V$106)&gt;=9/24,""FD"",""HD""),""A"")))))))"),"-")</f>
        <v>-</v>
      </c>
      <c r="W107" s="43" t="str">
        <f>IFERROR(__xludf.DUMMYFUNCTION("IF($A102="""","""",IF(W$103="""","""",LET(logStatus,IFNA(INDEX(DATA_LOG!$E:$E,MATCH(1,(DATA_LOG!$A:$A=$A102)*(TEXT(DATA_LOG!$B:$B,""yyyy-MM-dd"")=TEXT(DATE($P$3,MONTH(1&amp;$N$3),VALUE(LEFT(W$103,2))),""yyyy-MM-dd"")),0)),""""),selectedDate,DATE($P$3,MONTH(1&amp;"&amp;"$N$3),VALUE(LEFT(W$103,2))),IF(logStatus&lt;&gt;"""",UPPER(logStatus),IF(selectedDate&gt;TODAY(),""-"",IF(REGEXMATCH(W$103,""SUN""),""WO"",IF(W$106&lt;&gt;"""",IF(VALUE(W$106)&gt;=9/24,""FD"",""HD""),""A"")))))))"),"-")</f>
        <v>-</v>
      </c>
      <c r="X107" s="43" t="str">
        <f>IFERROR(__xludf.DUMMYFUNCTION("IF($A102="""","""",IF(X$103="""","""",LET(logStatus,IFNA(INDEX(DATA_LOG!$E:$E,MATCH(1,(DATA_LOG!$A:$A=$A102)*(TEXT(DATA_LOG!$B:$B,""yyyy-MM-dd"")=TEXT(DATE($P$3,MONTH(1&amp;$N$3),VALUE(LEFT(X$103,2))),""yyyy-MM-dd"")),0)),""""),selectedDate,DATE($P$3,MONTH(1&amp;"&amp;"$N$3),VALUE(LEFT(X$103,2))),IF(logStatus&lt;&gt;"""",UPPER(logStatus),IF(selectedDate&gt;TODAY(),""-"",IF(REGEXMATCH(X$103,""SUN""),""WO"",IF(X$106&lt;&gt;"""",IF(VALUE(X$106)&gt;=9/24,""FD"",""HD""),""A"")))))))"),"-")</f>
        <v>-</v>
      </c>
      <c r="Y107" s="43" t="str">
        <f>IFERROR(__xludf.DUMMYFUNCTION("IF($A102="""","""",IF(Y$103="""","""",LET(logStatus,IFNA(INDEX(DATA_LOG!$E:$E,MATCH(1,(DATA_LOG!$A:$A=$A102)*(TEXT(DATA_LOG!$B:$B,""yyyy-MM-dd"")=TEXT(DATE($P$3,MONTH(1&amp;$N$3),VALUE(LEFT(Y$103,2))),""yyyy-MM-dd"")),0)),""""),selectedDate,DATE($P$3,MONTH(1&amp;"&amp;"$N$3),VALUE(LEFT(Y$103,2))),IF(logStatus&lt;&gt;"""",UPPER(logStatus),IF(selectedDate&gt;TODAY(),""-"",IF(REGEXMATCH(Y$103,""SUN""),""WO"",IF(Y$106&lt;&gt;"""",IF(VALUE(Y$106)&gt;=9/24,""FD"",""HD""),""A"")))))))"),"-")</f>
        <v>-</v>
      </c>
      <c r="Z107" s="43" t="str">
        <f>IFERROR(__xludf.DUMMYFUNCTION("IF($A102="""","""",IF(Z$103="""","""",LET(logStatus,IFNA(INDEX(DATA_LOG!$E:$E,MATCH(1,(DATA_LOG!$A:$A=$A102)*(TEXT(DATA_LOG!$B:$B,""yyyy-MM-dd"")=TEXT(DATE($P$3,MONTH(1&amp;$N$3),VALUE(LEFT(Z$103,2))),""yyyy-MM-dd"")),0)),""""),selectedDate,DATE($P$3,MONTH(1&amp;"&amp;"$N$3),VALUE(LEFT(Z$103,2))),IF(logStatus&lt;&gt;"""",UPPER(logStatus),IF(selectedDate&gt;TODAY(),""-"",IF(REGEXMATCH(Z$103,""SUN""),""WO"",IF(Z$106&lt;&gt;"""",IF(VALUE(Z$106)&gt;=9/24,""FD"",""HD""),""A"")))))))"),"-")</f>
        <v>-</v>
      </c>
      <c r="AA107" s="43" t="str">
        <f>IFERROR(__xludf.DUMMYFUNCTION("IF($A102="""","""",IF(AA$103="""","""",LET(logStatus,IFNA(INDEX(DATA_LOG!$E:$E,MATCH(1,(DATA_LOG!$A:$A=$A102)*(TEXT(DATA_LOG!$B:$B,""yyyy-MM-dd"")=TEXT(DATE($P$3,MONTH(1&amp;$N$3),VALUE(LEFT(AA$103,2))),""yyyy-MM-dd"")),0)),""""),selectedDate,DATE($P$3,MONTH("&amp;"1&amp;$N$3),VALUE(LEFT(AA$103,2))),IF(logStatus&lt;&gt;"""",UPPER(logStatus),IF(selectedDate&gt;TODAY(),""-"",IF(REGEXMATCH(AA$103,""SUN""),""WO"",IF(AA$106&lt;&gt;"""",IF(VALUE(AA$106)&gt;=9/24,""FD"",""HD""),""A"")))))))"),"-")</f>
        <v>-</v>
      </c>
      <c r="AB107" s="43" t="str">
        <f>IFERROR(__xludf.DUMMYFUNCTION("IF($A102="""","""",IF(AB$103="""","""",LET(logStatus,IFNA(INDEX(DATA_LOG!$E:$E,MATCH(1,(DATA_LOG!$A:$A=$A102)*(TEXT(DATA_LOG!$B:$B,""yyyy-MM-dd"")=TEXT(DATE($P$3,MONTH(1&amp;$N$3),VALUE(LEFT(AB$103,2))),""yyyy-MM-dd"")),0)),""""),selectedDate,DATE($P$3,MONTH("&amp;"1&amp;$N$3),VALUE(LEFT(AB$103,2))),IF(logStatus&lt;&gt;"""",UPPER(logStatus),IF(selectedDate&gt;TODAY(),""-"",IF(REGEXMATCH(AB$103,""SUN""),""WO"",IF(AB$106&lt;&gt;"""",IF(VALUE(AB$106)&gt;=9/24,""FD"",""HD""),""A"")))))))"),"-")</f>
        <v>-</v>
      </c>
      <c r="AC107" s="43" t="str">
        <f>IFERROR(__xludf.DUMMYFUNCTION("IF($A102="""","""",IF(AC$103="""","""",LET(logStatus,IFNA(INDEX(DATA_LOG!$E:$E,MATCH(1,(DATA_LOG!$A:$A=$A102)*(TEXT(DATA_LOG!$B:$B,""yyyy-MM-dd"")=TEXT(DATE($P$3,MONTH(1&amp;$N$3),VALUE(LEFT(AC$103,2))),""yyyy-MM-dd"")),0)),""""),selectedDate,DATE($P$3,MONTH("&amp;"1&amp;$N$3),VALUE(LEFT(AC$103,2))),IF(logStatus&lt;&gt;"""",UPPER(logStatus),IF(selectedDate&gt;TODAY(),""-"",IF(REGEXMATCH(AC$103,""SUN""),""WO"",IF(AC$106&lt;&gt;"""",IF(VALUE(AC$106)&gt;=9/24,""FD"",""HD""),""A"")))))))"),"-")</f>
        <v>-</v>
      </c>
      <c r="AD107" s="43" t="str">
        <f>IFERROR(__xludf.DUMMYFUNCTION("IF($A102="""","""",IF(AD$103="""","""",LET(logStatus,IFNA(INDEX(DATA_LOG!$E:$E,MATCH(1,(DATA_LOG!$A:$A=$A102)*(TEXT(DATA_LOG!$B:$B,""yyyy-MM-dd"")=TEXT(DATE($P$3,MONTH(1&amp;$N$3),VALUE(LEFT(AD$103,2))),""yyyy-MM-dd"")),0)),""""),selectedDate,DATE($P$3,MONTH("&amp;"1&amp;$N$3),VALUE(LEFT(AD$103,2))),IF(logStatus&lt;&gt;"""",UPPER(logStatus),IF(selectedDate&gt;TODAY(),""-"",IF(REGEXMATCH(AD$103,""SUN""),""WO"",IF(AD$106&lt;&gt;"""",IF(VALUE(AD$106)&gt;=9/24,""FD"",""HD""),""A"")))))))"),"-")</f>
        <v>-</v>
      </c>
      <c r="AE107" s="43" t="str">
        <f>IFERROR(__xludf.DUMMYFUNCTION("IF($A102="""","""",IF(AE$103="""","""",LET(logStatus,IFNA(INDEX(DATA_LOG!$E:$E,MATCH(1,(DATA_LOG!$A:$A=$A102)*(TEXT(DATA_LOG!$B:$B,""yyyy-MM-dd"")=TEXT(DATE($P$3,MONTH(1&amp;$N$3),VALUE(LEFT(AE$103,2))),""yyyy-MM-dd"")),0)),""""),selectedDate,DATE($P$3,MONTH("&amp;"1&amp;$N$3),VALUE(LEFT(AE$103,2))),IF(logStatus&lt;&gt;"""",UPPER(logStatus),IF(selectedDate&gt;TODAY(),""-"",IF(REGEXMATCH(AE$103,""SUN""),""WO"",IF(AE$106&lt;&gt;"""",IF(VALUE(AE$106)&gt;=9/24,""FD"",""HD""),""A"")))))))"),"-")</f>
        <v>-</v>
      </c>
      <c r="AF107" s="43" t="str">
        <f>IFERROR(__xludf.DUMMYFUNCTION("IF($A102="""","""",IF(AF$103="""","""",LET(logStatus,IFNA(INDEX(DATA_LOG!$E:$E,MATCH(1,(DATA_LOG!$A:$A=$A102)*(TEXT(DATA_LOG!$B:$B,""yyyy-MM-dd"")=TEXT(DATE($P$3,MONTH(1&amp;$N$3),VALUE(LEFT(AF$103,2))),""yyyy-MM-dd"")),0)),""""),selectedDate,DATE($P$3,MONTH("&amp;"1&amp;$N$3),VALUE(LEFT(AF$103,2))),IF(logStatus&lt;&gt;"""",UPPER(logStatus),IF(selectedDate&gt;TODAY(),""-"",IF(REGEXMATCH(AF$103,""SUN""),""WO"",IF(AF$106&lt;&gt;"""",IF(VALUE(AF$106)&gt;=9/24,""FD"",""HD""),""A"")))))))"),"")</f>
        <v/>
      </c>
    </row>
    <row r="108">
      <c r="A108" s="44"/>
    </row>
    <row r="109">
      <c r="A109" s="25" t="str">
        <f t="array" ref="A109">INDEX(EMPLOYEE_LIST!$A:$A,INT((ROW()-4)/7)+2)</f>
        <v>BHOJ PRASAD MAKRAM</v>
      </c>
      <c r="B109" s="26"/>
      <c r="C109" s="27"/>
      <c r="D109" s="28" t="str">
        <f>IF(A109="", "", IFERROR(VLOOKUP(A109, EMPLOYEE_LIST!$A:$H, 2, FALSE), ""))</f>
        <v>AYV-84</v>
      </c>
      <c r="E109" s="26"/>
      <c r="F109" s="26"/>
      <c r="G109" s="27"/>
      <c r="H109" s="29" t="str">
        <f>IF(A109="", "", IFERROR(VLOOKUP(A109, EMPLOYEE_LIST!$A:$H, 3, FALSE), ""))</f>
        <v>OPERATOR</v>
      </c>
      <c r="I109" s="26"/>
      <c r="J109" s="26"/>
      <c r="K109" s="27"/>
      <c r="L109" s="29" t="str">
        <f>IF(A109="", "", IFERROR(VLOOKUP(A109, EMPLOYEE_LIST!$A:$H, 4, FALSE), ""))</f>
        <v>AJAX OPERATOR</v>
      </c>
      <c r="M109" s="26"/>
      <c r="N109" s="26"/>
      <c r="O109" s="27"/>
      <c r="P109" s="30" t="str">
        <f>IF($A109="", "", "Full Day: " &amp; COUNTIF(B114:AF114, "FD"))</f>
        <v>Full Day: 0</v>
      </c>
      <c r="Q109" s="26"/>
      <c r="R109" s="27"/>
      <c r="S109" s="31" t="str">
        <f>IF($A109="", "", "HALF Day: " &amp; COUNTIF(B114:AF114, "HD"))</f>
        <v>HALF Day: 0</v>
      </c>
      <c r="T109" s="26"/>
      <c r="U109" s="27"/>
      <c r="V109" s="31" t="str">
        <f>IF($A109="", "", "ABSENT: " &amp; COUNTIF(B114:AF114, "A"))</f>
        <v>ABSENT: 1</v>
      </c>
      <c r="W109" s="26"/>
      <c r="X109" s="27"/>
      <c r="Y109" s="31" t="str">
        <f>IF($A109="", "", "WEEK OFF: " &amp; COUNTIF(B114:AF114, "WO"))</f>
        <v>WEEK OFF: 1</v>
      </c>
      <c r="Z109" s="26"/>
      <c r="AA109" s="27"/>
      <c r="AB109" s="31" t="str">
        <f>IF($A109="", "", "LEAVE: " &amp; COUNTIF(B114:AF114, "L"))</f>
        <v>LEAVE: 0</v>
      </c>
      <c r="AC109" s="27"/>
      <c r="AD109" s="31" t="str">
        <f>IF($A109="", "", "HOLIDAY: " &amp; COUNTIF(B114:AF114, "HL"))</f>
        <v>HOLIDAY: 0</v>
      </c>
      <c r="AE109" s="26"/>
      <c r="AF109" s="27"/>
    </row>
    <row r="110">
      <c r="A110" s="32" t="str">
        <f>IF($A109="", "", "DATE")</f>
        <v>DATE</v>
      </c>
      <c r="B110" s="33" t="str">
        <f t="array" ref="B110:AE110">IF($A109="","",LET(mNum,MONTH(1&amp;$N$3),start,DATE($P$3,mNum,1),days,DAY(EOMONTH(start,0)),MAP(SEQUENCE(1,days,0),LAMBDA(n,UPPER(TEXT(start+n,"dd (ddd)"))))))</f>
        <v>01 (TUE)</v>
      </c>
      <c r="C110" s="34" t="s">
        <v>89</v>
      </c>
      <c r="D110" s="34" t="s">
        <v>90</v>
      </c>
      <c r="E110" s="34" t="s">
        <v>91</v>
      </c>
      <c r="F110" s="34" t="s">
        <v>92</v>
      </c>
      <c r="G110" s="34" t="s">
        <v>93</v>
      </c>
      <c r="H110" s="34" t="s">
        <v>94</v>
      </c>
      <c r="I110" s="34" t="s">
        <v>95</v>
      </c>
      <c r="J110" s="34" t="s">
        <v>96</v>
      </c>
      <c r="K110" s="34" t="s">
        <v>97</v>
      </c>
      <c r="L110" s="34" t="s">
        <v>98</v>
      </c>
      <c r="M110" s="34" t="s">
        <v>99</v>
      </c>
      <c r="N110" s="34" t="s">
        <v>100</v>
      </c>
      <c r="O110" s="34" t="s">
        <v>101</v>
      </c>
      <c r="P110" s="34" t="s">
        <v>102</v>
      </c>
      <c r="Q110" s="34" t="s">
        <v>103</v>
      </c>
      <c r="R110" s="34" t="s">
        <v>104</v>
      </c>
      <c r="S110" s="34" t="s">
        <v>105</v>
      </c>
      <c r="T110" s="34" t="s">
        <v>106</v>
      </c>
      <c r="U110" s="34" t="s">
        <v>107</v>
      </c>
      <c r="V110" s="34" t="s">
        <v>108</v>
      </c>
      <c r="W110" s="34" t="s">
        <v>109</v>
      </c>
      <c r="X110" s="34" t="s">
        <v>110</v>
      </c>
      <c r="Y110" s="34" t="s">
        <v>111</v>
      </c>
      <c r="Z110" s="34" t="s">
        <v>112</v>
      </c>
      <c r="AA110" s="34" t="s">
        <v>113</v>
      </c>
      <c r="AB110" s="34" t="s">
        <v>114</v>
      </c>
      <c r="AC110" s="34" t="s">
        <v>115</v>
      </c>
      <c r="AD110" s="34" t="s">
        <v>116</v>
      </c>
      <c r="AE110" s="34" t="s">
        <v>117</v>
      </c>
      <c r="AF110" s="34"/>
    </row>
    <row r="111">
      <c r="A111" s="37" t="str">
        <f>IF($A109="", "", "IN")</f>
        <v>IN</v>
      </c>
      <c r="B111" s="39" t="str">
        <f t="array" ref="B111">IF(OR($A109="",B$5=""),"",IFNA(INDEX(DATA_LOG!$C:$C,MATCH(1,(DATA_LOG!$A:$A=$A109)*(TEXT(DATA_LOG!$B:$B,"yyyy-MM-dd")=TEXT(DATE($P$3,MONTH(1&amp;$N$3),VALUE(LEFT(B$5,2))),"yyyy-MM-dd")),0)),""))</f>
        <v/>
      </c>
      <c r="C111" s="39" t="str">
        <f t="array" ref="C111">IF(OR($A109="",C$5=""),"",IFNA(INDEX(DATA_LOG!$C:$C,MATCH(1,(DATA_LOG!$A:$A=$A109)*(TEXT(DATA_LOG!$B:$B,"yyyy-MM-dd")=TEXT(DATE($P$3,MONTH(1&amp;$N$3),VALUE(LEFT(C$5,2))),"yyyy-MM-dd")),0)),""))</f>
        <v/>
      </c>
      <c r="D111" s="39" t="str">
        <f t="array" ref="D111">IF(OR($A109="",D$5=""),"",IFNA(INDEX(DATA_LOG!$C:$C,MATCH(1,(DATA_LOG!$A:$A=$A109)*(TEXT(DATA_LOG!$B:$B,"yyyy-MM-dd")=TEXT(DATE($P$3,MONTH(1&amp;$N$3),VALUE(LEFT(D$5,2))),"yyyy-MM-dd")),0)),""))</f>
        <v/>
      </c>
      <c r="E111" s="39" t="str">
        <f t="array" ref="E111">IF(OR($A109="",E$5=""),"",IFNA(INDEX(DATA_LOG!$C:$C,MATCH(1,(DATA_LOG!$A:$A=$A109)*(TEXT(DATA_LOG!$B:$B,"yyyy-MM-dd")=TEXT(DATE($P$3,MONTH(1&amp;$N$3),VALUE(LEFT(E$5,2))),"yyyy-MM-dd")),0)),""))</f>
        <v/>
      </c>
      <c r="F111" s="39" t="str">
        <f t="array" ref="F111">IF(OR($A109="",F$5=""),"",IFNA(INDEX(DATA_LOG!$C:$C,MATCH(1,(DATA_LOG!$A:$A=$A109)*(TEXT(DATA_LOG!$B:$B,"yyyy-MM-dd")=TEXT(DATE($P$3,MONTH(1&amp;$N$3),VALUE(LEFT(F$5,2))),"yyyy-MM-dd")),0)),""))</f>
        <v/>
      </c>
      <c r="G111" s="39" t="str">
        <f t="array" ref="G111">IF(OR($A109="",G$5=""),"",IFNA(INDEX(DATA_LOG!$C:$C,MATCH(1,(DATA_LOG!$A:$A=$A109)*(TEXT(DATA_LOG!$B:$B,"yyyy-MM-dd")=TEXT(DATE($P$3,MONTH(1&amp;$N$3),VALUE(LEFT(G$5,2))),"yyyy-MM-dd")),0)),""))</f>
        <v/>
      </c>
      <c r="H111" s="39" t="str">
        <f t="array" ref="H111">IF(OR($A109="",H$5=""),"",IFNA(INDEX(DATA_LOG!$C:$C,MATCH(1,(DATA_LOG!$A:$A=$A109)*(TEXT(DATA_LOG!$B:$B,"yyyy-MM-dd")=TEXT(DATE($P$3,MONTH(1&amp;$N$3),VALUE(LEFT(H$5,2))),"yyyy-MM-dd")),0)),""))</f>
        <v/>
      </c>
      <c r="I111" s="39" t="str">
        <f t="array" ref="I111">IF(OR($A109="",I$5=""),"",IFNA(INDEX(DATA_LOG!$C:$C,MATCH(1,(DATA_LOG!$A:$A=$A109)*(TEXT(DATA_LOG!$B:$B,"yyyy-MM-dd")=TEXT(DATE($P$3,MONTH(1&amp;$N$3),VALUE(LEFT(I$5,2))),"yyyy-MM-dd")),0)),""))</f>
        <v/>
      </c>
      <c r="J111" s="39" t="str">
        <f t="array" ref="J111">IF(OR($A109="",J$5=""),"",IFNA(INDEX(DATA_LOG!$C:$C,MATCH(1,(DATA_LOG!$A:$A=$A109)*(TEXT(DATA_LOG!$B:$B,"yyyy-MM-dd")=TEXT(DATE($P$3,MONTH(1&amp;$N$3),VALUE(LEFT(J$5,2))),"yyyy-MM-dd")),0)),""))</f>
        <v/>
      </c>
      <c r="K111" s="39" t="str">
        <f t="array" ref="K111">IF(OR($A109="",K$5=""),"",IFNA(INDEX(DATA_LOG!$C:$C,MATCH(1,(DATA_LOG!$A:$A=$A109)*(TEXT(DATA_LOG!$B:$B,"yyyy-MM-dd")=TEXT(DATE($P$3,MONTH(1&amp;$N$3),VALUE(LEFT(K$5,2))),"yyyy-MM-dd")),0)),""))</f>
        <v/>
      </c>
      <c r="L111" s="39" t="str">
        <f t="array" ref="L111">IF(OR($A109="",L$5=""),"",IFNA(INDEX(DATA_LOG!$C:$C,MATCH(1,(DATA_LOG!$A:$A=$A109)*(TEXT(DATA_LOG!$B:$B,"yyyy-MM-dd")=TEXT(DATE($P$3,MONTH(1&amp;$N$3),VALUE(LEFT(L$5,2))),"yyyy-MM-dd")),0)),""))</f>
        <v/>
      </c>
      <c r="M111" s="39" t="str">
        <f t="array" ref="M111">IF(OR($A109="",M$5=""),"",IFNA(INDEX(DATA_LOG!$C:$C,MATCH(1,(DATA_LOG!$A:$A=$A109)*(TEXT(DATA_LOG!$B:$B,"yyyy-MM-dd")=TEXT(DATE($P$3,MONTH(1&amp;$N$3),VALUE(LEFT(M$5,2))),"yyyy-MM-dd")),0)),""))</f>
        <v/>
      </c>
      <c r="N111" s="39" t="str">
        <f t="array" ref="N111">IF(OR($A109="",N$5=""),"",IFNA(INDEX(DATA_LOG!$C:$C,MATCH(1,(DATA_LOG!$A:$A=$A109)*(TEXT(DATA_LOG!$B:$B,"yyyy-MM-dd")=TEXT(DATE($P$3,MONTH(1&amp;$N$3),VALUE(LEFT(N$5,2))),"yyyy-MM-dd")),0)),""))</f>
        <v/>
      </c>
      <c r="O111" s="39" t="str">
        <f t="array" ref="O111">IF(OR($A109="",O$5=""),"",IFNA(INDEX(DATA_LOG!$C:$C,MATCH(1,(DATA_LOG!$A:$A=$A109)*(TEXT(DATA_LOG!$B:$B,"yyyy-MM-dd")=TEXT(DATE($P$3,MONTH(1&amp;$N$3),VALUE(LEFT(O$5,2))),"yyyy-MM-dd")),0)),""))</f>
        <v/>
      </c>
      <c r="P111" s="39" t="str">
        <f t="array" ref="P111">IF(OR($A109="",P$5=""),"",IFNA(INDEX(DATA_LOG!$C:$C,MATCH(1,(DATA_LOG!$A:$A=$A109)*(TEXT(DATA_LOG!$B:$B,"yyyy-MM-dd")=TEXT(DATE($P$3,MONTH(1&amp;$N$3),VALUE(LEFT(P$5,2))),"yyyy-MM-dd")),0)),""))</f>
        <v/>
      </c>
      <c r="Q111" s="39" t="str">
        <f t="array" ref="Q111">IF(OR($A109="",Q$5=""),"",IFNA(INDEX(DATA_LOG!$C:$C,MATCH(1,(DATA_LOG!$A:$A=$A109)*(TEXT(DATA_LOG!$B:$B,"yyyy-MM-dd")=TEXT(DATE($P$3,MONTH(1&amp;$N$3),VALUE(LEFT(Q$5,2))),"yyyy-MM-dd")),0)),""))</f>
        <v/>
      </c>
      <c r="R111" s="39" t="str">
        <f t="array" ref="R111">IF(OR($A109="",R$5=""),"",IFNA(INDEX(DATA_LOG!$C:$C,MATCH(1,(DATA_LOG!$A:$A=$A109)*(TEXT(DATA_LOG!$B:$B,"yyyy-MM-dd")=TEXT(DATE($P$3,MONTH(1&amp;$N$3),VALUE(LEFT(R$5,2))),"yyyy-MM-dd")),0)),""))</f>
        <v/>
      </c>
      <c r="S111" s="39" t="str">
        <f t="array" ref="S111">IF(OR($A109="",S$5=""),"",IFNA(INDEX(DATA_LOG!$C:$C,MATCH(1,(DATA_LOG!$A:$A=$A109)*(TEXT(DATA_LOG!$B:$B,"yyyy-MM-dd")=TEXT(DATE($P$3,MONTH(1&amp;$N$3),VALUE(LEFT(S$5,2))),"yyyy-MM-dd")),0)),""))</f>
        <v/>
      </c>
      <c r="T111" s="39" t="str">
        <f t="array" ref="T111">IF(OR($A109="",T$5=""),"",IFNA(INDEX(DATA_LOG!$C:$C,MATCH(1,(DATA_LOG!$A:$A=$A109)*(TEXT(DATA_LOG!$B:$B,"yyyy-MM-dd")=TEXT(DATE($P$3,MONTH(1&amp;$N$3),VALUE(LEFT(T$5,2))),"yyyy-MM-dd")),0)),""))</f>
        <v/>
      </c>
      <c r="U111" s="39" t="str">
        <f t="array" ref="U111">IF(OR($A109="",U$5=""),"",IFNA(INDEX(DATA_LOG!$C:$C,MATCH(1,(DATA_LOG!$A:$A=$A109)*(TEXT(DATA_LOG!$B:$B,"yyyy-MM-dd")=TEXT(DATE($P$3,MONTH(1&amp;$N$3),VALUE(LEFT(U$5,2))),"yyyy-MM-dd")),0)),""))</f>
        <v/>
      </c>
      <c r="V111" s="39" t="str">
        <f t="array" ref="V111">IF(OR($A109="",V$5=""),"",IFNA(INDEX(DATA_LOG!$C:$C,MATCH(1,(DATA_LOG!$A:$A=$A109)*(TEXT(DATA_LOG!$B:$B,"yyyy-MM-dd")=TEXT(DATE($P$3,MONTH(1&amp;$N$3),VALUE(LEFT(V$5,2))),"yyyy-MM-dd")),0)),""))</f>
        <v/>
      </c>
      <c r="W111" s="39" t="str">
        <f t="array" ref="W111">IF(OR($A109="",W$5=""),"",IFNA(INDEX(DATA_LOG!$C:$C,MATCH(1,(DATA_LOG!$A:$A=$A109)*(TEXT(DATA_LOG!$B:$B,"yyyy-MM-dd")=TEXT(DATE($P$3,MONTH(1&amp;$N$3),VALUE(LEFT(W$5,2))),"yyyy-MM-dd")),0)),""))</f>
        <v/>
      </c>
      <c r="X111" s="39" t="str">
        <f t="array" ref="X111">IF(OR($A109="",X$5=""),"",IFNA(INDEX(DATA_LOG!$C:$C,MATCH(1,(DATA_LOG!$A:$A=$A109)*(TEXT(DATA_LOG!$B:$B,"yyyy-MM-dd")=TEXT(DATE($P$3,MONTH(1&amp;$N$3),VALUE(LEFT(X$5,2))),"yyyy-MM-dd")),0)),""))</f>
        <v/>
      </c>
      <c r="Y111" s="39" t="str">
        <f t="array" ref="Y111">IF(OR($A109="",Y$5=""),"",IFNA(INDEX(DATA_LOG!$C:$C,MATCH(1,(DATA_LOG!$A:$A=$A109)*(TEXT(DATA_LOG!$B:$B,"yyyy-MM-dd")=TEXT(DATE($P$3,MONTH(1&amp;$N$3),VALUE(LEFT(Y$5,2))),"yyyy-MM-dd")),0)),""))</f>
        <v/>
      </c>
      <c r="Z111" s="39" t="str">
        <f t="array" ref="Z111">IF(OR($A109="",Z$5=""),"",IFNA(INDEX(DATA_LOG!$C:$C,MATCH(1,(DATA_LOG!$A:$A=$A109)*(TEXT(DATA_LOG!$B:$B,"yyyy-MM-dd")=TEXT(DATE($P$3,MONTH(1&amp;$N$3),VALUE(LEFT(Z$5,2))),"yyyy-MM-dd")),0)),""))</f>
        <v/>
      </c>
      <c r="AA111" s="39" t="str">
        <f t="array" ref="AA111">IF(OR($A109="",AA$5=""),"",IFNA(INDEX(DATA_LOG!$C:$C,MATCH(1,(DATA_LOG!$A:$A=$A109)*(TEXT(DATA_LOG!$B:$B,"yyyy-MM-dd")=TEXT(DATE($P$3,MONTH(1&amp;$N$3),VALUE(LEFT(AA$5,2))),"yyyy-MM-dd")),0)),""))</f>
        <v/>
      </c>
      <c r="AB111" s="39" t="str">
        <f t="array" ref="AB111">IF(OR($A109="",AB$5=""),"",IFNA(INDEX(DATA_LOG!$C:$C,MATCH(1,(DATA_LOG!$A:$A=$A109)*(TEXT(DATA_LOG!$B:$B,"yyyy-MM-dd")=TEXT(DATE($P$3,MONTH(1&amp;$N$3),VALUE(LEFT(AB$5,2))),"yyyy-MM-dd")),0)),""))</f>
        <v/>
      </c>
      <c r="AC111" s="39" t="str">
        <f t="array" ref="AC111">IF(OR($A109="",AC$5=""),"",IFNA(INDEX(DATA_LOG!$C:$C,MATCH(1,(DATA_LOG!$A:$A=$A109)*(TEXT(DATA_LOG!$B:$B,"yyyy-MM-dd")=TEXT(DATE($P$3,MONTH(1&amp;$N$3),VALUE(LEFT(AC$5,2))),"yyyy-MM-dd")),0)),""))</f>
        <v/>
      </c>
      <c r="AD111" s="39" t="str">
        <f t="array" ref="AD111">IF(OR($A109="",AD$5=""),"",IFNA(INDEX(DATA_LOG!$C:$C,MATCH(1,(DATA_LOG!$A:$A=$A109)*(TEXT(DATA_LOG!$B:$B,"yyyy-MM-dd")=TEXT(DATE($P$3,MONTH(1&amp;$N$3),VALUE(LEFT(AD$5,2))),"yyyy-MM-dd")),0)),""))</f>
        <v/>
      </c>
      <c r="AE111" s="39" t="str">
        <f t="array" ref="AE111">IF(OR($A109="",AE$5=""),"",IFNA(INDEX(DATA_LOG!$C:$C,MATCH(1,(DATA_LOG!$A:$A=$A109)*(TEXT(DATA_LOG!$B:$B,"yyyy-MM-dd")=TEXT(DATE($P$3,MONTH(1&amp;$N$3),VALUE(LEFT(AE$5,2))),"yyyy-MM-dd")),0)),""))</f>
        <v/>
      </c>
      <c r="AF111" s="39" t="str">
        <f t="array" ref="AF111">IF(OR($A109="",AF$5=""),"",IFNA(INDEX(DATA_LOG!$C:$C,MATCH(1,(DATA_LOG!$A:$A=$A109)*(TEXT(DATA_LOG!$B:$B,"yyyy-MM-dd")=TEXT(DATE($P$3,MONTH(1&amp;$N$3),VALUE(LEFT(AF$5,2))),"yyyy-MM-dd")),0)),""))</f>
        <v/>
      </c>
    </row>
    <row r="112">
      <c r="A112" s="37" t="str">
        <f>IF($A109="", "", "OUT")</f>
        <v>OUT</v>
      </c>
      <c r="B112" s="39" t="str">
        <f t="array" ref="B112">IF(OR($A109="",B$5=""),"",IFNA(INDEX(DATA_LOG!$D:$D,MATCH(1,(DATA_LOG!$A:$A=$A109)*(TEXT(DATA_LOG!$B:$B,"yyyy-MM-dd")=TEXT(DATE($P$3,MONTH(1&amp;$N$3),VALUE(LEFT(B$5,2))),"yyyy-MM-dd")),0)),""))</f>
        <v/>
      </c>
      <c r="C112" s="39" t="str">
        <f t="array" ref="C112">IF(OR($A109="",C$5=""),"",IFNA(INDEX(DATA_LOG!$D:$D,MATCH(1,(DATA_LOG!$A:$A=$A109)*(TEXT(DATA_LOG!$B:$B,"yyyy-MM-dd")=TEXT(DATE($P$3,MONTH(1&amp;$N$3),VALUE(LEFT(C$5,2))),"yyyy-MM-dd")),0)),""))</f>
        <v/>
      </c>
      <c r="D112" s="39" t="str">
        <f t="array" ref="D112">IF(OR($A109="",D$5=""),"",IFNA(INDEX(DATA_LOG!$D:$D,MATCH(1,(DATA_LOG!$A:$A=$A109)*(TEXT(DATA_LOG!$B:$B,"yyyy-MM-dd")=TEXT(DATE($P$3,MONTH(1&amp;$N$3),VALUE(LEFT(D$5,2))),"yyyy-MM-dd")),0)),""))</f>
        <v/>
      </c>
      <c r="E112" s="39" t="str">
        <f t="array" ref="E112">IF(OR($A109="",E$5=""),"",IFNA(INDEX(DATA_LOG!$D:$D,MATCH(1,(DATA_LOG!$A:$A=$A109)*(TEXT(DATA_LOG!$B:$B,"yyyy-MM-dd")=TEXT(DATE($P$3,MONTH(1&amp;$N$3),VALUE(LEFT(E$5,2))),"yyyy-MM-dd")),0)),""))</f>
        <v/>
      </c>
      <c r="F112" s="39" t="str">
        <f t="array" ref="F112">IF(OR($A109="",F$5=""),"",IFNA(INDEX(DATA_LOG!$D:$D,MATCH(1,(DATA_LOG!$A:$A=$A109)*(TEXT(DATA_LOG!$B:$B,"yyyy-MM-dd")=TEXT(DATE($P$3,MONTH(1&amp;$N$3),VALUE(LEFT(F$5,2))),"yyyy-MM-dd")),0)),""))</f>
        <v/>
      </c>
      <c r="G112" s="39" t="str">
        <f t="array" ref="G112">IF(OR($A109="",G$5=""),"",IFNA(INDEX(DATA_LOG!$D:$D,MATCH(1,(DATA_LOG!$A:$A=$A109)*(TEXT(DATA_LOG!$B:$B,"yyyy-MM-dd")=TEXT(DATE($P$3,MONTH(1&amp;$N$3),VALUE(LEFT(G$5,2))),"yyyy-MM-dd")),0)),""))</f>
        <v/>
      </c>
      <c r="H112" s="39" t="str">
        <f t="array" ref="H112">IF(OR($A109="",H$5=""),"",IFNA(INDEX(DATA_LOG!$D:$D,MATCH(1,(DATA_LOG!$A:$A=$A109)*(TEXT(DATA_LOG!$B:$B,"yyyy-MM-dd")=TEXT(DATE($P$3,MONTH(1&amp;$N$3),VALUE(LEFT(H$5,2))),"yyyy-MM-dd")),0)),""))</f>
        <v/>
      </c>
      <c r="I112" s="39" t="str">
        <f t="array" ref="I112">IF(OR($A109="",I$5=""),"",IFNA(INDEX(DATA_LOG!$D:$D,MATCH(1,(DATA_LOG!$A:$A=$A109)*(TEXT(DATA_LOG!$B:$B,"yyyy-MM-dd")=TEXT(DATE($P$3,MONTH(1&amp;$N$3),VALUE(LEFT(I$5,2))),"yyyy-MM-dd")),0)),""))</f>
        <v/>
      </c>
      <c r="J112" s="39" t="str">
        <f t="array" ref="J112">IF(OR($A109="",J$5=""),"",IFNA(INDEX(DATA_LOG!$D:$D,MATCH(1,(DATA_LOG!$A:$A=$A109)*(TEXT(DATA_LOG!$B:$B,"yyyy-MM-dd")=TEXT(DATE($P$3,MONTH(1&amp;$N$3),VALUE(LEFT(J$5,2))),"yyyy-MM-dd")),0)),""))</f>
        <v/>
      </c>
      <c r="K112" s="39" t="str">
        <f t="array" ref="K112">IF(OR($A109="",K$5=""),"",IFNA(INDEX(DATA_LOG!$D:$D,MATCH(1,(DATA_LOG!$A:$A=$A109)*(TEXT(DATA_LOG!$B:$B,"yyyy-MM-dd")=TEXT(DATE($P$3,MONTH(1&amp;$N$3),VALUE(LEFT(K$5,2))),"yyyy-MM-dd")),0)),""))</f>
        <v/>
      </c>
      <c r="L112" s="39" t="str">
        <f t="array" ref="L112">IF(OR($A109="",L$5=""),"",IFNA(INDEX(DATA_LOG!$D:$D,MATCH(1,(DATA_LOG!$A:$A=$A109)*(TEXT(DATA_LOG!$B:$B,"yyyy-MM-dd")=TEXT(DATE($P$3,MONTH(1&amp;$N$3),VALUE(LEFT(L$5,2))),"yyyy-MM-dd")),0)),""))</f>
        <v/>
      </c>
      <c r="M112" s="39" t="str">
        <f t="array" ref="M112">IF(OR($A109="",M$5=""),"",IFNA(INDEX(DATA_LOG!$D:$D,MATCH(1,(DATA_LOG!$A:$A=$A109)*(TEXT(DATA_LOG!$B:$B,"yyyy-MM-dd")=TEXT(DATE($P$3,MONTH(1&amp;$N$3),VALUE(LEFT(M$5,2))),"yyyy-MM-dd")),0)),""))</f>
        <v/>
      </c>
      <c r="N112" s="39" t="str">
        <f t="array" ref="N112">IF(OR($A109="",N$5=""),"",IFNA(INDEX(DATA_LOG!$D:$D,MATCH(1,(DATA_LOG!$A:$A=$A109)*(TEXT(DATA_LOG!$B:$B,"yyyy-MM-dd")=TEXT(DATE($P$3,MONTH(1&amp;$N$3),VALUE(LEFT(N$5,2))),"yyyy-MM-dd")),0)),""))</f>
        <v/>
      </c>
      <c r="O112" s="39" t="str">
        <f t="array" ref="O112">IF(OR($A109="",O$5=""),"",IFNA(INDEX(DATA_LOG!$D:$D,MATCH(1,(DATA_LOG!$A:$A=$A109)*(TEXT(DATA_LOG!$B:$B,"yyyy-MM-dd")=TEXT(DATE($P$3,MONTH(1&amp;$N$3),VALUE(LEFT(O$5,2))),"yyyy-MM-dd")),0)),""))</f>
        <v/>
      </c>
      <c r="P112" s="39" t="str">
        <f t="array" ref="P112">IF(OR($A109="",P$5=""),"",IFNA(INDEX(DATA_LOG!$D:$D,MATCH(1,(DATA_LOG!$A:$A=$A109)*(TEXT(DATA_LOG!$B:$B,"yyyy-MM-dd")=TEXT(DATE($P$3,MONTH(1&amp;$N$3),VALUE(LEFT(P$5,2))),"yyyy-MM-dd")),0)),""))</f>
        <v/>
      </c>
      <c r="Q112" s="39" t="str">
        <f t="array" ref="Q112">IF(OR($A109="",Q$5=""),"",IFNA(INDEX(DATA_LOG!$D:$D,MATCH(1,(DATA_LOG!$A:$A=$A109)*(TEXT(DATA_LOG!$B:$B,"yyyy-MM-dd")=TEXT(DATE($P$3,MONTH(1&amp;$N$3),VALUE(LEFT(Q$5,2))),"yyyy-MM-dd")),0)),""))</f>
        <v/>
      </c>
      <c r="R112" s="39" t="str">
        <f t="array" ref="R112">IF(OR($A109="",R$5=""),"",IFNA(INDEX(DATA_LOG!$D:$D,MATCH(1,(DATA_LOG!$A:$A=$A109)*(TEXT(DATA_LOG!$B:$B,"yyyy-MM-dd")=TEXT(DATE($P$3,MONTH(1&amp;$N$3),VALUE(LEFT(R$5,2))),"yyyy-MM-dd")),0)),""))</f>
        <v/>
      </c>
      <c r="S112" s="39" t="str">
        <f t="array" ref="S112">IF(OR($A109="",S$5=""),"",IFNA(INDEX(DATA_LOG!$D:$D,MATCH(1,(DATA_LOG!$A:$A=$A109)*(TEXT(DATA_LOG!$B:$B,"yyyy-MM-dd")=TEXT(DATE($P$3,MONTH(1&amp;$N$3),VALUE(LEFT(S$5,2))),"yyyy-MM-dd")),0)),""))</f>
        <v/>
      </c>
      <c r="T112" s="39" t="str">
        <f t="array" ref="T112">IF(OR($A109="",T$5=""),"",IFNA(INDEX(DATA_LOG!$D:$D,MATCH(1,(DATA_LOG!$A:$A=$A109)*(TEXT(DATA_LOG!$B:$B,"yyyy-MM-dd")=TEXT(DATE($P$3,MONTH(1&amp;$N$3),VALUE(LEFT(T$5,2))),"yyyy-MM-dd")),0)),""))</f>
        <v/>
      </c>
      <c r="U112" s="39" t="str">
        <f t="array" ref="U112">IF(OR($A109="",U$5=""),"",IFNA(INDEX(DATA_LOG!$D:$D,MATCH(1,(DATA_LOG!$A:$A=$A109)*(TEXT(DATA_LOG!$B:$B,"yyyy-MM-dd")=TEXT(DATE($P$3,MONTH(1&amp;$N$3),VALUE(LEFT(U$5,2))),"yyyy-MM-dd")),0)),""))</f>
        <v/>
      </c>
      <c r="V112" s="39" t="str">
        <f t="array" ref="V112">IF(OR($A109="",V$5=""),"",IFNA(INDEX(DATA_LOG!$D:$D,MATCH(1,(DATA_LOG!$A:$A=$A109)*(TEXT(DATA_LOG!$B:$B,"yyyy-MM-dd")=TEXT(DATE($P$3,MONTH(1&amp;$N$3),VALUE(LEFT(V$5,2))),"yyyy-MM-dd")),0)),""))</f>
        <v/>
      </c>
      <c r="W112" s="39" t="str">
        <f t="array" ref="W112">IF(OR($A109="",W$5=""),"",IFNA(INDEX(DATA_LOG!$D:$D,MATCH(1,(DATA_LOG!$A:$A=$A109)*(TEXT(DATA_LOG!$B:$B,"yyyy-MM-dd")=TEXT(DATE($P$3,MONTH(1&amp;$N$3),VALUE(LEFT(W$5,2))),"yyyy-MM-dd")),0)),""))</f>
        <v/>
      </c>
      <c r="X112" s="39" t="str">
        <f t="array" ref="X112">IF(OR($A109="",X$5=""),"",IFNA(INDEX(DATA_LOG!$D:$D,MATCH(1,(DATA_LOG!$A:$A=$A109)*(TEXT(DATA_LOG!$B:$B,"yyyy-MM-dd")=TEXT(DATE($P$3,MONTH(1&amp;$N$3),VALUE(LEFT(X$5,2))),"yyyy-MM-dd")),0)),""))</f>
        <v/>
      </c>
      <c r="Y112" s="39" t="str">
        <f t="array" ref="Y112">IF(OR($A109="",Y$5=""),"",IFNA(INDEX(DATA_LOG!$D:$D,MATCH(1,(DATA_LOG!$A:$A=$A109)*(TEXT(DATA_LOG!$B:$B,"yyyy-MM-dd")=TEXT(DATE($P$3,MONTH(1&amp;$N$3),VALUE(LEFT(Y$5,2))),"yyyy-MM-dd")),0)),""))</f>
        <v/>
      </c>
      <c r="Z112" s="39" t="str">
        <f t="array" ref="Z112">IF(OR($A109="",Z$5=""),"",IFNA(INDEX(DATA_LOG!$D:$D,MATCH(1,(DATA_LOG!$A:$A=$A109)*(TEXT(DATA_LOG!$B:$B,"yyyy-MM-dd")=TEXT(DATE($P$3,MONTH(1&amp;$N$3),VALUE(LEFT(Z$5,2))),"yyyy-MM-dd")),0)),""))</f>
        <v/>
      </c>
      <c r="AA112" s="39" t="str">
        <f t="array" ref="AA112">IF(OR($A109="",AA$5=""),"",IFNA(INDEX(DATA_LOG!$D:$D,MATCH(1,(DATA_LOG!$A:$A=$A109)*(TEXT(DATA_LOG!$B:$B,"yyyy-MM-dd")=TEXT(DATE($P$3,MONTH(1&amp;$N$3),VALUE(LEFT(AA$5,2))),"yyyy-MM-dd")),0)),""))</f>
        <v/>
      </c>
      <c r="AB112" s="39" t="str">
        <f t="array" ref="AB112">IF(OR($A109="",AB$5=""),"",IFNA(INDEX(DATA_LOG!$D:$D,MATCH(1,(DATA_LOG!$A:$A=$A109)*(TEXT(DATA_LOG!$B:$B,"yyyy-MM-dd")=TEXT(DATE($P$3,MONTH(1&amp;$N$3),VALUE(LEFT(AB$5,2))),"yyyy-MM-dd")),0)),""))</f>
        <v/>
      </c>
      <c r="AC112" s="39" t="str">
        <f t="array" ref="AC112">IF(OR($A109="",AC$5=""),"",IFNA(INDEX(DATA_LOG!$D:$D,MATCH(1,(DATA_LOG!$A:$A=$A109)*(TEXT(DATA_LOG!$B:$B,"yyyy-MM-dd")=TEXT(DATE($P$3,MONTH(1&amp;$N$3),VALUE(LEFT(AC$5,2))),"yyyy-MM-dd")),0)),""))</f>
        <v/>
      </c>
      <c r="AD112" s="39" t="str">
        <f t="array" ref="AD112">IF(OR($A109="",AD$5=""),"",IFNA(INDEX(DATA_LOG!$D:$D,MATCH(1,(DATA_LOG!$A:$A=$A109)*(TEXT(DATA_LOG!$B:$B,"yyyy-MM-dd")=TEXT(DATE($P$3,MONTH(1&amp;$N$3),VALUE(LEFT(AD$5,2))),"yyyy-MM-dd")),0)),""))</f>
        <v/>
      </c>
      <c r="AE112" s="39" t="str">
        <f t="array" ref="AE112">IF(OR($A109="",AE$5=""),"",IFNA(INDEX(DATA_LOG!$D:$D,MATCH(1,(DATA_LOG!$A:$A=$A109)*(TEXT(DATA_LOG!$B:$B,"yyyy-MM-dd")=TEXT(DATE($P$3,MONTH(1&amp;$N$3),VALUE(LEFT(AE$5,2))),"yyyy-MM-dd")),0)),""))</f>
        <v/>
      </c>
      <c r="AF112" s="39" t="str">
        <f t="array" ref="AF112">IF(OR($A109="",AF$5=""),"",IFNA(INDEX(DATA_LOG!$D:$D,MATCH(1,(DATA_LOG!$A:$A=$A109)*(TEXT(DATA_LOG!$B:$B,"yyyy-MM-dd")=TEXT(DATE($P$3,MONTH(1&amp;$N$3),VALUE(LEFT(AF$5,2))),"yyyy-MM-dd")),0)),""))</f>
        <v/>
      </c>
    </row>
    <row r="113">
      <c r="A113" s="40" t="str">
        <f>IF($A109="", "", "TOTAL")</f>
        <v>TOTAL</v>
      </c>
      <c r="B113" s="41" t="str">
        <f t="shared" ref="B113:AF113" si="16">IF(AND(B111&lt;&gt;"",B112&lt;&gt;""),TEXT(MOD(B112-B111,1),"hh:mm"),"")</f>
        <v/>
      </c>
      <c r="C113" s="34" t="str">
        <f t="shared" si="16"/>
        <v/>
      </c>
      <c r="D113" s="34" t="str">
        <f t="shared" si="16"/>
        <v/>
      </c>
      <c r="E113" s="34" t="str">
        <f t="shared" si="16"/>
        <v/>
      </c>
      <c r="F113" s="34" t="str">
        <f t="shared" si="16"/>
        <v/>
      </c>
      <c r="G113" s="34" t="str">
        <f t="shared" si="16"/>
        <v/>
      </c>
      <c r="H113" s="34" t="str">
        <f t="shared" si="16"/>
        <v/>
      </c>
      <c r="I113" s="34" t="str">
        <f t="shared" si="16"/>
        <v/>
      </c>
      <c r="J113" s="34" t="str">
        <f t="shared" si="16"/>
        <v/>
      </c>
      <c r="K113" s="34" t="str">
        <f t="shared" si="16"/>
        <v/>
      </c>
      <c r="L113" s="34" t="str">
        <f t="shared" si="16"/>
        <v/>
      </c>
      <c r="M113" s="34" t="str">
        <f t="shared" si="16"/>
        <v/>
      </c>
      <c r="N113" s="34" t="str">
        <f t="shared" si="16"/>
        <v/>
      </c>
      <c r="O113" s="34" t="str">
        <f t="shared" si="16"/>
        <v/>
      </c>
      <c r="P113" s="34" t="str">
        <f t="shared" si="16"/>
        <v/>
      </c>
      <c r="Q113" s="34" t="str">
        <f t="shared" si="16"/>
        <v/>
      </c>
      <c r="R113" s="34" t="str">
        <f t="shared" si="16"/>
        <v/>
      </c>
      <c r="S113" s="34" t="str">
        <f t="shared" si="16"/>
        <v/>
      </c>
      <c r="T113" s="34" t="str">
        <f t="shared" si="16"/>
        <v/>
      </c>
      <c r="U113" s="34" t="str">
        <f t="shared" si="16"/>
        <v/>
      </c>
      <c r="V113" s="34" t="str">
        <f t="shared" si="16"/>
        <v/>
      </c>
      <c r="W113" s="34" t="str">
        <f t="shared" si="16"/>
        <v/>
      </c>
      <c r="X113" s="34" t="str">
        <f t="shared" si="16"/>
        <v/>
      </c>
      <c r="Y113" s="34" t="str">
        <f t="shared" si="16"/>
        <v/>
      </c>
      <c r="Z113" s="34" t="str">
        <f t="shared" si="16"/>
        <v/>
      </c>
      <c r="AA113" s="34" t="str">
        <f t="shared" si="16"/>
        <v/>
      </c>
      <c r="AB113" s="34" t="str">
        <f t="shared" si="16"/>
        <v/>
      </c>
      <c r="AC113" s="34" t="str">
        <f t="shared" si="16"/>
        <v/>
      </c>
      <c r="AD113" s="34" t="str">
        <f t="shared" si="16"/>
        <v/>
      </c>
      <c r="AE113" s="34" t="str">
        <f t="shared" si="16"/>
        <v/>
      </c>
      <c r="AF113" s="34" t="str">
        <f t="shared" si="16"/>
        <v/>
      </c>
    </row>
    <row r="114">
      <c r="A114" s="42" t="str">
        <f>IF($A109="", "", "STATUS")</f>
        <v>STATUS</v>
      </c>
      <c r="B114" s="43" t="str">
        <f>IFERROR(__xludf.DUMMYFUNCTION("IF($A109="""","""",IF(B$5="""","""",LET(logStatus,IFNA(INDEX(DATA_LOG!$E:$E,MATCH(1,(DATA_LOG!$A:$A=$A109)*(TEXT(DATA_LOG!$B:$B,""yyyy-MM-dd"")=TEXT(DATE($P$3,MONTH(1&amp;$N$3),VALUE(LEFT(B$5,2))),""yyyy-MM-dd"")),0)),""""),IF(logStatus&lt;&gt;"""",UPPER(logStatus)"&amp;",IF(B113&lt;&gt;"""",IF(VALUE(B113)&gt;=9/24,""FD"",""HD""),IF(REGEXMATCH(B$5,""SUN""),""WO"",""-""))))))"),"-")</f>
        <v>-</v>
      </c>
      <c r="C114" s="43" t="str">
        <f>IFERROR(__xludf.DUMMYFUNCTION("IF($A109="""","""",IF(C$5="""","""",LET(logStatus,IFNA(INDEX(DATA_LOG!$E:$E,MATCH(1,(DATA_LOG!$A:$A=$A109)*(TEXT(DATA_LOG!$B:$B,""yyyy-MM-dd"")=TEXT(DATE($P$3,MONTH(1&amp;$N$3),VALUE(LEFT(C$5,2))),""yyyy-MM-dd"")),0)),""""),IF(logStatus&lt;&gt;"""",UPPER(logStatus)"&amp;",IF(C113&lt;&gt;"""",IF(VALUE(C113)&gt;=9/24,""FD"",""HD""),IF(REGEXMATCH(C$5,""SUN""),""WO"",""-""))))))"),"-")</f>
        <v>-</v>
      </c>
      <c r="D114" s="43" t="str">
        <f>IFERROR(__xludf.DUMMYFUNCTION("IF($A109="""","""",IF(D$5="""","""",LET(logStatus,IFNA(INDEX(DATA_LOG!$E:$E,MATCH(1,(DATA_LOG!$A:$A=$A109)*(TEXT(DATA_LOG!$B:$B,""yyyy-MM-dd"")=TEXT(DATE($P$3,MONTH(1&amp;$N$3),VALUE(LEFT(D$5,2))),""yyyy-MM-dd"")),0)),""""),IF(logStatus&lt;&gt;"""",UPPER(logStatus)"&amp;",IF(D113&lt;&gt;"""",IF(VALUE(D113)&gt;=9/24,""FD"",""HD""),IF(REGEXMATCH(D$5,""SUN""),""WO"",""-""))))))"),"-")</f>
        <v>-</v>
      </c>
      <c r="E114" s="43" t="str">
        <f>IFERROR(__xludf.DUMMYFUNCTION("IF($A109="""","""",IF(E$5="""","""",LET(logStatus,IFNA(INDEX(DATA_LOG!$E:$E,MATCH(1,(DATA_LOG!$A:$A=$A109)*(TEXT(DATA_LOG!$B:$B,""yyyy-MM-dd"")=TEXT(DATE($P$3,MONTH(1&amp;$N$3),VALUE(LEFT(E$5,2))),""yyyy-MM-dd"")),0)),""""),IF(logStatus&lt;&gt;"""",UPPER(logStatus)"&amp;",IF(E113&lt;&gt;"""",IF(VALUE(E113)&gt;=9/24,""FD"",""HD""),IF(REGEXMATCH(E$5,""SUN""),""WO"",""-""))))))"),"-")</f>
        <v>-</v>
      </c>
      <c r="F114" s="43" t="str">
        <f>IFERROR(__xludf.DUMMYFUNCTION("IF($A109="""","""",IF(F$110="""","""",LET(logStatus,IFNA(INDEX(DATA_LOG!$E:$E,MATCH(1,(DATA_LOG!$A:$A=$A109)*(TEXT(DATA_LOG!$B:$B,""yyyy-MM-dd"")=TEXT(DATE($P$3,MONTH(1&amp;$N$3),VALUE(LEFT(F$110,2))),""yyyy-MM-dd"")),0)),""""),selectedDate,DATE($P$3,MONTH(1&amp;"&amp;"$N$3),VALUE(LEFT(F$110,2))),IF(logStatus&lt;&gt;"""",UPPER(logStatus),IF(selectedDate&gt;TODAY(),""-"",IF(REGEXMATCH(F$110,""SUN""),""WO"",IF(F$113&lt;&gt;"""",IF(VALUE(F$113)&gt;=9/24,""FD"",""HD""),""A"")))))))"),"A")</f>
        <v>A</v>
      </c>
      <c r="G114" s="43" t="str">
        <f>IFERROR(__xludf.DUMMYFUNCTION("IF($A109="""","""",IF(G$110="""","""",LET(logStatus,IFNA(INDEX(DATA_LOG!$E:$E,MATCH(1,(DATA_LOG!$A:$A=$A109)*(TEXT(DATA_LOG!$B:$B,""yyyy-MM-dd"")=TEXT(DATE($P$3,MONTH(1&amp;$N$3),VALUE(LEFT(G$110,2))),""yyyy-MM-dd"")),0)),""""),selectedDate,DATE($P$3,MONTH(1&amp;"&amp;"$N$3),VALUE(LEFT(G$110,2))),IF(logStatus&lt;&gt;"""",UPPER(logStatus),IF(selectedDate&gt;TODAY(),""-"",IF(REGEXMATCH(G$110,""SUN""),""WO"",IF(G$113&lt;&gt;"""",IF(VALUE(G$113)&gt;=9/24,""FD"",""HD""),""A"")))))))"),"WO")</f>
        <v>WO</v>
      </c>
      <c r="H114" s="43" t="str">
        <f>IFERROR(__xludf.DUMMYFUNCTION("IF($A109="""","""",IF(H$5="""","""",LET(logStatus,IFNA(INDEX(DATA_LOG!$E:$E,MATCH(1,(DATA_LOG!$A:$A=$A109)*(TEXT(DATA_LOG!$B:$B,""yyyy-MM-dd"")=TEXT(DATE($P$3,MONTH(1&amp;$N$3),VALUE(LEFT(H$5,2))),""yyyy-MM-dd"")),0)),""""),IF(logStatus&lt;&gt;"""",UPPER(logStatus)"&amp;",IF(H113&lt;&gt;"""",IF(VALUE(H113)&gt;=9/24,""FD"",""HD""),IF(REGEXMATCH(H$5,""SUN""),""WO"",""-""))))))"),"-")</f>
        <v>-</v>
      </c>
      <c r="I114" s="43" t="str">
        <f>IFERROR(__xludf.DUMMYFUNCTION("IF($A109="""","""",IF(I$5="""","""",LET(logStatus,IFNA(INDEX(DATA_LOG!$E:$E,MATCH(1,(DATA_LOG!$A:$A=$A109)*(TEXT(DATA_LOG!$B:$B,""yyyy-MM-dd"")=TEXT(DATE($P$3,MONTH(1&amp;$N$3),VALUE(LEFT(I$5,2))),""yyyy-MM-dd"")),0)),""""),IF(logStatus&lt;&gt;"""",UPPER(logStatus)"&amp;",IF(I113&lt;&gt;"""",IF(VALUE(I113)&gt;=9/24,""FD"",""HD""),IF(REGEXMATCH(I$5,""SUN""),""WO"",""-""))))))"),"-")</f>
        <v>-</v>
      </c>
      <c r="J114" s="43" t="str">
        <f>IFERROR(__xludf.DUMMYFUNCTION("IF($A109="""","""",IF(J$5="""","""",LET(logStatus,IFNA(INDEX(DATA_LOG!$E:$E,MATCH(1,(DATA_LOG!$A:$A=$A109)*(TEXT(DATA_LOG!$B:$B,""yyyy-MM-dd"")=TEXT(DATE($P$3,MONTH(1&amp;$N$3),VALUE(LEFT(J$5,2))),""yyyy-MM-dd"")),0)),""""),IF(logStatus&lt;&gt;"""",UPPER(logStatus)"&amp;",IF(J113&lt;&gt;"""",IF(VALUE(J113)&gt;=9/24,""FD"",""HD""),IF(REGEXMATCH(J$5,""SUN""),""WO"",""-""))))))"),"-")</f>
        <v>-</v>
      </c>
      <c r="K114" s="43" t="str">
        <f>IFERROR(__xludf.DUMMYFUNCTION("IF($A109="""","""",IF(K$5="""","""",LET(logStatus,IFNA(INDEX(DATA_LOG!$E:$E,MATCH(1,(DATA_LOG!$A:$A=$A109)*(TEXT(DATA_LOG!$B:$B,""yyyy-MM-dd"")=TEXT(DATE($P$3,MONTH(1&amp;$N$3),VALUE(LEFT(K$5,2))),""yyyy-MM-dd"")),0)),""""),IF(logStatus&lt;&gt;"""",UPPER(logStatus)"&amp;",IF(K113&lt;&gt;"""",IF(VALUE(K113)&gt;=9/24,""FD"",""HD""),IF(REGEXMATCH(K$5,""SUN""),""WO"",""-""))))))"),"-")</f>
        <v>-</v>
      </c>
      <c r="L114" s="43" t="str">
        <f>IFERROR(__xludf.DUMMYFUNCTION("IF($A109="""","""",IF(L$5="""","""",LET(logStatus,IFNA(INDEX(DATA_LOG!$E:$E,MATCH(1,(DATA_LOG!$A:$A=$A109)*(TEXT(DATA_LOG!$B:$B,""yyyy-MM-dd"")=TEXT(DATE($P$3,MONTH(1&amp;$N$3),VALUE(LEFT(L$5,2))),""yyyy-MM-dd"")),0)),""""),IF(logStatus&lt;&gt;"""",UPPER(logStatus)"&amp;",IF(L113&lt;&gt;"""",IF(VALUE(L113)&gt;=9/24,""FD"",""HD""),IF(REGEXMATCH(L$5,""SUN""),""WO"",""-""))))))"),"-")</f>
        <v>-</v>
      </c>
      <c r="M114" s="43" t="str">
        <f>IFERROR(__xludf.DUMMYFUNCTION("IF($A109="""","""",IF(M$110="""","""",LET(logStatus,IFNA(INDEX(DATA_LOG!$E:$E,MATCH(1,(DATA_LOG!$A:$A=$A109)*(TEXT(DATA_LOG!$B:$B,""yyyy-MM-dd"")=TEXT(DATE($P$3,MONTH(1&amp;$N$3),VALUE(LEFT(M$110,2))),""yyyy-MM-dd"")),0)),""""),selectedDate,DATE($P$3,MONTH(1&amp;"&amp;"$N$3),VALUE(LEFT(M$110,2))),IF(logStatus&lt;&gt;"""",UPPER(logStatus),IF(selectedDate&gt;TODAY(),""-"",IF(REGEXMATCH(M$110,""SUN""),""WO"",IF(M$113&lt;&gt;"""",IF(VALUE(M$113)&gt;=9/24,""FD"",""HD""),""A"")))))))"),"-")</f>
        <v>-</v>
      </c>
      <c r="N114" s="43" t="str">
        <f>IFERROR(__xludf.DUMMYFUNCTION("IF($A109="""","""",IF(N$110="""","""",LET(logStatus,IFNA(INDEX(DATA_LOG!$E:$E,MATCH(1,(DATA_LOG!$A:$A=$A109)*(TEXT(DATA_LOG!$B:$B,""yyyy-MM-dd"")=TEXT(DATE($P$3,MONTH(1&amp;$N$3),VALUE(LEFT(N$110,2))),""yyyy-MM-dd"")),0)),""""),selectedDate,DATE($P$3,MONTH(1&amp;"&amp;"$N$3),VALUE(LEFT(N$110,2))),IF(logStatus&lt;&gt;"""",UPPER(logStatus),IF(selectedDate&gt;TODAY(),""-"",IF(REGEXMATCH(N$110,""SUN""),""WO"",IF(N$113&lt;&gt;"""",IF(VALUE(N$113)&gt;=9/24,""FD"",""HD""),""A"")))))))"),"-")</f>
        <v>-</v>
      </c>
      <c r="O114" s="43" t="str">
        <f>IFERROR(__xludf.DUMMYFUNCTION("IF($A109="""","""",IF(O$5="""","""",LET(logStatus,IFNA(INDEX(DATA_LOG!$E:$E,MATCH(1,(DATA_LOG!$A:$A=$A109)*(TEXT(DATA_LOG!$B:$B,""yyyy-MM-dd"")=TEXT(DATE($P$3,MONTH(1&amp;$N$3),VALUE(LEFT(O$5,2))),""yyyy-MM-dd"")),0)),""""),IF(logStatus&lt;&gt;"""",UPPER(logStatus)"&amp;",IF(O113&lt;&gt;"""",IF(VALUE(O113)&gt;=9/24,""FD"",""HD""),IF(REGEXMATCH(O$5,""SUN""),""WO"",""-""))))))"),"-")</f>
        <v>-</v>
      </c>
      <c r="P114" s="43" t="str">
        <f>IFERROR(__xludf.DUMMYFUNCTION("IF($A109="""","""",IF(P$5="""","""",LET(logStatus,IFNA(INDEX(DATA_LOG!$E:$E,MATCH(1,(DATA_LOG!$A:$A=$A109)*(TEXT(DATA_LOG!$B:$B,""yyyy-MM-dd"")=TEXT(DATE($P$3,MONTH(1&amp;$N$3),VALUE(LEFT(P$5,2))),""yyyy-MM-dd"")),0)),""""),IF(logStatus&lt;&gt;"""",UPPER(logStatus)"&amp;",IF(P113&lt;&gt;"""",IF(VALUE(P113)&gt;=9/24,""FD"",""HD""),IF(REGEXMATCH(P$5,""SUN""),""WO"",""-""))))))"),"-")</f>
        <v>-</v>
      </c>
      <c r="Q114" s="43" t="str">
        <f>IFERROR(__xludf.DUMMYFUNCTION("IF($A109="""","""",IF(Q$5="""","""",LET(logStatus,IFNA(INDEX(DATA_LOG!$E:$E,MATCH(1,(DATA_LOG!$A:$A=$A109)*(TEXT(DATA_LOG!$B:$B,""yyyy-MM-dd"")=TEXT(DATE($P$3,MONTH(1&amp;$N$3),VALUE(LEFT(Q$5,2))),""yyyy-MM-dd"")),0)),""""),IF(logStatus&lt;&gt;"""",UPPER(logStatus)"&amp;",IF(Q113&lt;&gt;"""",IF(VALUE(Q113)&gt;=9/24,""FD"",""HD""),IF(REGEXMATCH(Q$5,""SUN""),""WO"",""-""))))))"),"-")</f>
        <v>-</v>
      </c>
      <c r="R114" s="43" t="str">
        <f>IFERROR(__xludf.DUMMYFUNCTION("IF($A109="""","""",IF(R$5="""","""",LET(logStatus,IFNA(INDEX(DATA_LOG!$E:$E,MATCH(1,(DATA_LOG!$A:$A=$A109)*(TEXT(DATA_LOG!$B:$B,""yyyy-MM-dd"")=TEXT(DATE($P$3,MONTH(1&amp;$N$3),VALUE(LEFT(R$5,2))),""yyyy-MM-dd"")),0)),""""),IF(logStatus&lt;&gt;"""",UPPER(logStatus)"&amp;",IF(R113&lt;&gt;"""",IF(VALUE(R113)&gt;=9/24,""FD"",""HD""),IF(REGEXMATCH(R$5,""SUN""),""WO"",""-""))))))"),"-")</f>
        <v>-</v>
      </c>
      <c r="S114" s="43" t="str">
        <f>IFERROR(__xludf.DUMMYFUNCTION("IF($A109="""","""",IF(S$5="""","""",LET(logStatus,IFNA(INDEX(DATA_LOG!$E:$E,MATCH(1,(DATA_LOG!$A:$A=$A109)*(TEXT(DATA_LOG!$B:$B,""yyyy-MM-dd"")=TEXT(DATE($P$3,MONTH(1&amp;$N$3),VALUE(LEFT(S$5,2))),""yyyy-MM-dd"")),0)),""""),IF(logStatus&lt;&gt;"""",UPPER(logStatus)"&amp;",IF(S113&lt;&gt;"""",IF(VALUE(S113)&gt;=9/24,""FD"",""HD""),IF(REGEXMATCH(S$5,""SUN""),""WO"",""-""))))))"),"-")</f>
        <v>-</v>
      </c>
      <c r="T114" s="43" t="str">
        <f>IFERROR(__xludf.DUMMYFUNCTION("IF($A109="""","""",IF(T$110="""","""",LET(logStatus,IFNA(INDEX(DATA_LOG!$E:$E,MATCH(1,(DATA_LOG!$A:$A=$A109)*(TEXT(DATA_LOG!$B:$B,""yyyy-MM-dd"")=TEXT(DATE($P$3,MONTH(1&amp;$N$3),VALUE(LEFT(T$110,2))),""yyyy-MM-dd"")),0)),""""),selectedDate,DATE($P$3,MONTH(1&amp;"&amp;"$N$3),VALUE(LEFT(T$110,2))),IF(logStatus&lt;&gt;"""",UPPER(logStatus),IF(selectedDate&gt;TODAY(),""-"",IF(REGEXMATCH(T$110,""SUN""),""WO"",IF(T$113&lt;&gt;"""",IF(VALUE(T$113)&gt;=9/24,""FD"",""HD""),""A"")))))))"),"-")</f>
        <v>-</v>
      </c>
      <c r="U114" s="43" t="str">
        <f>IFERROR(__xludf.DUMMYFUNCTION("IF($A109="""","""",IF(U$110="""","""",LET(logStatus,IFNA(INDEX(DATA_LOG!$E:$E,MATCH(1,(DATA_LOG!$A:$A=$A109)*(TEXT(DATA_LOG!$B:$B,""yyyy-MM-dd"")=TEXT(DATE($P$3,MONTH(1&amp;$N$3),VALUE(LEFT(U$110,2))),""yyyy-MM-dd"")),0)),""""),selectedDate,DATE($P$3,MONTH(1&amp;"&amp;"$N$3),VALUE(LEFT(U$110,2))),IF(logStatus&lt;&gt;"""",UPPER(logStatus),IF(selectedDate&gt;TODAY(),""-"",IF(REGEXMATCH(U$110,""SUN""),""WO"",IF(U$113&lt;&gt;"""",IF(VALUE(U$113)&gt;=9/24,""FD"",""HD""),""A"")))))))"),"-")</f>
        <v>-</v>
      </c>
      <c r="V114" s="43" t="str">
        <f>IFERROR(__xludf.DUMMYFUNCTION("IF($A109="""","""",IF(V$5="""","""",LET(logStatus,IFNA(INDEX(DATA_LOG!$E:$E,MATCH(1,(DATA_LOG!$A:$A=$A109)*(TEXT(DATA_LOG!$B:$B,""yyyy-MM-dd"")=TEXT(DATE($P$3,MONTH(1&amp;$N$3),VALUE(LEFT(V$5,2))),""yyyy-MM-dd"")),0)),""""),IF(logStatus&lt;&gt;"""",UPPER(logStatus)"&amp;",IF(V113&lt;&gt;"""",IF(VALUE(V113)&gt;=9/24,""FD"",""HD""),IF(REGEXMATCH(V$5,""SUN""),""WO"",""-""))))))"),"-")</f>
        <v>-</v>
      </c>
      <c r="W114" s="43" t="str">
        <f>IFERROR(__xludf.DUMMYFUNCTION("IF($A109="""","""",IF(W$5="""","""",LET(logStatus,IFNA(INDEX(DATA_LOG!$E:$E,MATCH(1,(DATA_LOG!$A:$A=$A109)*(TEXT(DATA_LOG!$B:$B,""yyyy-MM-dd"")=TEXT(DATE($P$3,MONTH(1&amp;$N$3),VALUE(LEFT(W$5,2))),""yyyy-MM-dd"")),0)),""""),IF(logStatus&lt;&gt;"""",UPPER(logStatus)"&amp;",IF(W113&lt;&gt;"""",IF(VALUE(W113)&gt;=9/24,""FD"",""HD""),IF(REGEXMATCH(W$5,""SUN""),""WO"",""-""))))))"),"-")</f>
        <v>-</v>
      </c>
      <c r="X114" s="43" t="str">
        <f>IFERROR(__xludf.DUMMYFUNCTION("IF($A109="""","""",IF(X$5="""","""",LET(logStatus,IFNA(INDEX(DATA_LOG!$E:$E,MATCH(1,(DATA_LOG!$A:$A=$A109)*(TEXT(DATA_LOG!$B:$B,""yyyy-MM-dd"")=TEXT(DATE($P$3,MONTH(1&amp;$N$3),VALUE(LEFT(X$5,2))),""yyyy-MM-dd"")),0)),""""),IF(logStatus&lt;&gt;"""",UPPER(logStatus)"&amp;",IF(X113&lt;&gt;"""",IF(VALUE(X113)&gt;=9/24,""FD"",""HD""),IF(REGEXMATCH(X$5,""SUN""),""WO"",""-""))))))"),"-")</f>
        <v>-</v>
      </c>
      <c r="Y114" s="43" t="str">
        <f>IFERROR(__xludf.DUMMYFUNCTION("IF($A109="""","""",IF(Y$5="""","""",LET(logStatus,IFNA(INDEX(DATA_LOG!$E:$E,MATCH(1,(DATA_LOG!$A:$A=$A109)*(TEXT(DATA_LOG!$B:$B,""yyyy-MM-dd"")=TEXT(DATE($P$3,MONTH(1&amp;$N$3),VALUE(LEFT(Y$5,2))),""yyyy-MM-dd"")),0)),""""),IF(logStatus&lt;&gt;"""",UPPER(logStatus)"&amp;",IF(Y113&lt;&gt;"""",IF(VALUE(Y113)&gt;=9/24,""FD"",""HD""),IF(REGEXMATCH(Y$5,""SUN""),""WO"",""-""))))))"),"-")</f>
        <v>-</v>
      </c>
      <c r="Z114" s="43" t="str">
        <f>IFERROR(__xludf.DUMMYFUNCTION("IF($A109="""","""",IF(Z$5="""","""",LET(logStatus,IFNA(INDEX(DATA_LOG!$E:$E,MATCH(1,(DATA_LOG!$A:$A=$A109)*(TEXT(DATA_LOG!$B:$B,""yyyy-MM-dd"")=TEXT(DATE($P$3,MONTH(1&amp;$N$3),VALUE(LEFT(Z$5,2))),""yyyy-MM-dd"")),0)),""""),IF(logStatus&lt;&gt;"""",UPPER(logStatus)"&amp;",IF(Z113&lt;&gt;"""",IF(VALUE(Z113)&gt;=9/24,""FD"",""HD""),IF(REGEXMATCH(Z$5,""SUN""),""WO"",""-""))))))"),"-")</f>
        <v>-</v>
      </c>
      <c r="AA114" s="43" t="str">
        <f>IFERROR(__xludf.DUMMYFUNCTION("IF($A109="""","""",IF(AA$110="""","""",LET(logStatus,IFNA(INDEX(DATA_LOG!$E:$E,MATCH(1,(DATA_LOG!$A:$A=$A109)*(TEXT(DATA_LOG!$B:$B,""yyyy-MM-dd"")=TEXT(DATE($P$3,MONTH(1&amp;$N$3),VALUE(LEFT(AA$110,2))),""yyyy-MM-dd"")),0)),""""),selectedDate,DATE($P$3,MONTH("&amp;"1&amp;$N$3),VALUE(LEFT(AA$110,2))),IF(logStatus&lt;&gt;"""",UPPER(logStatus),IF(selectedDate&gt;TODAY(),""-"",IF(REGEXMATCH(AA$110,""SUN""),""WO"",IF(AA$113&lt;&gt;"""",IF(VALUE(AA$113)&gt;=9/24,""FD"",""HD""),""A"")))))))"),"-")</f>
        <v>-</v>
      </c>
      <c r="AB114" s="43" t="str">
        <f>IFERROR(__xludf.DUMMYFUNCTION("IF($A109="""","""",IF(AB$110="""","""",LET(logStatus,IFNA(INDEX(DATA_LOG!$E:$E,MATCH(1,(DATA_LOG!$A:$A=$A109)*(TEXT(DATA_LOG!$B:$B,""yyyy-MM-dd"")=TEXT(DATE($P$3,MONTH(1&amp;$N$3),VALUE(LEFT(AB$110,2))),""yyyy-MM-dd"")),0)),""""),selectedDate,DATE($P$3,MONTH("&amp;"1&amp;$N$3),VALUE(LEFT(AB$110,2))),IF(logStatus&lt;&gt;"""",UPPER(logStatus),IF(selectedDate&gt;TODAY(),""-"",IF(REGEXMATCH(AB$110,""SUN""),""WO"",IF(AB$113&lt;&gt;"""",IF(VALUE(AB$113)&gt;=9/24,""FD"",""HD""),""A"")))))))"),"-")</f>
        <v>-</v>
      </c>
      <c r="AC114" s="43" t="str">
        <f>IFERROR(__xludf.DUMMYFUNCTION("IF($A109="""","""",IF(AC$5="""","""",LET(logStatus,IFNA(INDEX(DATA_LOG!$E:$E,MATCH(1,(DATA_LOG!$A:$A=$A109)*(TEXT(DATA_LOG!$B:$B,""yyyy-MM-dd"")=TEXT(DATE($P$3,MONTH(1&amp;$N$3),VALUE(LEFT(AC$5,2))),""yyyy-MM-dd"")),0)),""""),IF(logStatus&lt;&gt;"""",UPPER(logStatu"&amp;"s),IF(AC113&lt;&gt;"""",IF(VALUE(AC113)&gt;=9/24,""FD"",""HD""),IF(REGEXMATCH(AC$5,""SUN""),""WO"",""-""))))))"),"-")</f>
        <v>-</v>
      </c>
      <c r="AD114" s="43" t="str">
        <f>IFERROR(__xludf.DUMMYFUNCTION("IF($A109="""","""",IF(AD$5="""","""",LET(logStatus,IFNA(INDEX(DATA_LOG!$E:$E,MATCH(1,(DATA_LOG!$A:$A=$A109)*(TEXT(DATA_LOG!$B:$B,""yyyy-MM-dd"")=TEXT(DATE($P$3,MONTH(1&amp;$N$3),VALUE(LEFT(AD$5,2))),""yyyy-MM-dd"")),0)),""""),IF(logStatus&lt;&gt;"""",UPPER(logStatu"&amp;"s),IF(AD113&lt;&gt;"""",IF(VALUE(AD113)&gt;=9/24,""FD"",""HD""),IF(REGEXMATCH(AD$5,""SUN""),""WO"",""-""))))))"),"-")</f>
        <v>-</v>
      </c>
      <c r="AE114" s="43" t="str">
        <f>IFERROR(__xludf.DUMMYFUNCTION("IF($A109="""","""",IF(AE$5="""","""",LET(logStatus,IFNA(INDEX(DATA_LOG!$E:$E,MATCH(1,(DATA_LOG!$A:$A=$A109)*(TEXT(DATA_LOG!$B:$B,""yyyy-MM-dd"")=TEXT(DATE($P$3,MONTH(1&amp;$N$3),VALUE(LEFT(AE$5,2))),""yyyy-MM-dd"")),0)),""""),IF(logStatus&lt;&gt;"""",UPPER(logStatu"&amp;"s),IF(AE113&lt;&gt;"""",IF(VALUE(AE113)&gt;=9/24,""FD"",""HD""),IF(REGEXMATCH(AE$5,""SUN""),""WO"",""-""))))))"),"-")</f>
        <v>-</v>
      </c>
      <c r="AF114" s="43" t="str">
        <f>IFERROR(__xludf.DUMMYFUNCTION("IF($A109="""","""",IF(AF$5="""","""",LET(logStatus,IFNA(INDEX(DATA_LOG!$E:$E,MATCH(1,(DATA_LOG!$A:$A=$A109)*(TEXT(DATA_LOG!$B:$B,""yyyy-MM-dd"")=TEXT(DATE($P$3,MONTH(1&amp;$N$3),VALUE(LEFT(AF$5,2))),""yyyy-MM-dd"")),0)),""""),IF(logStatus&lt;&gt;"""",UPPER(logStatu"&amp;"s),IF(AF113&lt;&gt;"""",IF(VALUE(AF113)&gt;=9/24,""FD"",""HD""),IF(REGEXMATCH(AF$5,""SUN""),""WO"",""-""))))))"),"")</f>
        <v/>
      </c>
    </row>
    <row r="115">
      <c r="A115" s="44"/>
    </row>
    <row r="116">
      <c r="A116" s="25" t="str">
        <f t="array" ref="A116">INDEX(EMPLOYEE_LIST!$A:$A,INT((ROW()-4)/7)+2)</f>
        <v>PIJESHWAR THAKUR</v>
      </c>
      <c r="B116" s="26"/>
      <c r="C116" s="27"/>
      <c r="D116" s="28" t="str">
        <f>IF(A116="", "", IFERROR(VLOOKUP(A116, EMPLOYEE_LIST!$A:$H, 2, FALSE), ""))</f>
        <v>AYV-44</v>
      </c>
      <c r="E116" s="26"/>
      <c r="F116" s="26"/>
      <c r="G116" s="27"/>
      <c r="H116" s="29" t="str">
        <f>IF(A116="", "", IFERROR(VLOOKUP(A116, EMPLOYEE_LIST!$A:$H, 3, FALSE), ""))</f>
        <v>ADMIN</v>
      </c>
      <c r="I116" s="26"/>
      <c r="J116" s="26"/>
      <c r="K116" s="27"/>
      <c r="L116" s="29" t="str">
        <f>IF(A116="", "", IFERROR(VLOOKUP(A116, EMPLOYEE_LIST!$A:$H, 4, FALSE), ""))</f>
        <v>DRIVER</v>
      </c>
      <c r="M116" s="26"/>
      <c r="N116" s="26"/>
      <c r="O116" s="27"/>
      <c r="P116" s="30" t="str">
        <f>IF($A116="", "", "Full Day: " &amp; COUNTIF(B121:AF121, "FD"))</f>
        <v>Full Day: 0</v>
      </c>
      <c r="Q116" s="26"/>
      <c r="R116" s="27"/>
      <c r="S116" s="31" t="str">
        <f>IF($A116="", "", "HALF Day: " &amp; COUNTIF(B121:AF121, "HD"))</f>
        <v>HALF Day: 0</v>
      </c>
      <c r="T116" s="26"/>
      <c r="U116" s="27"/>
      <c r="V116" s="31" t="str">
        <f>IF($A116="", "", "ABSENT: " &amp; COUNTIF(B121:AF121, "A"))</f>
        <v>ABSENT: 6</v>
      </c>
      <c r="W116" s="26"/>
      <c r="X116" s="27"/>
      <c r="Y116" s="31" t="str">
        <f>IF($A116="", "", "WEEK OFF: " &amp; COUNTIF(B121:AF121, "WO"))</f>
        <v>WEEK OFF: 1</v>
      </c>
      <c r="Z116" s="26"/>
      <c r="AA116" s="27"/>
      <c r="AB116" s="31" t="str">
        <f>IF($A116="", "", "LEAVE: " &amp; COUNTIF(B121:AF121, "L"))</f>
        <v>LEAVE: 0</v>
      </c>
      <c r="AC116" s="27"/>
      <c r="AD116" s="31" t="str">
        <f>IF($A116="", "", "HOLIDAY: " &amp; COUNTIF(B121:AF121, "HL"))</f>
        <v>HOLIDAY: 0</v>
      </c>
      <c r="AE116" s="26"/>
      <c r="AF116" s="27"/>
    </row>
    <row r="117">
      <c r="A117" s="32" t="str">
        <f>IF($A116="", "", "DATE")</f>
        <v>DATE</v>
      </c>
      <c r="B117" s="33" t="str">
        <f t="array" ref="B117:AE117">IF($A116="","",LET(mNum,MONTH(1&amp;$N$3),start,DATE($P$3,mNum,1),days,DAY(EOMONTH(start,0)),MAP(SEQUENCE(1,days,0),LAMBDA(n,UPPER(TEXT(start+n,"dd (ddd)"))))))</f>
        <v>01 (TUE)</v>
      </c>
      <c r="C117" s="34" t="s">
        <v>89</v>
      </c>
      <c r="D117" s="34" t="s">
        <v>90</v>
      </c>
      <c r="E117" s="34" t="s">
        <v>91</v>
      </c>
      <c r="F117" s="34" t="s">
        <v>92</v>
      </c>
      <c r="G117" s="34" t="s">
        <v>93</v>
      </c>
      <c r="H117" s="34" t="s">
        <v>94</v>
      </c>
      <c r="I117" s="34" t="s">
        <v>95</v>
      </c>
      <c r="J117" s="34" t="s">
        <v>96</v>
      </c>
      <c r="K117" s="34" t="s">
        <v>97</v>
      </c>
      <c r="L117" s="34" t="s">
        <v>98</v>
      </c>
      <c r="M117" s="34" t="s">
        <v>99</v>
      </c>
      <c r="N117" s="34" t="s">
        <v>100</v>
      </c>
      <c r="O117" s="34" t="s">
        <v>101</v>
      </c>
      <c r="P117" s="34" t="s">
        <v>102</v>
      </c>
      <c r="Q117" s="34" t="s">
        <v>103</v>
      </c>
      <c r="R117" s="34" t="s">
        <v>104</v>
      </c>
      <c r="S117" s="34" t="s">
        <v>105</v>
      </c>
      <c r="T117" s="34" t="s">
        <v>106</v>
      </c>
      <c r="U117" s="34" t="s">
        <v>107</v>
      </c>
      <c r="V117" s="34" t="s">
        <v>108</v>
      </c>
      <c r="W117" s="34" t="s">
        <v>109</v>
      </c>
      <c r="X117" s="34" t="s">
        <v>110</v>
      </c>
      <c r="Y117" s="34" t="s">
        <v>111</v>
      </c>
      <c r="Z117" s="34" t="s">
        <v>112</v>
      </c>
      <c r="AA117" s="34" t="s">
        <v>113</v>
      </c>
      <c r="AB117" s="34" t="s">
        <v>114</v>
      </c>
      <c r="AC117" s="34" t="s">
        <v>115</v>
      </c>
      <c r="AD117" s="34" t="s">
        <v>116</v>
      </c>
      <c r="AE117" s="34" t="s">
        <v>117</v>
      </c>
      <c r="AF117" s="34"/>
    </row>
    <row r="118">
      <c r="A118" s="37" t="str">
        <f>IF($A116="", "", "IN")</f>
        <v>IN</v>
      </c>
      <c r="B118" s="39" t="str">
        <f t="array" ref="B118">IF(OR($A116="",B$5=""),"",IFNA(INDEX(DATA_LOG!$C:$C,MATCH(1,(DATA_LOG!$A:$A=$A116)*(TEXT(DATA_LOG!$B:$B,"yyyy-MM-dd")=TEXT(DATE($P$3,MONTH(1&amp;$N$3),VALUE(LEFT(B$5,2))),"yyyy-MM-dd")),0)),""))</f>
        <v/>
      </c>
      <c r="C118" s="39" t="str">
        <f t="array" ref="C118">IF(OR($A116="",C$5=""),"",IFNA(INDEX(DATA_LOG!$C:$C,MATCH(1,(DATA_LOG!$A:$A=$A116)*(TEXT(DATA_LOG!$B:$B,"yyyy-MM-dd")=TEXT(DATE($P$3,MONTH(1&amp;$N$3),VALUE(LEFT(C$5,2))),"yyyy-MM-dd")),0)),""))</f>
        <v/>
      </c>
      <c r="D118" s="39" t="str">
        <f t="array" ref="D118">IF(OR($A116="",D$5=""),"",IFNA(INDEX(DATA_LOG!$C:$C,MATCH(1,(DATA_LOG!$A:$A=$A116)*(TEXT(DATA_LOG!$B:$B,"yyyy-MM-dd")=TEXT(DATE($P$3,MONTH(1&amp;$N$3),VALUE(LEFT(D$5,2))),"yyyy-MM-dd")),0)),""))</f>
        <v/>
      </c>
      <c r="E118" s="39" t="str">
        <f t="array" ref="E118">IF(OR($A116="",E$5=""),"",IFNA(INDEX(DATA_LOG!$C:$C,MATCH(1,(DATA_LOG!$A:$A=$A116)*(TEXT(DATA_LOG!$B:$B,"yyyy-MM-dd")=TEXT(DATE($P$3,MONTH(1&amp;$N$3),VALUE(LEFT(E$5,2))),"yyyy-MM-dd")),0)),""))</f>
        <v/>
      </c>
      <c r="F118" s="39" t="str">
        <f t="array" ref="F118">IF(OR($A116="",F$5=""),"",IFNA(INDEX(DATA_LOG!$C:$C,MATCH(1,(DATA_LOG!$A:$A=$A116)*(TEXT(DATA_LOG!$B:$B,"yyyy-MM-dd")=TEXT(DATE($P$3,MONTH(1&amp;$N$3),VALUE(LEFT(F$5,2))),"yyyy-MM-dd")),0)),""))</f>
        <v/>
      </c>
      <c r="G118" s="39" t="str">
        <f t="array" ref="G118">IF(OR($A116="",G$5=""),"",IFNA(INDEX(DATA_LOG!$C:$C,MATCH(1,(DATA_LOG!$A:$A=$A116)*(TEXT(DATA_LOG!$B:$B,"yyyy-MM-dd")=TEXT(DATE($P$3,MONTH(1&amp;$N$3),VALUE(LEFT(G$5,2))),"yyyy-MM-dd")),0)),""))</f>
        <v/>
      </c>
      <c r="H118" s="39" t="str">
        <f t="array" ref="H118">IF(OR($A116="",H$5=""),"",IFNA(INDEX(DATA_LOG!$C:$C,MATCH(1,(DATA_LOG!$A:$A=$A116)*(TEXT(DATA_LOG!$B:$B,"yyyy-MM-dd")=TEXT(DATE($P$3,MONTH(1&amp;$N$3),VALUE(LEFT(H$5,2))),"yyyy-MM-dd")),0)),""))</f>
        <v/>
      </c>
      <c r="I118" s="39" t="str">
        <f t="array" ref="I118">IF(OR($A116="",I$5=""),"",IFNA(INDEX(DATA_LOG!$C:$C,MATCH(1,(DATA_LOG!$A:$A=$A116)*(TEXT(DATA_LOG!$B:$B,"yyyy-MM-dd")=TEXT(DATE($P$3,MONTH(1&amp;$N$3),VALUE(LEFT(I$5,2))),"yyyy-MM-dd")),0)),""))</f>
        <v/>
      </c>
      <c r="J118" s="39" t="str">
        <f t="array" ref="J118">IF(OR($A116="",J$5=""),"",IFNA(INDEX(DATA_LOG!$C:$C,MATCH(1,(DATA_LOG!$A:$A=$A116)*(TEXT(DATA_LOG!$B:$B,"yyyy-MM-dd")=TEXT(DATE($P$3,MONTH(1&amp;$N$3),VALUE(LEFT(J$5,2))),"yyyy-MM-dd")),0)),""))</f>
        <v/>
      </c>
      <c r="K118" s="39" t="str">
        <f t="array" ref="K118">IF(OR($A116="",K$5=""),"",IFNA(INDEX(DATA_LOG!$C:$C,MATCH(1,(DATA_LOG!$A:$A=$A116)*(TEXT(DATA_LOG!$B:$B,"yyyy-MM-dd")=TEXT(DATE($P$3,MONTH(1&amp;$N$3),VALUE(LEFT(K$5,2))),"yyyy-MM-dd")),0)),""))</f>
        <v/>
      </c>
      <c r="L118" s="39" t="str">
        <f t="array" ref="L118">IF(OR($A116="",L$5=""),"",IFNA(INDEX(DATA_LOG!$C:$C,MATCH(1,(DATA_LOG!$A:$A=$A116)*(TEXT(DATA_LOG!$B:$B,"yyyy-MM-dd")=TEXT(DATE($P$3,MONTH(1&amp;$N$3),VALUE(LEFT(L$5,2))),"yyyy-MM-dd")),0)),""))</f>
        <v/>
      </c>
      <c r="M118" s="39" t="str">
        <f t="array" ref="M118">IF(OR($A116="",M$5=""),"",IFNA(INDEX(DATA_LOG!$C:$C,MATCH(1,(DATA_LOG!$A:$A=$A116)*(TEXT(DATA_LOG!$B:$B,"yyyy-MM-dd")=TEXT(DATE($P$3,MONTH(1&amp;$N$3),VALUE(LEFT(M$5,2))),"yyyy-MM-dd")),0)),""))</f>
        <v/>
      </c>
      <c r="N118" s="39" t="str">
        <f t="array" ref="N118">IF(OR($A116="",N$5=""),"",IFNA(INDEX(DATA_LOG!$C:$C,MATCH(1,(DATA_LOG!$A:$A=$A116)*(TEXT(DATA_LOG!$B:$B,"yyyy-MM-dd")=TEXT(DATE($P$3,MONTH(1&amp;$N$3),VALUE(LEFT(N$5,2))),"yyyy-MM-dd")),0)),""))</f>
        <v/>
      </c>
      <c r="O118" s="39" t="str">
        <f t="array" ref="O118">IF(OR($A116="",O$5=""),"",IFNA(INDEX(DATA_LOG!$C:$C,MATCH(1,(DATA_LOG!$A:$A=$A116)*(TEXT(DATA_LOG!$B:$B,"yyyy-MM-dd")=TEXT(DATE($P$3,MONTH(1&amp;$N$3),VALUE(LEFT(O$5,2))),"yyyy-MM-dd")),0)),""))</f>
        <v/>
      </c>
      <c r="P118" s="39" t="str">
        <f t="array" ref="P118">IF(OR($A116="",P$5=""),"",IFNA(INDEX(DATA_LOG!$C:$C,MATCH(1,(DATA_LOG!$A:$A=$A116)*(TEXT(DATA_LOG!$B:$B,"yyyy-MM-dd")=TEXT(DATE($P$3,MONTH(1&amp;$N$3),VALUE(LEFT(P$5,2))),"yyyy-MM-dd")),0)),""))</f>
        <v/>
      </c>
      <c r="Q118" s="39" t="str">
        <f t="array" ref="Q118">IF(OR($A116="",Q$5=""),"",IFNA(INDEX(DATA_LOG!$C:$C,MATCH(1,(DATA_LOG!$A:$A=$A116)*(TEXT(DATA_LOG!$B:$B,"yyyy-MM-dd")=TEXT(DATE($P$3,MONTH(1&amp;$N$3),VALUE(LEFT(Q$5,2))),"yyyy-MM-dd")),0)),""))</f>
        <v/>
      </c>
      <c r="R118" s="39" t="str">
        <f t="array" ref="R118">IF(OR($A116="",R$5=""),"",IFNA(INDEX(DATA_LOG!$C:$C,MATCH(1,(DATA_LOG!$A:$A=$A116)*(TEXT(DATA_LOG!$B:$B,"yyyy-MM-dd")=TEXT(DATE($P$3,MONTH(1&amp;$N$3),VALUE(LEFT(R$5,2))),"yyyy-MM-dd")),0)),""))</f>
        <v/>
      </c>
      <c r="S118" s="39" t="str">
        <f t="array" ref="S118">IF(OR($A116="",S$5=""),"",IFNA(INDEX(DATA_LOG!$C:$C,MATCH(1,(DATA_LOG!$A:$A=$A116)*(TEXT(DATA_LOG!$B:$B,"yyyy-MM-dd")=TEXT(DATE($P$3,MONTH(1&amp;$N$3),VALUE(LEFT(S$5,2))),"yyyy-MM-dd")),0)),""))</f>
        <v/>
      </c>
      <c r="T118" s="39" t="str">
        <f t="array" ref="T118">IF(OR($A116="",T$5=""),"",IFNA(INDEX(DATA_LOG!$C:$C,MATCH(1,(DATA_LOG!$A:$A=$A116)*(TEXT(DATA_LOG!$B:$B,"yyyy-MM-dd")=TEXT(DATE($P$3,MONTH(1&amp;$N$3),VALUE(LEFT(T$5,2))),"yyyy-MM-dd")),0)),""))</f>
        <v/>
      </c>
      <c r="U118" s="39" t="str">
        <f t="array" ref="U118">IF(OR($A116="",U$5=""),"",IFNA(INDEX(DATA_LOG!$C:$C,MATCH(1,(DATA_LOG!$A:$A=$A116)*(TEXT(DATA_LOG!$B:$B,"yyyy-MM-dd")=TEXT(DATE($P$3,MONTH(1&amp;$N$3),VALUE(LEFT(U$5,2))),"yyyy-MM-dd")),0)),""))</f>
        <v/>
      </c>
      <c r="V118" s="39" t="str">
        <f t="array" ref="V118">IF(OR($A116="",V$5=""),"",IFNA(INDEX(DATA_LOG!$C:$C,MATCH(1,(DATA_LOG!$A:$A=$A116)*(TEXT(DATA_LOG!$B:$B,"yyyy-MM-dd")=TEXT(DATE($P$3,MONTH(1&amp;$N$3),VALUE(LEFT(V$5,2))),"yyyy-MM-dd")),0)),""))</f>
        <v/>
      </c>
      <c r="W118" s="39" t="str">
        <f t="array" ref="W118">IF(OR($A116="",W$5=""),"",IFNA(INDEX(DATA_LOG!$C:$C,MATCH(1,(DATA_LOG!$A:$A=$A116)*(TEXT(DATA_LOG!$B:$B,"yyyy-MM-dd")=TEXT(DATE($P$3,MONTH(1&amp;$N$3),VALUE(LEFT(W$5,2))),"yyyy-MM-dd")),0)),""))</f>
        <v/>
      </c>
      <c r="X118" s="39" t="str">
        <f t="array" ref="X118">IF(OR($A116="",X$5=""),"",IFNA(INDEX(DATA_LOG!$C:$C,MATCH(1,(DATA_LOG!$A:$A=$A116)*(TEXT(DATA_LOG!$B:$B,"yyyy-MM-dd")=TEXT(DATE($P$3,MONTH(1&amp;$N$3),VALUE(LEFT(X$5,2))),"yyyy-MM-dd")),0)),""))</f>
        <v/>
      </c>
      <c r="Y118" s="39" t="str">
        <f t="array" ref="Y118">IF(OR($A116="",Y$5=""),"",IFNA(INDEX(DATA_LOG!$C:$C,MATCH(1,(DATA_LOG!$A:$A=$A116)*(TEXT(DATA_LOG!$B:$B,"yyyy-MM-dd")=TEXT(DATE($P$3,MONTH(1&amp;$N$3),VALUE(LEFT(Y$5,2))),"yyyy-MM-dd")),0)),""))</f>
        <v/>
      </c>
      <c r="Z118" s="39" t="str">
        <f t="array" ref="Z118">IF(OR($A116="",Z$5=""),"",IFNA(INDEX(DATA_LOG!$C:$C,MATCH(1,(DATA_LOG!$A:$A=$A116)*(TEXT(DATA_LOG!$B:$B,"yyyy-MM-dd")=TEXT(DATE($P$3,MONTH(1&amp;$N$3),VALUE(LEFT(Z$5,2))),"yyyy-MM-dd")),0)),""))</f>
        <v/>
      </c>
      <c r="AA118" s="39" t="str">
        <f t="array" ref="AA118">IF(OR($A116="",AA$5=""),"",IFNA(INDEX(DATA_LOG!$C:$C,MATCH(1,(DATA_LOG!$A:$A=$A116)*(TEXT(DATA_LOG!$B:$B,"yyyy-MM-dd")=TEXT(DATE($P$3,MONTH(1&amp;$N$3),VALUE(LEFT(AA$5,2))),"yyyy-MM-dd")),0)),""))</f>
        <v/>
      </c>
      <c r="AB118" s="39" t="str">
        <f t="array" ref="AB118">IF(OR($A116="",AB$5=""),"",IFNA(INDEX(DATA_LOG!$C:$C,MATCH(1,(DATA_LOG!$A:$A=$A116)*(TEXT(DATA_LOG!$B:$B,"yyyy-MM-dd")=TEXT(DATE($P$3,MONTH(1&amp;$N$3),VALUE(LEFT(AB$5,2))),"yyyy-MM-dd")),0)),""))</f>
        <v/>
      </c>
      <c r="AC118" s="39" t="str">
        <f t="array" ref="AC118">IF(OR($A116="",AC$5=""),"",IFNA(INDEX(DATA_LOG!$C:$C,MATCH(1,(DATA_LOG!$A:$A=$A116)*(TEXT(DATA_LOG!$B:$B,"yyyy-MM-dd")=TEXT(DATE($P$3,MONTH(1&amp;$N$3),VALUE(LEFT(AC$5,2))),"yyyy-MM-dd")),0)),""))</f>
        <v/>
      </c>
      <c r="AD118" s="39" t="str">
        <f t="array" ref="AD118">IF(OR($A116="",AD$5=""),"",IFNA(INDEX(DATA_LOG!$C:$C,MATCH(1,(DATA_LOG!$A:$A=$A116)*(TEXT(DATA_LOG!$B:$B,"yyyy-MM-dd")=TEXT(DATE($P$3,MONTH(1&amp;$N$3),VALUE(LEFT(AD$5,2))),"yyyy-MM-dd")),0)),""))</f>
        <v/>
      </c>
      <c r="AE118" s="39" t="str">
        <f t="array" ref="AE118">IF(OR($A116="",AE$5=""),"",IFNA(INDEX(DATA_LOG!$C:$C,MATCH(1,(DATA_LOG!$A:$A=$A116)*(TEXT(DATA_LOG!$B:$B,"yyyy-MM-dd")=TEXT(DATE($P$3,MONTH(1&amp;$N$3),VALUE(LEFT(AE$5,2))),"yyyy-MM-dd")),0)),""))</f>
        <v/>
      </c>
      <c r="AF118" s="39" t="str">
        <f t="array" ref="AF118">IF(OR($A116="",AF$5=""),"",IFNA(INDEX(DATA_LOG!$C:$C,MATCH(1,(DATA_LOG!$A:$A=$A116)*(TEXT(DATA_LOG!$B:$B,"yyyy-MM-dd")=TEXT(DATE($P$3,MONTH(1&amp;$N$3),VALUE(LEFT(AF$5,2))),"yyyy-MM-dd")),0)),""))</f>
        <v/>
      </c>
    </row>
    <row r="119">
      <c r="A119" s="37" t="str">
        <f>IF($A116="", "", "OUT")</f>
        <v>OUT</v>
      </c>
      <c r="B119" s="39" t="str">
        <f t="array" ref="B119">IF(OR($A116="",B$5=""),"",IFNA(INDEX(DATA_LOG!$D:$D,MATCH(1,(DATA_LOG!$A:$A=$A116)*(TEXT(DATA_LOG!$B:$B,"yyyy-MM-dd")=TEXT(DATE($P$3,MONTH(1&amp;$N$3),VALUE(LEFT(B$5,2))),"yyyy-MM-dd")),0)),""))</f>
        <v/>
      </c>
      <c r="C119" s="39" t="str">
        <f t="array" ref="C119">IF(OR($A116="",C$5=""),"",IFNA(INDEX(DATA_LOG!$D:$D,MATCH(1,(DATA_LOG!$A:$A=$A116)*(TEXT(DATA_LOG!$B:$B,"yyyy-MM-dd")=TEXT(DATE($P$3,MONTH(1&amp;$N$3),VALUE(LEFT(C$5,2))),"yyyy-MM-dd")),0)),""))</f>
        <v/>
      </c>
      <c r="D119" s="39" t="str">
        <f t="array" ref="D119">IF(OR($A116="",D$5=""),"",IFNA(INDEX(DATA_LOG!$D:$D,MATCH(1,(DATA_LOG!$A:$A=$A116)*(TEXT(DATA_LOG!$B:$B,"yyyy-MM-dd")=TEXT(DATE($P$3,MONTH(1&amp;$N$3),VALUE(LEFT(D$5,2))),"yyyy-MM-dd")),0)),""))</f>
        <v/>
      </c>
      <c r="E119" s="39" t="str">
        <f t="array" ref="E119">IF(OR($A116="",E$5=""),"",IFNA(INDEX(DATA_LOG!$D:$D,MATCH(1,(DATA_LOG!$A:$A=$A116)*(TEXT(DATA_LOG!$B:$B,"yyyy-MM-dd")=TEXT(DATE($P$3,MONTH(1&amp;$N$3),VALUE(LEFT(E$5,2))),"yyyy-MM-dd")),0)),""))</f>
        <v/>
      </c>
      <c r="F119" s="39" t="str">
        <f t="array" ref="F119">IF(OR($A116="",F$5=""),"",IFNA(INDEX(DATA_LOG!$D:$D,MATCH(1,(DATA_LOG!$A:$A=$A116)*(TEXT(DATA_LOG!$B:$B,"yyyy-MM-dd")=TEXT(DATE($P$3,MONTH(1&amp;$N$3),VALUE(LEFT(F$5,2))),"yyyy-MM-dd")),0)),""))</f>
        <v/>
      </c>
      <c r="G119" s="39" t="str">
        <f t="array" ref="G119">IF(OR($A116="",G$5=""),"",IFNA(INDEX(DATA_LOG!$D:$D,MATCH(1,(DATA_LOG!$A:$A=$A116)*(TEXT(DATA_LOG!$B:$B,"yyyy-MM-dd")=TEXT(DATE($P$3,MONTH(1&amp;$N$3),VALUE(LEFT(G$5,2))),"yyyy-MM-dd")),0)),""))</f>
        <v/>
      </c>
      <c r="H119" s="39" t="str">
        <f t="array" ref="H119">IF(OR($A116="",H$5=""),"",IFNA(INDEX(DATA_LOG!$D:$D,MATCH(1,(DATA_LOG!$A:$A=$A116)*(TEXT(DATA_LOG!$B:$B,"yyyy-MM-dd")=TEXT(DATE($P$3,MONTH(1&amp;$N$3),VALUE(LEFT(H$5,2))),"yyyy-MM-dd")),0)),""))</f>
        <v/>
      </c>
      <c r="I119" s="39" t="str">
        <f t="array" ref="I119">IF(OR($A116="",I$5=""),"",IFNA(INDEX(DATA_LOG!$D:$D,MATCH(1,(DATA_LOG!$A:$A=$A116)*(TEXT(DATA_LOG!$B:$B,"yyyy-MM-dd")=TEXT(DATE($P$3,MONTH(1&amp;$N$3),VALUE(LEFT(I$5,2))),"yyyy-MM-dd")),0)),""))</f>
        <v/>
      </c>
      <c r="J119" s="39" t="str">
        <f t="array" ref="J119">IF(OR($A116="",J$5=""),"",IFNA(INDEX(DATA_LOG!$D:$D,MATCH(1,(DATA_LOG!$A:$A=$A116)*(TEXT(DATA_LOG!$B:$B,"yyyy-MM-dd")=TEXT(DATE($P$3,MONTH(1&amp;$N$3),VALUE(LEFT(J$5,2))),"yyyy-MM-dd")),0)),""))</f>
        <v/>
      </c>
      <c r="K119" s="39" t="str">
        <f t="array" ref="K119">IF(OR($A116="",K$5=""),"",IFNA(INDEX(DATA_LOG!$D:$D,MATCH(1,(DATA_LOG!$A:$A=$A116)*(TEXT(DATA_LOG!$B:$B,"yyyy-MM-dd")=TEXT(DATE($P$3,MONTH(1&amp;$N$3),VALUE(LEFT(K$5,2))),"yyyy-MM-dd")),0)),""))</f>
        <v/>
      </c>
      <c r="L119" s="39" t="str">
        <f t="array" ref="L119">IF(OR($A116="",L$5=""),"",IFNA(INDEX(DATA_LOG!$D:$D,MATCH(1,(DATA_LOG!$A:$A=$A116)*(TEXT(DATA_LOG!$B:$B,"yyyy-MM-dd")=TEXT(DATE($P$3,MONTH(1&amp;$N$3),VALUE(LEFT(L$5,2))),"yyyy-MM-dd")),0)),""))</f>
        <v/>
      </c>
      <c r="M119" s="39" t="str">
        <f t="array" ref="M119">IF(OR($A116="",M$5=""),"",IFNA(INDEX(DATA_LOG!$D:$D,MATCH(1,(DATA_LOG!$A:$A=$A116)*(TEXT(DATA_LOG!$B:$B,"yyyy-MM-dd")=TEXT(DATE($P$3,MONTH(1&amp;$N$3),VALUE(LEFT(M$5,2))),"yyyy-MM-dd")),0)),""))</f>
        <v/>
      </c>
      <c r="N119" s="39" t="str">
        <f t="array" ref="N119">IF(OR($A116="",N$5=""),"",IFNA(INDEX(DATA_LOG!$D:$D,MATCH(1,(DATA_LOG!$A:$A=$A116)*(TEXT(DATA_LOG!$B:$B,"yyyy-MM-dd")=TEXT(DATE($P$3,MONTH(1&amp;$N$3),VALUE(LEFT(N$5,2))),"yyyy-MM-dd")),0)),""))</f>
        <v/>
      </c>
      <c r="O119" s="39" t="str">
        <f t="array" ref="O119">IF(OR($A116="",O$5=""),"",IFNA(INDEX(DATA_LOG!$D:$D,MATCH(1,(DATA_LOG!$A:$A=$A116)*(TEXT(DATA_LOG!$B:$B,"yyyy-MM-dd")=TEXT(DATE($P$3,MONTH(1&amp;$N$3),VALUE(LEFT(O$5,2))),"yyyy-MM-dd")),0)),""))</f>
        <v/>
      </c>
      <c r="P119" s="39" t="str">
        <f t="array" ref="P119">IF(OR($A116="",P$5=""),"",IFNA(INDEX(DATA_LOG!$D:$D,MATCH(1,(DATA_LOG!$A:$A=$A116)*(TEXT(DATA_LOG!$B:$B,"yyyy-MM-dd")=TEXT(DATE($P$3,MONTH(1&amp;$N$3),VALUE(LEFT(P$5,2))),"yyyy-MM-dd")),0)),""))</f>
        <v/>
      </c>
      <c r="Q119" s="39" t="str">
        <f t="array" ref="Q119">IF(OR($A116="",Q$5=""),"",IFNA(INDEX(DATA_LOG!$D:$D,MATCH(1,(DATA_LOG!$A:$A=$A116)*(TEXT(DATA_LOG!$B:$B,"yyyy-MM-dd")=TEXT(DATE($P$3,MONTH(1&amp;$N$3),VALUE(LEFT(Q$5,2))),"yyyy-MM-dd")),0)),""))</f>
        <v/>
      </c>
      <c r="R119" s="39" t="str">
        <f t="array" ref="R119">IF(OR($A116="",R$5=""),"",IFNA(INDEX(DATA_LOG!$D:$D,MATCH(1,(DATA_LOG!$A:$A=$A116)*(TEXT(DATA_LOG!$B:$B,"yyyy-MM-dd")=TEXT(DATE($P$3,MONTH(1&amp;$N$3),VALUE(LEFT(R$5,2))),"yyyy-MM-dd")),0)),""))</f>
        <v/>
      </c>
      <c r="S119" s="39" t="str">
        <f t="array" ref="S119">IF(OR($A116="",S$5=""),"",IFNA(INDEX(DATA_LOG!$D:$D,MATCH(1,(DATA_LOG!$A:$A=$A116)*(TEXT(DATA_LOG!$B:$B,"yyyy-MM-dd")=TEXT(DATE($P$3,MONTH(1&amp;$N$3),VALUE(LEFT(S$5,2))),"yyyy-MM-dd")),0)),""))</f>
        <v/>
      </c>
      <c r="T119" s="39" t="str">
        <f t="array" ref="T119">IF(OR($A116="",T$5=""),"",IFNA(INDEX(DATA_LOG!$D:$D,MATCH(1,(DATA_LOG!$A:$A=$A116)*(TEXT(DATA_LOG!$B:$B,"yyyy-MM-dd")=TEXT(DATE($P$3,MONTH(1&amp;$N$3),VALUE(LEFT(T$5,2))),"yyyy-MM-dd")),0)),""))</f>
        <v/>
      </c>
      <c r="U119" s="39" t="str">
        <f t="array" ref="U119">IF(OR($A116="",U$5=""),"",IFNA(INDEX(DATA_LOG!$D:$D,MATCH(1,(DATA_LOG!$A:$A=$A116)*(TEXT(DATA_LOG!$B:$B,"yyyy-MM-dd")=TEXT(DATE($P$3,MONTH(1&amp;$N$3),VALUE(LEFT(U$5,2))),"yyyy-MM-dd")),0)),""))</f>
        <v/>
      </c>
      <c r="V119" s="39" t="str">
        <f t="array" ref="V119">IF(OR($A116="",V$5=""),"",IFNA(INDEX(DATA_LOG!$D:$D,MATCH(1,(DATA_LOG!$A:$A=$A116)*(TEXT(DATA_LOG!$B:$B,"yyyy-MM-dd")=TEXT(DATE($P$3,MONTH(1&amp;$N$3),VALUE(LEFT(V$5,2))),"yyyy-MM-dd")),0)),""))</f>
        <v/>
      </c>
      <c r="W119" s="39" t="str">
        <f t="array" ref="W119">IF(OR($A116="",W$5=""),"",IFNA(INDEX(DATA_LOG!$D:$D,MATCH(1,(DATA_LOG!$A:$A=$A116)*(TEXT(DATA_LOG!$B:$B,"yyyy-MM-dd")=TEXT(DATE($P$3,MONTH(1&amp;$N$3),VALUE(LEFT(W$5,2))),"yyyy-MM-dd")),0)),""))</f>
        <v/>
      </c>
      <c r="X119" s="39" t="str">
        <f t="array" ref="X119">IF(OR($A116="",X$5=""),"",IFNA(INDEX(DATA_LOG!$D:$D,MATCH(1,(DATA_LOG!$A:$A=$A116)*(TEXT(DATA_LOG!$B:$B,"yyyy-MM-dd")=TEXT(DATE($P$3,MONTH(1&amp;$N$3),VALUE(LEFT(X$5,2))),"yyyy-MM-dd")),0)),""))</f>
        <v/>
      </c>
      <c r="Y119" s="39" t="str">
        <f t="array" ref="Y119">IF(OR($A116="",Y$5=""),"",IFNA(INDEX(DATA_LOG!$D:$D,MATCH(1,(DATA_LOG!$A:$A=$A116)*(TEXT(DATA_LOG!$B:$B,"yyyy-MM-dd")=TEXT(DATE($P$3,MONTH(1&amp;$N$3),VALUE(LEFT(Y$5,2))),"yyyy-MM-dd")),0)),""))</f>
        <v/>
      </c>
      <c r="Z119" s="39" t="str">
        <f t="array" ref="Z119">IF(OR($A116="",Z$5=""),"",IFNA(INDEX(DATA_LOG!$D:$D,MATCH(1,(DATA_LOG!$A:$A=$A116)*(TEXT(DATA_LOG!$B:$B,"yyyy-MM-dd")=TEXT(DATE($P$3,MONTH(1&amp;$N$3),VALUE(LEFT(Z$5,2))),"yyyy-MM-dd")),0)),""))</f>
        <v/>
      </c>
      <c r="AA119" s="39" t="str">
        <f t="array" ref="AA119">IF(OR($A116="",AA$5=""),"",IFNA(INDEX(DATA_LOG!$D:$D,MATCH(1,(DATA_LOG!$A:$A=$A116)*(TEXT(DATA_LOG!$B:$B,"yyyy-MM-dd")=TEXT(DATE($P$3,MONTH(1&amp;$N$3),VALUE(LEFT(AA$5,2))),"yyyy-MM-dd")),0)),""))</f>
        <v/>
      </c>
      <c r="AB119" s="39" t="str">
        <f t="array" ref="AB119">IF(OR($A116="",AB$5=""),"",IFNA(INDEX(DATA_LOG!$D:$D,MATCH(1,(DATA_LOG!$A:$A=$A116)*(TEXT(DATA_LOG!$B:$B,"yyyy-MM-dd")=TEXT(DATE($P$3,MONTH(1&amp;$N$3),VALUE(LEFT(AB$5,2))),"yyyy-MM-dd")),0)),""))</f>
        <v/>
      </c>
      <c r="AC119" s="39" t="str">
        <f t="array" ref="AC119">IF(OR($A116="",AC$5=""),"",IFNA(INDEX(DATA_LOG!$D:$D,MATCH(1,(DATA_LOG!$A:$A=$A116)*(TEXT(DATA_LOG!$B:$B,"yyyy-MM-dd")=TEXT(DATE($P$3,MONTH(1&amp;$N$3),VALUE(LEFT(AC$5,2))),"yyyy-MM-dd")),0)),""))</f>
        <v/>
      </c>
      <c r="AD119" s="39" t="str">
        <f t="array" ref="AD119">IF(OR($A116="",AD$5=""),"",IFNA(INDEX(DATA_LOG!$D:$D,MATCH(1,(DATA_LOG!$A:$A=$A116)*(TEXT(DATA_LOG!$B:$B,"yyyy-MM-dd")=TEXT(DATE($P$3,MONTH(1&amp;$N$3),VALUE(LEFT(AD$5,2))),"yyyy-MM-dd")),0)),""))</f>
        <v/>
      </c>
      <c r="AE119" s="39" t="str">
        <f t="array" ref="AE119">IF(OR($A116="",AE$5=""),"",IFNA(INDEX(DATA_LOG!$D:$D,MATCH(1,(DATA_LOG!$A:$A=$A116)*(TEXT(DATA_LOG!$B:$B,"yyyy-MM-dd")=TEXT(DATE($P$3,MONTH(1&amp;$N$3),VALUE(LEFT(AE$5,2))),"yyyy-MM-dd")),0)),""))</f>
        <v/>
      </c>
      <c r="AF119" s="39" t="str">
        <f t="array" ref="AF119">IF(OR($A116="",AF$5=""),"",IFNA(INDEX(DATA_LOG!$D:$D,MATCH(1,(DATA_LOG!$A:$A=$A116)*(TEXT(DATA_LOG!$B:$B,"yyyy-MM-dd")=TEXT(DATE($P$3,MONTH(1&amp;$N$3),VALUE(LEFT(AF$5,2))),"yyyy-MM-dd")),0)),""))</f>
        <v/>
      </c>
    </row>
    <row r="120">
      <c r="A120" s="40" t="str">
        <f>IF($A116="", "", "TOTAL")</f>
        <v>TOTAL</v>
      </c>
      <c r="B120" s="41" t="str">
        <f t="shared" ref="B120:AF120" si="17">IF(AND(B118&lt;&gt;"",B119&lt;&gt;""),TEXT(MOD(B119-B118,1),"hh:mm"),"")</f>
        <v/>
      </c>
      <c r="C120" s="34" t="str">
        <f t="shared" si="17"/>
        <v/>
      </c>
      <c r="D120" s="34" t="str">
        <f t="shared" si="17"/>
        <v/>
      </c>
      <c r="E120" s="34" t="str">
        <f t="shared" si="17"/>
        <v/>
      </c>
      <c r="F120" s="34" t="str">
        <f t="shared" si="17"/>
        <v/>
      </c>
      <c r="G120" s="34" t="str">
        <f t="shared" si="17"/>
        <v/>
      </c>
      <c r="H120" s="34" t="str">
        <f t="shared" si="17"/>
        <v/>
      </c>
      <c r="I120" s="34" t="str">
        <f t="shared" si="17"/>
        <v/>
      </c>
      <c r="J120" s="34" t="str">
        <f t="shared" si="17"/>
        <v/>
      </c>
      <c r="K120" s="34" t="str">
        <f t="shared" si="17"/>
        <v/>
      </c>
      <c r="L120" s="34" t="str">
        <f t="shared" si="17"/>
        <v/>
      </c>
      <c r="M120" s="34" t="str">
        <f t="shared" si="17"/>
        <v/>
      </c>
      <c r="N120" s="34" t="str">
        <f t="shared" si="17"/>
        <v/>
      </c>
      <c r="O120" s="34" t="str">
        <f t="shared" si="17"/>
        <v/>
      </c>
      <c r="P120" s="34" t="str">
        <f t="shared" si="17"/>
        <v/>
      </c>
      <c r="Q120" s="34" t="str">
        <f t="shared" si="17"/>
        <v/>
      </c>
      <c r="R120" s="34" t="str">
        <f t="shared" si="17"/>
        <v/>
      </c>
      <c r="S120" s="34" t="str">
        <f t="shared" si="17"/>
        <v/>
      </c>
      <c r="T120" s="34" t="str">
        <f t="shared" si="17"/>
        <v/>
      </c>
      <c r="U120" s="34" t="str">
        <f t="shared" si="17"/>
        <v/>
      </c>
      <c r="V120" s="34" t="str">
        <f t="shared" si="17"/>
        <v/>
      </c>
      <c r="W120" s="34" t="str">
        <f t="shared" si="17"/>
        <v/>
      </c>
      <c r="X120" s="34" t="str">
        <f t="shared" si="17"/>
        <v/>
      </c>
      <c r="Y120" s="34" t="str">
        <f t="shared" si="17"/>
        <v/>
      </c>
      <c r="Z120" s="34" t="str">
        <f t="shared" si="17"/>
        <v/>
      </c>
      <c r="AA120" s="34" t="str">
        <f t="shared" si="17"/>
        <v/>
      </c>
      <c r="AB120" s="34" t="str">
        <f t="shared" si="17"/>
        <v/>
      </c>
      <c r="AC120" s="34" t="str">
        <f t="shared" si="17"/>
        <v/>
      </c>
      <c r="AD120" s="34" t="str">
        <f t="shared" si="17"/>
        <v/>
      </c>
      <c r="AE120" s="34" t="str">
        <f t="shared" si="17"/>
        <v/>
      </c>
      <c r="AF120" s="34" t="str">
        <f t="shared" si="17"/>
        <v/>
      </c>
    </row>
    <row r="121">
      <c r="A121" s="42" t="str">
        <f>IF($A116="", "", "STATUS")</f>
        <v>STATUS</v>
      </c>
      <c r="B121" s="43" t="str">
        <f>IFERROR(__xludf.DUMMYFUNCTION("IF($A116="""","""",IF(B$5="""","""",LET(logStatus,IFNA(INDEX(DATA_LOG!$E:$E,MATCH(1,(DATA_LOG!$A:$A=$A116)*(TEXT(DATA_LOG!$B:$B,""yyyy-MM-dd"")=TEXT(DATE($P$3,MONTH(1&amp;$N$3),VALUE(LEFT(B$5,2))),""yyyy-MM-dd"")),0)),""""),IF(logStatus&lt;&gt;"""",UPPER(logStatus)"&amp;",IF(B120&lt;&gt;"""",IF(VALUE(B120)&gt;=9/24,""FD"",""HD""),IF(REGEXMATCH(B$5,""SUN""),""WO"",""-""))))))"),"-")</f>
        <v>-</v>
      </c>
      <c r="C121" s="43" t="str">
        <f>IFERROR(__xludf.DUMMYFUNCTION("IF($A116="""","""",IF(C$5="""","""",LET(logStatus,IFNA(INDEX(DATA_LOG!$E:$E,MATCH(1,(DATA_LOG!$A:$A=$A116)*(TEXT(DATA_LOG!$B:$B,""yyyy-MM-dd"")=TEXT(DATE($P$3,MONTH(1&amp;$N$3),VALUE(LEFT(C$5,2))),""yyyy-MM-dd"")),0)),""""),IF(logStatus&lt;&gt;"""",UPPER(logStatus)"&amp;",IF(C120&lt;&gt;"""",IF(VALUE(C120)&gt;=9/24,""FD"",""HD""),IF(REGEXMATCH(C$5,""SUN""),""WO"",""-""))))))"),"-")</f>
        <v>-</v>
      </c>
      <c r="D121" s="43" t="str">
        <f>IFERROR(__xludf.DUMMYFUNCTION("IF($A116="""","""",IF(D$5="""","""",LET(logStatus,IFNA(INDEX(DATA_LOG!$E:$E,MATCH(1,(DATA_LOG!$A:$A=$A116)*(TEXT(DATA_LOG!$B:$B,""yyyy-MM-dd"")=TEXT(DATE($P$3,MONTH(1&amp;$N$3),VALUE(LEFT(D$5,2))),""yyyy-MM-dd"")),0)),""""),IF(logStatus&lt;&gt;"""",UPPER(logStatus)"&amp;",IF(D120&lt;&gt;"""",IF(VALUE(D120)&gt;=9/24,""FD"",""HD""),IF(REGEXMATCH(D$5,""SUN""),""WO"",""-""))))))"),"-")</f>
        <v>-</v>
      </c>
      <c r="E121" s="43" t="str">
        <f>IFERROR(__xludf.DUMMYFUNCTION("IF($A116="""","""",IF(E$5="""","""",LET(logStatus,IFNA(INDEX(DATA_LOG!$E:$E,MATCH(1,(DATA_LOG!$A:$A=$A116)*(TEXT(DATA_LOG!$B:$B,""yyyy-MM-dd"")=TEXT(DATE($P$3,MONTH(1&amp;$N$3),VALUE(LEFT(E$5,2))),""yyyy-MM-dd"")),0)),""""),IF(logStatus&lt;&gt;"""",UPPER(logStatus)"&amp;",IF(E120&lt;&gt;"""",IF(VALUE(E120)&gt;=9/24,""FD"",""HD""),IF(REGEXMATCH(E$5,""SUN""),""WO"",""-""))))))"),"-")</f>
        <v>-</v>
      </c>
      <c r="F121" s="43" t="str">
        <f>IFERROR(__xludf.DUMMYFUNCTION("IF($A116="""","""",IF(F$117="""","""",LET(logStatus,IFNA(INDEX(DATA_LOG!$E:$E,MATCH(1,(DATA_LOG!$A:$A=$A116)*(TEXT(DATA_LOG!$B:$B,""yyyy-MM-dd"")=TEXT(DATE($P$3,MONTH(1&amp;$N$3),VALUE(LEFT(F$117,2))),""yyyy-MM-dd"")),0)),""""),selectedDate,DATE($P$3,MONTH(1&amp;"&amp;"$N$3),VALUE(LEFT(F$117,2))),IF(logStatus&lt;&gt;"""",UPPER(logStatus),IF(selectedDate&gt;TODAY(),""-"",IF(REGEXMATCH(F$117,""SUN""),""WO"",IF(F$120&lt;&gt;"""",IF(VALUE(F$120)&gt;=9/24,""FD"",""HD""),""A"")))))))"),"A")</f>
        <v>A</v>
      </c>
      <c r="G121" s="43" t="str">
        <f>IFERROR(__xludf.DUMMYFUNCTION("IF($A116="""","""",IF(G$117="""","""",LET(logStatus,IFNA(INDEX(DATA_LOG!$E:$E,MATCH(1,(DATA_LOG!$A:$A=$A116)*(TEXT(DATA_LOG!$B:$B,""yyyy-MM-dd"")=TEXT(DATE($P$3,MONTH(1&amp;$N$3),VALUE(LEFT(G$117,2))),""yyyy-MM-dd"")),0)),""""),selectedDate,DATE($P$3,MONTH(1&amp;"&amp;"$N$3),VALUE(LEFT(G$117,2))),IF(logStatus&lt;&gt;"""",UPPER(logStatus),IF(selectedDate&gt;TODAY(),""-"",IF(REGEXMATCH(G$117,""SUN""),""WO"",IF(G$120&lt;&gt;"""",IF(VALUE(G$120)&gt;=9/24,""FD"",""HD""),""A"")))))))"),"WO")</f>
        <v>WO</v>
      </c>
      <c r="H121" s="43" t="str">
        <f>IFERROR(__xludf.DUMMYFUNCTION("IF($A116="""","""",IF(H$117="""","""",LET(logStatus,IFNA(INDEX(DATA_LOG!$E:$E,MATCH(1,(DATA_LOG!$A:$A=$A116)*(TEXT(DATA_LOG!$B:$B,""yyyy-MM-dd"")=TEXT(DATE($P$3,MONTH(1&amp;$N$3),VALUE(LEFT(H$117,2))),""yyyy-MM-dd"")),0)),""""),selectedDate,DATE($P$3,MONTH(1&amp;"&amp;"$N$3),VALUE(LEFT(H$117,2))),IF(logStatus&lt;&gt;"""",UPPER(logStatus),IF(selectedDate&gt;TODAY(),""-"",IF(REGEXMATCH(H$117,""SUN""),""WO"",IF(H$120&lt;&gt;"""",IF(VALUE(H$120)&gt;=9/24,""FD"",""HD""),""A"")))))))"),"A")</f>
        <v>A</v>
      </c>
      <c r="I121" s="43" t="str">
        <f>IFERROR(__xludf.DUMMYFUNCTION("IF($A116="""","""",IF(I$117="""","""",LET(logStatus,IFNA(INDEX(DATA_LOG!$E:$E,MATCH(1,(DATA_LOG!$A:$A=$A116)*(TEXT(DATA_LOG!$B:$B,""yyyy-MM-dd"")=TEXT(DATE($P$3,MONTH(1&amp;$N$3),VALUE(LEFT(I$117,2))),""yyyy-MM-dd"")),0)),""""),selectedDate,DATE($P$3,MONTH(1&amp;"&amp;"$N$3),VALUE(LEFT(I$117,2))),IF(logStatus&lt;&gt;"""",UPPER(logStatus),IF(selectedDate&gt;TODAY(),""-"",IF(REGEXMATCH(I$117,""SUN""),""WO"",IF(I$120&lt;&gt;"""",IF(VALUE(I$120)&gt;=9/24,""FD"",""HD""),""A"")))))))"),"A")</f>
        <v>A</v>
      </c>
      <c r="J121" s="43" t="str">
        <f>IFERROR(__xludf.DUMMYFUNCTION("IF($A116="""","""",IF(J$117="""","""",LET(logStatus,IFNA(INDEX(DATA_LOG!$E:$E,MATCH(1,(DATA_LOG!$A:$A=$A116)*(TEXT(DATA_LOG!$B:$B,""yyyy-MM-dd"")=TEXT(DATE($P$3,MONTH(1&amp;$N$3),VALUE(LEFT(J$117,2))),""yyyy-MM-dd"")),0)),""""),selectedDate,DATE($P$3,MONTH(1&amp;"&amp;"$N$3),VALUE(LEFT(J$117,2))),IF(logStatus&lt;&gt;"""",UPPER(logStatus),IF(selectedDate&gt;TODAY(),""-"",IF(REGEXMATCH(J$117,""SUN""),""WO"",IF(J$120&lt;&gt;"""",IF(VALUE(J$120)&gt;=9/24,""FD"",""HD""),""A"")))))))"),"A")</f>
        <v>A</v>
      </c>
      <c r="K121" s="43" t="str">
        <f>IFERROR(__xludf.DUMMYFUNCTION("IF($A116="""","""",IF(K$117="""","""",LET(logStatus,IFNA(INDEX(DATA_LOG!$E:$E,MATCH(1,(DATA_LOG!$A:$A=$A116)*(TEXT(DATA_LOG!$B:$B,""yyyy-MM-dd"")=TEXT(DATE($P$3,MONTH(1&amp;$N$3),VALUE(LEFT(K$117,2))),""yyyy-MM-dd"")),0)),""""),selectedDate,DATE($P$3,MONTH(1&amp;"&amp;"$N$3),VALUE(LEFT(K$117,2))),IF(logStatus&lt;&gt;"""",UPPER(logStatus),IF(selectedDate&gt;TODAY(),""-"",IF(REGEXMATCH(K$117,""SUN""),""WO"",IF(K$120&lt;&gt;"""",IF(VALUE(K$120)&gt;=9/24,""FD"",""HD""),""A"")))))))"),"A")</f>
        <v>A</v>
      </c>
      <c r="L121" s="43" t="str">
        <f>IFERROR(__xludf.DUMMYFUNCTION("IF($A116="""","""",IF(L$117="""","""",LET(logStatus,IFNA(INDEX(DATA_LOG!$E:$E,MATCH(1,(DATA_LOG!$A:$A=$A116)*(TEXT(DATA_LOG!$B:$B,""yyyy-MM-dd"")=TEXT(DATE($P$3,MONTH(1&amp;$N$3),VALUE(LEFT(L$117,2))),""yyyy-MM-dd"")),0)),""""),selectedDate,DATE($P$3,MONTH(1&amp;"&amp;"$N$3),VALUE(LEFT(L$117,2))),IF(logStatus&lt;&gt;"""",UPPER(logStatus),IF(selectedDate&gt;TODAY(),""-"",IF(REGEXMATCH(L$117,""SUN""),""WO"",IF(L$120&lt;&gt;"""",IF(VALUE(L$120)&gt;=9/24,""FD"",""HD""),""A"")))))))"),"A")</f>
        <v>A</v>
      </c>
      <c r="M121" s="43" t="str">
        <f>IFERROR(__xludf.DUMMYFUNCTION("IF($A116="""","""",IF(M$117="""","""",LET(logStatus,IFNA(INDEX(DATA_LOG!$E:$E,MATCH(1,(DATA_LOG!$A:$A=$A116)*(TEXT(DATA_LOG!$B:$B,""yyyy-MM-dd"")=TEXT(DATE($P$3,MONTH(1&amp;$N$3),VALUE(LEFT(M$117,2))),""yyyy-MM-dd"")),0)),""""),selectedDate,DATE($P$3,MONTH(1&amp;"&amp;"$N$3),VALUE(LEFT(M$117,2))),IF(logStatus&lt;&gt;"""",UPPER(logStatus),IF(selectedDate&gt;TODAY(),""-"",IF(REGEXMATCH(M$117,""SUN""),""WO"",IF(M$120&lt;&gt;"""",IF(VALUE(M$120)&gt;=9/24,""FD"",""HD""),""A"")))))))"),"-")</f>
        <v>-</v>
      </c>
      <c r="N121" s="43" t="str">
        <f>IFERROR(__xludf.DUMMYFUNCTION("IF($A116="""","""",IF(N$117="""","""",LET(logStatus,IFNA(INDEX(DATA_LOG!$E:$E,MATCH(1,(DATA_LOG!$A:$A=$A116)*(TEXT(DATA_LOG!$B:$B,""yyyy-MM-dd"")=TEXT(DATE($P$3,MONTH(1&amp;$N$3),VALUE(LEFT(N$117,2))),""yyyy-MM-dd"")),0)),""""),selectedDate,DATE($P$3,MONTH(1&amp;"&amp;"$N$3),VALUE(LEFT(N$117,2))),IF(logStatus&lt;&gt;"""",UPPER(logStatus),IF(selectedDate&gt;TODAY(),""-"",IF(REGEXMATCH(N$117,""SUN""),""WO"",IF(N$120&lt;&gt;"""",IF(VALUE(N$120)&gt;=9/24,""FD"",""HD""),""A"")))))))"),"-")</f>
        <v>-</v>
      </c>
      <c r="O121" s="43" t="str">
        <f>IFERROR(__xludf.DUMMYFUNCTION("IF($A116="""","""",IF(O$117="""","""",LET(logStatus,IFNA(INDEX(DATA_LOG!$E:$E,MATCH(1,(DATA_LOG!$A:$A=$A116)*(TEXT(DATA_LOG!$B:$B,""yyyy-MM-dd"")=TEXT(DATE($P$3,MONTH(1&amp;$N$3),VALUE(LEFT(O$117,2))),""yyyy-MM-dd"")),0)),""""),selectedDate,DATE($P$3,MONTH(1&amp;"&amp;"$N$3),VALUE(LEFT(O$117,2))),IF(logStatus&lt;&gt;"""",UPPER(logStatus),IF(selectedDate&gt;TODAY(),""-"",IF(REGEXMATCH(O$117,""SUN""),""WO"",IF(O$120&lt;&gt;"""",IF(VALUE(O$120)&gt;=9/24,""FD"",""HD""),""A"")))))))"),"-")</f>
        <v>-</v>
      </c>
      <c r="P121" s="43" t="str">
        <f>IFERROR(__xludf.DUMMYFUNCTION("IF($A116="""","""",IF(P$117="""","""",LET(logStatus,IFNA(INDEX(DATA_LOG!$E:$E,MATCH(1,(DATA_LOG!$A:$A=$A116)*(TEXT(DATA_LOG!$B:$B,""yyyy-MM-dd"")=TEXT(DATE($P$3,MONTH(1&amp;$N$3),VALUE(LEFT(P$117,2))),""yyyy-MM-dd"")),0)),""""),selectedDate,DATE($P$3,MONTH(1&amp;"&amp;"$N$3),VALUE(LEFT(P$117,2))),IF(logStatus&lt;&gt;"""",UPPER(logStatus),IF(selectedDate&gt;TODAY(),""-"",IF(REGEXMATCH(P$117,""SUN""),""WO"",IF(P$120&lt;&gt;"""",IF(VALUE(P$120)&gt;=9/24,""FD"",""HD""),""A"")))))))"),"-")</f>
        <v>-</v>
      </c>
      <c r="Q121" s="43" t="str">
        <f>IFERROR(__xludf.DUMMYFUNCTION("IF($A116="""","""",IF(Q$117="""","""",LET(logStatus,IFNA(INDEX(DATA_LOG!$E:$E,MATCH(1,(DATA_LOG!$A:$A=$A116)*(TEXT(DATA_LOG!$B:$B,""yyyy-MM-dd"")=TEXT(DATE($P$3,MONTH(1&amp;$N$3),VALUE(LEFT(Q$117,2))),""yyyy-MM-dd"")),0)),""""),selectedDate,DATE($P$3,MONTH(1&amp;"&amp;"$N$3),VALUE(LEFT(Q$117,2))),IF(logStatus&lt;&gt;"""",UPPER(logStatus),IF(selectedDate&gt;TODAY(),""-"",IF(REGEXMATCH(Q$117,""SUN""),""WO"",IF(Q$120&lt;&gt;"""",IF(VALUE(Q$120)&gt;=9/24,""FD"",""HD""),""A"")))))))"),"-")</f>
        <v>-</v>
      </c>
      <c r="R121" s="43" t="str">
        <f>IFERROR(__xludf.DUMMYFUNCTION("IF($A116="""","""",IF(R$117="""","""",LET(logStatus,IFNA(INDEX(DATA_LOG!$E:$E,MATCH(1,(DATA_LOG!$A:$A=$A116)*(TEXT(DATA_LOG!$B:$B,""yyyy-MM-dd"")=TEXT(DATE($P$3,MONTH(1&amp;$N$3),VALUE(LEFT(R$117,2))),""yyyy-MM-dd"")),0)),""""),selectedDate,DATE($P$3,MONTH(1&amp;"&amp;"$N$3),VALUE(LEFT(R$117,2))),IF(logStatus&lt;&gt;"""",UPPER(logStatus),IF(selectedDate&gt;TODAY(),""-"",IF(REGEXMATCH(R$117,""SUN""),""WO"",IF(R$120&lt;&gt;"""",IF(VALUE(R$120)&gt;=9/24,""FD"",""HD""),""A"")))))))"),"-")</f>
        <v>-</v>
      </c>
      <c r="S121" s="43" t="str">
        <f>IFERROR(__xludf.DUMMYFUNCTION("IF($A116="""","""",IF(S$117="""","""",LET(logStatus,IFNA(INDEX(DATA_LOG!$E:$E,MATCH(1,(DATA_LOG!$A:$A=$A116)*(TEXT(DATA_LOG!$B:$B,""yyyy-MM-dd"")=TEXT(DATE($P$3,MONTH(1&amp;$N$3),VALUE(LEFT(S$117,2))),""yyyy-MM-dd"")),0)),""""),selectedDate,DATE($P$3,MONTH(1&amp;"&amp;"$N$3),VALUE(LEFT(S$117,2))),IF(logStatus&lt;&gt;"""",UPPER(logStatus),IF(selectedDate&gt;TODAY(),""-"",IF(REGEXMATCH(S$117,""SUN""),""WO"",IF(S$120&lt;&gt;"""",IF(VALUE(S$120)&gt;=9/24,""FD"",""HD""),""A"")))))))"),"-")</f>
        <v>-</v>
      </c>
      <c r="T121" s="43" t="str">
        <f>IFERROR(__xludf.DUMMYFUNCTION("IF($A116="""","""",IF(T$117="""","""",LET(logStatus,IFNA(INDEX(DATA_LOG!$E:$E,MATCH(1,(DATA_LOG!$A:$A=$A116)*(TEXT(DATA_LOG!$B:$B,""yyyy-MM-dd"")=TEXT(DATE($P$3,MONTH(1&amp;$N$3),VALUE(LEFT(T$117,2))),""yyyy-MM-dd"")),0)),""""),selectedDate,DATE($P$3,MONTH(1&amp;"&amp;"$N$3),VALUE(LEFT(T$117,2))),IF(logStatus&lt;&gt;"""",UPPER(logStatus),IF(selectedDate&gt;TODAY(),""-"",IF(REGEXMATCH(T$117,""SUN""),""WO"",IF(T$120&lt;&gt;"""",IF(VALUE(T$120)&gt;=9/24,""FD"",""HD""),""A"")))))))"),"-")</f>
        <v>-</v>
      </c>
      <c r="U121" s="43" t="str">
        <f>IFERROR(__xludf.DUMMYFUNCTION("IF($A116="""","""",IF(U$117="""","""",LET(logStatus,IFNA(INDEX(DATA_LOG!$E:$E,MATCH(1,(DATA_LOG!$A:$A=$A116)*(TEXT(DATA_LOG!$B:$B,""yyyy-MM-dd"")=TEXT(DATE($P$3,MONTH(1&amp;$N$3),VALUE(LEFT(U$117,2))),""yyyy-MM-dd"")),0)),""""),selectedDate,DATE($P$3,MONTH(1&amp;"&amp;"$N$3),VALUE(LEFT(U$117,2))),IF(logStatus&lt;&gt;"""",UPPER(logStatus),IF(selectedDate&gt;TODAY(),""-"",IF(REGEXMATCH(U$117,""SUN""),""WO"",IF(U$120&lt;&gt;"""",IF(VALUE(U$120)&gt;=9/24,""FD"",""HD""),""A"")))))))"),"-")</f>
        <v>-</v>
      </c>
      <c r="V121" s="43" t="str">
        <f>IFERROR(__xludf.DUMMYFUNCTION("IF($A116="""","""",IF(V$117="""","""",LET(logStatus,IFNA(INDEX(DATA_LOG!$E:$E,MATCH(1,(DATA_LOG!$A:$A=$A116)*(TEXT(DATA_LOG!$B:$B,""yyyy-MM-dd"")=TEXT(DATE($P$3,MONTH(1&amp;$N$3),VALUE(LEFT(V$117,2))),""yyyy-MM-dd"")),0)),""""),selectedDate,DATE($P$3,MONTH(1&amp;"&amp;"$N$3),VALUE(LEFT(V$117,2))),IF(logStatus&lt;&gt;"""",UPPER(logStatus),IF(selectedDate&gt;TODAY(),""-"",IF(REGEXMATCH(V$117,""SUN""),""WO"",IF(V$120&lt;&gt;"""",IF(VALUE(V$120)&gt;=9/24,""FD"",""HD""),""A"")))))))"),"-")</f>
        <v>-</v>
      </c>
      <c r="W121" s="43" t="str">
        <f>IFERROR(__xludf.DUMMYFUNCTION("IF($A116="""","""",IF(W$117="""","""",LET(logStatus,IFNA(INDEX(DATA_LOG!$E:$E,MATCH(1,(DATA_LOG!$A:$A=$A116)*(TEXT(DATA_LOG!$B:$B,""yyyy-MM-dd"")=TEXT(DATE($P$3,MONTH(1&amp;$N$3),VALUE(LEFT(W$117,2))),""yyyy-MM-dd"")),0)),""""),selectedDate,DATE($P$3,MONTH(1&amp;"&amp;"$N$3),VALUE(LEFT(W$117,2))),IF(logStatus&lt;&gt;"""",UPPER(logStatus),IF(selectedDate&gt;TODAY(),""-"",IF(REGEXMATCH(W$117,""SUN""),""WO"",IF(W$120&lt;&gt;"""",IF(VALUE(W$120)&gt;=9/24,""FD"",""HD""),""A"")))))))"),"-")</f>
        <v>-</v>
      </c>
      <c r="X121" s="43" t="str">
        <f>IFERROR(__xludf.DUMMYFUNCTION("IF($A116="""","""",IF(X$117="""","""",LET(logStatus,IFNA(INDEX(DATA_LOG!$E:$E,MATCH(1,(DATA_LOG!$A:$A=$A116)*(TEXT(DATA_LOG!$B:$B,""yyyy-MM-dd"")=TEXT(DATE($P$3,MONTH(1&amp;$N$3),VALUE(LEFT(X$117,2))),""yyyy-MM-dd"")),0)),""""),selectedDate,DATE($P$3,MONTH(1&amp;"&amp;"$N$3),VALUE(LEFT(X$117,2))),IF(logStatus&lt;&gt;"""",UPPER(logStatus),IF(selectedDate&gt;TODAY(),""-"",IF(REGEXMATCH(X$117,""SUN""),""WO"",IF(X$120&lt;&gt;"""",IF(VALUE(X$120)&gt;=9/24,""FD"",""HD""),""A"")))))))"),"-")</f>
        <v>-</v>
      </c>
      <c r="Y121" s="43" t="str">
        <f>IFERROR(__xludf.DUMMYFUNCTION("IF($A116="""","""",IF(Y$117="""","""",LET(logStatus,IFNA(INDEX(DATA_LOG!$E:$E,MATCH(1,(DATA_LOG!$A:$A=$A116)*(TEXT(DATA_LOG!$B:$B,""yyyy-MM-dd"")=TEXT(DATE($P$3,MONTH(1&amp;$N$3),VALUE(LEFT(Y$117,2))),""yyyy-MM-dd"")),0)),""""),selectedDate,DATE($P$3,MONTH(1&amp;"&amp;"$N$3),VALUE(LEFT(Y$117,2))),IF(logStatus&lt;&gt;"""",UPPER(logStatus),IF(selectedDate&gt;TODAY(),""-"",IF(REGEXMATCH(Y$117,""SUN""),""WO"",IF(Y$120&lt;&gt;"""",IF(VALUE(Y$120)&gt;=9/24,""FD"",""HD""),""A"")))))))"),"-")</f>
        <v>-</v>
      </c>
      <c r="Z121" s="43" t="str">
        <f>IFERROR(__xludf.DUMMYFUNCTION("IF($A116="""","""",IF(Z$117="""","""",LET(logStatus,IFNA(INDEX(DATA_LOG!$E:$E,MATCH(1,(DATA_LOG!$A:$A=$A116)*(TEXT(DATA_LOG!$B:$B,""yyyy-MM-dd"")=TEXT(DATE($P$3,MONTH(1&amp;$N$3),VALUE(LEFT(Z$117,2))),""yyyy-MM-dd"")),0)),""""),selectedDate,DATE($P$3,MONTH(1&amp;"&amp;"$N$3),VALUE(LEFT(Z$117,2))),IF(logStatus&lt;&gt;"""",UPPER(logStatus),IF(selectedDate&gt;TODAY(),""-"",IF(REGEXMATCH(Z$117,""SUN""),""WO"",IF(Z$120&lt;&gt;"""",IF(VALUE(Z$120)&gt;=9/24,""FD"",""HD""),""A"")))))))"),"-")</f>
        <v>-</v>
      </c>
      <c r="AA121" s="43" t="str">
        <f>IFERROR(__xludf.DUMMYFUNCTION("IF($A116="""","""",IF(AA$117="""","""",LET(logStatus,IFNA(INDEX(DATA_LOG!$E:$E,MATCH(1,(DATA_LOG!$A:$A=$A116)*(TEXT(DATA_LOG!$B:$B,""yyyy-MM-dd"")=TEXT(DATE($P$3,MONTH(1&amp;$N$3),VALUE(LEFT(AA$117,2))),""yyyy-MM-dd"")),0)),""""),selectedDate,DATE($P$3,MONTH("&amp;"1&amp;$N$3),VALUE(LEFT(AA$117,2))),IF(logStatus&lt;&gt;"""",UPPER(logStatus),IF(selectedDate&gt;TODAY(),""-"",IF(REGEXMATCH(AA$117,""SUN""),""WO"",IF(AA$120&lt;&gt;"""",IF(VALUE(AA$120)&gt;=9/24,""FD"",""HD""),""A"")))))))"),"-")</f>
        <v>-</v>
      </c>
      <c r="AB121" s="43" t="str">
        <f>IFERROR(__xludf.DUMMYFUNCTION("IF($A116="""","""",IF(AB$117="""","""",LET(logStatus,IFNA(INDEX(DATA_LOG!$E:$E,MATCH(1,(DATA_LOG!$A:$A=$A116)*(TEXT(DATA_LOG!$B:$B,""yyyy-MM-dd"")=TEXT(DATE($P$3,MONTH(1&amp;$N$3),VALUE(LEFT(AB$117,2))),""yyyy-MM-dd"")),0)),""""),selectedDate,DATE($P$3,MONTH("&amp;"1&amp;$N$3),VALUE(LEFT(AB$117,2))),IF(logStatus&lt;&gt;"""",UPPER(logStatus),IF(selectedDate&gt;TODAY(),""-"",IF(REGEXMATCH(AB$117,""SUN""),""WO"",IF(AB$120&lt;&gt;"""",IF(VALUE(AB$120)&gt;=9/24,""FD"",""HD""),""A"")))))))"),"-")</f>
        <v>-</v>
      </c>
      <c r="AC121" s="43" t="str">
        <f>IFERROR(__xludf.DUMMYFUNCTION("IF($A116="""","""",IF(AC$117="""","""",LET(logStatus,IFNA(INDEX(DATA_LOG!$E:$E,MATCH(1,(DATA_LOG!$A:$A=$A116)*(TEXT(DATA_LOG!$B:$B,""yyyy-MM-dd"")=TEXT(DATE($P$3,MONTH(1&amp;$N$3),VALUE(LEFT(AC$117,2))),""yyyy-MM-dd"")),0)),""""),selectedDate,DATE($P$3,MONTH("&amp;"1&amp;$N$3),VALUE(LEFT(AC$117,2))),IF(logStatus&lt;&gt;"""",UPPER(logStatus),IF(selectedDate&gt;TODAY(),""-"",IF(REGEXMATCH(AC$117,""SUN""),""WO"",IF(AC$120&lt;&gt;"""",IF(VALUE(AC$120)&gt;=9/24,""FD"",""HD""),""A"")))))))"),"-")</f>
        <v>-</v>
      </c>
      <c r="AD121" s="43" t="str">
        <f>IFERROR(__xludf.DUMMYFUNCTION("IF($A116="""","""",IF(AD$117="""","""",LET(logStatus,IFNA(INDEX(DATA_LOG!$E:$E,MATCH(1,(DATA_LOG!$A:$A=$A116)*(TEXT(DATA_LOG!$B:$B,""yyyy-MM-dd"")=TEXT(DATE($P$3,MONTH(1&amp;$N$3),VALUE(LEFT(AD$117,2))),""yyyy-MM-dd"")),0)),""""),selectedDate,DATE($P$3,MONTH("&amp;"1&amp;$N$3),VALUE(LEFT(AD$117,2))),IF(logStatus&lt;&gt;"""",UPPER(logStatus),IF(selectedDate&gt;TODAY(),""-"",IF(REGEXMATCH(AD$117,""SUN""),""WO"",IF(AD$120&lt;&gt;"""",IF(VALUE(AD$120)&gt;=9/24,""FD"",""HD""),""A"")))))))"),"-")</f>
        <v>-</v>
      </c>
      <c r="AE121" s="43" t="str">
        <f>IFERROR(__xludf.DUMMYFUNCTION("IF($A116="""","""",IF(AE$117="""","""",LET(logStatus,IFNA(INDEX(DATA_LOG!$E:$E,MATCH(1,(DATA_LOG!$A:$A=$A116)*(TEXT(DATA_LOG!$B:$B,""yyyy-MM-dd"")=TEXT(DATE($P$3,MONTH(1&amp;$N$3),VALUE(LEFT(AE$117,2))),""yyyy-MM-dd"")),0)),""""),selectedDate,DATE($P$3,MONTH("&amp;"1&amp;$N$3),VALUE(LEFT(AE$117,2))),IF(logStatus&lt;&gt;"""",UPPER(logStatus),IF(selectedDate&gt;TODAY(),""-"",IF(REGEXMATCH(AE$117,""SUN""),""WO"",IF(AE$120&lt;&gt;"""",IF(VALUE(AE$120)&gt;=9/24,""FD"",""HD""),""A"")))))))"),"-")</f>
        <v>-</v>
      </c>
      <c r="AF121" s="43" t="str">
        <f>IFERROR(__xludf.DUMMYFUNCTION("IF($A116="""","""",IF(AF$117="""","""",LET(logStatus,IFNA(INDEX(DATA_LOG!$E:$E,MATCH(1,(DATA_LOG!$A:$A=$A116)*(TEXT(DATA_LOG!$B:$B,""yyyy-MM-dd"")=TEXT(DATE($P$3,MONTH(1&amp;$N$3),VALUE(LEFT(AF$117,2))),""yyyy-MM-dd"")),0)),""""),selectedDate,DATE($P$3,MONTH("&amp;"1&amp;$N$3),VALUE(LEFT(AF$117,2))),IF(logStatus&lt;&gt;"""",UPPER(logStatus),IF(selectedDate&gt;TODAY(),""-"",IF(REGEXMATCH(AF$117,""SUN""),""WO"",IF(AF$120&lt;&gt;"""",IF(VALUE(AF$120)&gt;=9/24,""FD"",""HD""),""A"")))))))"),"")</f>
        <v/>
      </c>
    </row>
    <row r="122">
      <c r="A122" s="44"/>
    </row>
    <row r="123">
      <c r="A123" s="25" t="str">
        <f t="array" ref="A123">INDEX(EMPLOYEE_LIST!$A:$A,INT((ROW()-4)/7)+2)</f>
        <v>GOBINDA </v>
      </c>
      <c r="B123" s="26"/>
      <c r="C123" s="27"/>
      <c r="D123" s="28" t="str">
        <f>IF(A123="", "", IFERROR(VLOOKUP(A123, EMPLOYEE_LIST!$A:$H, 2, FALSE), ""))</f>
        <v>AYV-102</v>
      </c>
      <c r="E123" s="26"/>
      <c r="F123" s="26"/>
      <c r="G123" s="27"/>
      <c r="H123" s="29" t="str">
        <f>IF(A123="", "", IFERROR(VLOOKUP(A123, EMPLOYEE_LIST!$A:$H, 3, FALSE), ""))</f>
        <v>OPERATOR</v>
      </c>
      <c r="I123" s="26"/>
      <c r="J123" s="26"/>
      <c r="K123" s="27"/>
      <c r="L123" s="29" t="str">
        <f>IF(A123="", "", IFERROR(VLOOKUP(A123, EMPLOYEE_LIST!$A:$H, 4, FALSE), ""))</f>
        <v>EXCAVATOR OPERATOR</v>
      </c>
      <c r="M123" s="26"/>
      <c r="N123" s="26"/>
      <c r="O123" s="27"/>
      <c r="P123" s="30" t="str">
        <f>IF($A123="", "", "Full Day: " &amp; COUNTIF(B128:AF128, "FD"))</f>
        <v>Full Day: 0</v>
      </c>
      <c r="Q123" s="26"/>
      <c r="R123" s="27"/>
      <c r="S123" s="31" t="str">
        <f>IF($A123="", "", "HALF Day: " &amp; COUNTIF(B128:AF128, "HD"))</f>
        <v>HALF Day: 0</v>
      </c>
      <c r="T123" s="26"/>
      <c r="U123" s="27"/>
      <c r="V123" s="31" t="str">
        <f>IF($A123="", "", "ABSENT: " &amp; COUNTIF(B128:AF128, "A"))</f>
        <v>ABSENT: 10</v>
      </c>
      <c r="W123" s="26"/>
      <c r="X123" s="27"/>
      <c r="Y123" s="31" t="str">
        <f>IF($A123="", "", "WEEK OFF: " &amp; COUNTIF(B128:AF128, "WO"))</f>
        <v>WEEK OFF: 1</v>
      </c>
      <c r="Z123" s="26"/>
      <c r="AA123" s="27"/>
      <c r="AB123" s="31" t="str">
        <f>IF($A123="", "", "LEAVE: " &amp; COUNTIF(B128:AF128, "L"))</f>
        <v>LEAVE: 0</v>
      </c>
      <c r="AC123" s="27"/>
      <c r="AD123" s="31" t="str">
        <f>IF($A123="", "", "HOLIDAY: " &amp; COUNTIF(B128:AF128, "HL"))</f>
        <v>HOLIDAY: 0</v>
      </c>
      <c r="AE123" s="26"/>
      <c r="AF123" s="27"/>
    </row>
    <row r="124">
      <c r="A124" s="32" t="str">
        <f>IF($A123="", "", "DATE")</f>
        <v>DATE</v>
      </c>
      <c r="B124" s="33" t="str">
        <f t="array" ref="B124:AE124">IF($A123="","",LET(mNum,MONTH(1&amp;$N$3),start,DATE($P$3,mNum,1),days,DAY(EOMONTH(start,0)),MAP(SEQUENCE(1,days,0),LAMBDA(n,UPPER(TEXT(start+n,"dd (ddd)"))))))</f>
        <v>01 (TUE)</v>
      </c>
      <c r="C124" s="34" t="s">
        <v>89</v>
      </c>
      <c r="D124" s="34" t="s">
        <v>90</v>
      </c>
      <c r="E124" s="34" t="s">
        <v>91</v>
      </c>
      <c r="F124" s="34" t="s">
        <v>92</v>
      </c>
      <c r="G124" s="34" t="s">
        <v>93</v>
      </c>
      <c r="H124" s="34" t="s">
        <v>94</v>
      </c>
      <c r="I124" s="34" t="s">
        <v>95</v>
      </c>
      <c r="J124" s="34" t="s">
        <v>96</v>
      </c>
      <c r="K124" s="34" t="s">
        <v>97</v>
      </c>
      <c r="L124" s="34" t="s">
        <v>98</v>
      </c>
      <c r="M124" s="34" t="s">
        <v>99</v>
      </c>
      <c r="N124" s="34" t="s">
        <v>100</v>
      </c>
      <c r="O124" s="34" t="s">
        <v>101</v>
      </c>
      <c r="P124" s="34" t="s">
        <v>102</v>
      </c>
      <c r="Q124" s="34" t="s">
        <v>103</v>
      </c>
      <c r="R124" s="34" t="s">
        <v>104</v>
      </c>
      <c r="S124" s="34" t="s">
        <v>105</v>
      </c>
      <c r="T124" s="34" t="s">
        <v>106</v>
      </c>
      <c r="U124" s="34" t="s">
        <v>107</v>
      </c>
      <c r="V124" s="34" t="s">
        <v>108</v>
      </c>
      <c r="W124" s="34" t="s">
        <v>109</v>
      </c>
      <c r="X124" s="34" t="s">
        <v>110</v>
      </c>
      <c r="Y124" s="34" t="s">
        <v>111</v>
      </c>
      <c r="Z124" s="34" t="s">
        <v>112</v>
      </c>
      <c r="AA124" s="34" t="s">
        <v>113</v>
      </c>
      <c r="AB124" s="34" t="s">
        <v>114</v>
      </c>
      <c r="AC124" s="34" t="s">
        <v>115</v>
      </c>
      <c r="AD124" s="34" t="s">
        <v>116</v>
      </c>
      <c r="AE124" s="34" t="s">
        <v>117</v>
      </c>
      <c r="AF124" s="34"/>
    </row>
    <row r="125">
      <c r="A125" s="37" t="str">
        <f>IF($A123="", "", "IN")</f>
        <v>IN</v>
      </c>
      <c r="B125" s="39" t="str">
        <f t="array" ref="B125">IF(OR($A123="",B$5=""),"",IFNA(INDEX(DATA_LOG!$C:$C,MATCH(1,(DATA_LOG!$A:$A=$A123)*(TEXT(DATA_LOG!$B:$B,"yyyy-MM-dd")=TEXT(DATE($P$3,MONTH(1&amp;$N$3),VALUE(LEFT(B$5,2))),"yyyy-MM-dd")),0)),""))</f>
        <v/>
      </c>
      <c r="C125" s="39" t="str">
        <f t="array" ref="C125">IF(OR($A123="",C$5=""),"",IFNA(INDEX(DATA_LOG!$C:$C,MATCH(1,(DATA_LOG!$A:$A=$A123)*(TEXT(DATA_LOG!$B:$B,"yyyy-MM-dd")=TEXT(DATE($P$3,MONTH(1&amp;$N$3),VALUE(LEFT(C$5,2))),"yyyy-MM-dd")),0)),""))</f>
        <v/>
      </c>
      <c r="D125" s="39" t="str">
        <f t="array" ref="D125">IF(OR($A123="",D$5=""),"",IFNA(INDEX(DATA_LOG!$C:$C,MATCH(1,(DATA_LOG!$A:$A=$A123)*(TEXT(DATA_LOG!$B:$B,"yyyy-MM-dd")=TEXT(DATE($P$3,MONTH(1&amp;$N$3),VALUE(LEFT(D$5,2))),"yyyy-MM-dd")),0)),""))</f>
        <v/>
      </c>
      <c r="E125" s="39" t="str">
        <f t="array" ref="E125">IF(OR($A123="",E$5=""),"",IFNA(INDEX(DATA_LOG!$C:$C,MATCH(1,(DATA_LOG!$A:$A=$A123)*(TEXT(DATA_LOG!$B:$B,"yyyy-MM-dd")=TEXT(DATE($P$3,MONTH(1&amp;$N$3),VALUE(LEFT(E$5,2))),"yyyy-MM-dd")),0)),""))</f>
        <v/>
      </c>
      <c r="F125" s="39" t="str">
        <f t="array" ref="F125">IF(OR($A123="",F$5=""),"",IFNA(INDEX(DATA_LOG!$C:$C,MATCH(1,(DATA_LOG!$A:$A=$A123)*(TEXT(DATA_LOG!$B:$B,"yyyy-MM-dd")=TEXT(DATE($P$3,MONTH(1&amp;$N$3),VALUE(LEFT(F$5,2))),"yyyy-MM-dd")),0)),""))</f>
        <v/>
      </c>
      <c r="G125" s="39" t="str">
        <f t="array" ref="G125">IF(OR($A123="",G$5=""),"",IFNA(INDEX(DATA_LOG!$C:$C,MATCH(1,(DATA_LOG!$A:$A=$A123)*(TEXT(DATA_LOG!$B:$B,"yyyy-MM-dd")=TEXT(DATE($P$3,MONTH(1&amp;$N$3),VALUE(LEFT(G$5,2))),"yyyy-MM-dd")),0)),""))</f>
        <v/>
      </c>
      <c r="H125" s="39" t="str">
        <f t="array" ref="H125">IF(OR($A123="",H$5=""),"",IFNA(INDEX(DATA_LOG!$C:$C,MATCH(1,(DATA_LOG!$A:$A=$A123)*(TEXT(DATA_LOG!$B:$B,"yyyy-MM-dd")=TEXT(DATE($P$3,MONTH(1&amp;$N$3),VALUE(LEFT(H$5,2))),"yyyy-MM-dd")),0)),""))</f>
        <v/>
      </c>
      <c r="I125" s="39" t="str">
        <f t="array" ref="I125">IF(OR($A123="",I$5=""),"",IFNA(INDEX(DATA_LOG!$C:$C,MATCH(1,(DATA_LOG!$A:$A=$A123)*(TEXT(DATA_LOG!$B:$B,"yyyy-MM-dd")=TEXT(DATE($P$3,MONTH(1&amp;$N$3),VALUE(LEFT(I$5,2))),"yyyy-MM-dd")),0)),""))</f>
        <v/>
      </c>
      <c r="J125" s="39" t="str">
        <f t="array" ref="J125">IF(OR($A123="",J$5=""),"",IFNA(INDEX(DATA_LOG!$C:$C,MATCH(1,(DATA_LOG!$A:$A=$A123)*(TEXT(DATA_LOG!$B:$B,"yyyy-MM-dd")=TEXT(DATE($P$3,MONTH(1&amp;$N$3),VALUE(LEFT(J$5,2))),"yyyy-MM-dd")),0)),""))</f>
        <v/>
      </c>
      <c r="K125" s="39" t="str">
        <f t="array" ref="K125">IF(OR($A123="",K$5=""),"",IFNA(INDEX(DATA_LOG!$C:$C,MATCH(1,(DATA_LOG!$A:$A=$A123)*(TEXT(DATA_LOG!$B:$B,"yyyy-MM-dd")=TEXT(DATE($P$3,MONTH(1&amp;$N$3),VALUE(LEFT(K$5,2))),"yyyy-MM-dd")),0)),""))</f>
        <v/>
      </c>
      <c r="L125" s="39" t="str">
        <f t="array" ref="L125">IF(OR($A123="",L$5=""),"",IFNA(INDEX(DATA_LOG!$C:$C,MATCH(1,(DATA_LOG!$A:$A=$A123)*(TEXT(DATA_LOG!$B:$B,"yyyy-MM-dd")=TEXT(DATE($P$3,MONTH(1&amp;$N$3),VALUE(LEFT(L$5,2))),"yyyy-MM-dd")),0)),""))</f>
        <v/>
      </c>
      <c r="M125" s="39" t="str">
        <f t="array" ref="M125">IF(OR($A123="",M$5=""),"",IFNA(INDEX(DATA_LOG!$C:$C,MATCH(1,(DATA_LOG!$A:$A=$A123)*(TEXT(DATA_LOG!$B:$B,"yyyy-MM-dd")=TEXT(DATE($P$3,MONTH(1&amp;$N$3),VALUE(LEFT(M$5,2))),"yyyy-MM-dd")),0)),""))</f>
        <v/>
      </c>
      <c r="N125" s="39" t="str">
        <f t="array" ref="N125">IF(OR($A123="",N$5=""),"",IFNA(INDEX(DATA_LOG!$C:$C,MATCH(1,(DATA_LOG!$A:$A=$A123)*(TEXT(DATA_LOG!$B:$B,"yyyy-MM-dd")=TEXT(DATE($P$3,MONTH(1&amp;$N$3),VALUE(LEFT(N$5,2))),"yyyy-MM-dd")),0)),""))</f>
        <v/>
      </c>
      <c r="O125" s="39" t="str">
        <f t="array" ref="O125">IF(OR($A123="",O$5=""),"",IFNA(INDEX(DATA_LOG!$C:$C,MATCH(1,(DATA_LOG!$A:$A=$A123)*(TEXT(DATA_LOG!$B:$B,"yyyy-MM-dd")=TEXT(DATE($P$3,MONTH(1&amp;$N$3),VALUE(LEFT(O$5,2))),"yyyy-MM-dd")),0)),""))</f>
        <v/>
      </c>
      <c r="P125" s="39" t="str">
        <f t="array" ref="P125">IF(OR($A123="",P$5=""),"",IFNA(INDEX(DATA_LOG!$C:$C,MATCH(1,(DATA_LOG!$A:$A=$A123)*(TEXT(DATA_LOG!$B:$B,"yyyy-MM-dd")=TEXT(DATE($P$3,MONTH(1&amp;$N$3),VALUE(LEFT(P$5,2))),"yyyy-MM-dd")),0)),""))</f>
        <v/>
      </c>
      <c r="Q125" s="39" t="str">
        <f t="array" ref="Q125">IF(OR($A123="",Q$5=""),"",IFNA(INDEX(DATA_LOG!$C:$C,MATCH(1,(DATA_LOG!$A:$A=$A123)*(TEXT(DATA_LOG!$B:$B,"yyyy-MM-dd")=TEXT(DATE($P$3,MONTH(1&amp;$N$3),VALUE(LEFT(Q$5,2))),"yyyy-MM-dd")),0)),""))</f>
        <v/>
      </c>
      <c r="R125" s="39" t="str">
        <f t="array" ref="R125">IF(OR($A123="",R$5=""),"",IFNA(INDEX(DATA_LOG!$C:$C,MATCH(1,(DATA_LOG!$A:$A=$A123)*(TEXT(DATA_LOG!$B:$B,"yyyy-MM-dd")=TEXT(DATE($P$3,MONTH(1&amp;$N$3),VALUE(LEFT(R$5,2))),"yyyy-MM-dd")),0)),""))</f>
        <v/>
      </c>
      <c r="S125" s="39" t="str">
        <f t="array" ref="S125">IF(OR($A123="",S$5=""),"",IFNA(INDEX(DATA_LOG!$C:$C,MATCH(1,(DATA_LOG!$A:$A=$A123)*(TEXT(DATA_LOG!$B:$B,"yyyy-MM-dd")=TEXT(DATE($P$3,MONTH(1&amp;$N$3),VALUE(LEFT(S$5,2))),"yyyy-MM-dd")),0)),""))</f>
        <v/>
      </c>
      <c r="T125" s="39" t="str">
        <f t="array" ref="T125">IF(OR($A123="",T$5=""),"",IFNA(INDEX(DATA_LOG!$C:$C,MATCH(1,(DATA_LOG!$A:$A=$A123)*(TEXT(DATA_LOG!$B:$B,"yyyy-MM-dd")=TEXT(DATE($P$3,MONTH(1&amp;$N$3),VALUE(LEFT(T$5,2))),"yyyy-MM-dd")),0)),""))</f>
        <v/>
      </c>
      <c r="U125" s="39" t="str">
        <f t="array" ref="U125">IF(OR($A123="",U$5=""),"",IFNA(INDEX(DATA_LOG!$C:$C,MATCH(1,(DATA_LOG!$A:$A=$A123)*(TEXT(DATA_LOG!$B:$B,"yyyy-MM-dd")=TEXT(DATE($P$3,MONTH(1&amp;$N$3),VALUE(LEFT(U$5,2))),"yyyy-MM-dd")),0)),""))</f>
        <v/>
      </c>
      <c r="V125" s="39" t="str">
        <f t="array" ref="V125">IF(OR($A123="",V$5=""),"",IFNA(INDEX(DATA_LOG!$C:$C,MATCH(1,(DATA_LOG!$A:$A=$A123)*(TEXT(DATA_LOG!$B:$B,"yyyy-MM-dd")=TEXT(DATE($P$3,MONTH(1&amp;$N$3),VALUE(LEFT(V$5,2))),"yyyy-MM-dd")),0)),""))</f>
        <v/>
      </c>
      <c r="W125" s="39" t="str">
        <f t="array" ref="W125">IF(OR($A123="",W$5=""),"",IFNA(INDEX(DATA_LOG!$C:$C,MATCH(1,(DATA_LOG!$A:$A=$A123)*(TEXT(DATA_LOG!$B:$B,"yyyy-MM-dd")=TEXT(DATE($P$3,MONTH(1&amp;$N$3),VALUE(LEFT(W$5,2))),"yyyy-MM-dd")),0)),""))</f>
        <v/>
      </c>
      <c r="X125" s="39" t="str">
        <f t="array" ref="X125">IF(OR($A123="",X$5=""),"",IFNA(INDEX(DATA_LOG!$C:$C,MATCH(1,(DATA_LOG!$A:$A=$A123)*(TEXT(DATA_LOG!$B:$B,"yyyy-MM-dd")=TEXT(DATE($P$3,MONTH(1&amp;$N$3),VALUE(LEFT(X$5,2))),"yyyy-MM-dd")),0)),""))</f>
        <v/>
      </c>
      <c r="Y125" s="39" t="str">
        <f t="array" ref="Y125">IF(OR($A123="",Y$5=""),"",IFNA(INDEX(DATA_LOG!$C:$C,MATCH(1,(DATA_LOG!$A:$A=$A123)*(TEXT(DATA_LOG!$B:$B,"yyyy-MM-dd")=TEXT(DATE($P$3,MONTH(1&amp;$N$3),VALUE(LEFT(Y$5,2))),"yyyy-MM-dd")),0)),""))</f>
        <v/>
      </c>
      <c r="Z125" s="39" t="str">
        <f t="array" ref="Z125">IF(OR($A123="",Z$5=""),"",IFNA(INDEX(DATA_LOG!$C:$C,MATCH(1,(DATA_LOG!$A:$A=$A123)*(TEXT(DATA_LOG!$B:$B,"yyyy-MM-dd")=TEXT(DATE($P$3,MONTH(1&amp;$N$3),VALUE(LEFT(Z$5,2))),"yyyy-MM-dd")),0)),""))</f>
        <v/>
      </c>
      <c r="AA125" s="39" t="str">
        <f t="array" ref="AA125">IF(OR($A123="",AA$5=""),"",IFNA(INDEX(DATA_LOG!$C:$C,MATCH(1,(DATA_LOG!$A:$A=$A123)*(TEXT(DATA_LOG!$B:$B,"yyyy-MM-dd")=TEXT(DATE($P$3,MONTH(1&amp;$N$3),VALUE(LEFT(AA$5,2))),"yyyy-MM-dd")),0)),""))</f>
        <v/>
      </c>
      <c r="AB125" s="39" t="str">
        <f t="array" ref="AB125">IF(OR($A123="",AB$5=""),"",IFNA(INDEX(DATA_LOG!$C:$C,MATCH(1,(DATA_LOG!$A:$A=$A123)*(TEXT(DATA_LOG!$B:$B,"yyyy-MM-dd")=TEXT(DATE($P$3,MONTH(1&amp;$N$3),VALUE(LEFT(AB$5,2))),"yyyy-MM-dd")),0)),""))</f>
        <v/>
      </c>
      <c r="AC125" s="39" t="str">
        <f t="array" ref="AC125">IF(OR($A123="",AC$5=""),"",IFNA(INDEX(DATA_LOG!$C:$C,MATCH(1,(DATA_LOG!$A:$A=$A123)*(TEXT(DATA_LOG!$B:$B,"yyyy-MM-dd")=TEXT(DATE($P$3,MONTH(1&amp;$N$3),VALUE(LEFT(AC$5,2))),"yyyy-MM-dd")),0)),""))</f>
        <v/>
      </c>
      <c r="AD125" s="39" t="str">
        <f t="array" ref="AD125">IF(OR($A123="",AD$5=""),"",IFNA(INDEX(DATA_LOG!$C:$C,MATCH(1,(DATA_LOG!$A:$A=$A123)*(TEXT(DATA_LOG!$B:$B,"yyyy-MM-dd")=TEXT(DATE($P$3,MONTH(1&amp;$N$3),VALUE(LEFT(AD$5,2))),"yyyy-MM-dd")),0)),""))</f>
        <v/>
      </c>
      <c r="AE125" s="39" t="str">
        <f t="array" ref="AE125">IF(OR($A123="",AE$5=""),"",IFNA(INDEX(DATA_LOG!$C:$C,MATCH(1,(DATA_LOG!$A:$A=$A123)*(TEXT(DATA_LOG!$B:$B,"yyyy-MM-dd")=TEXT(DATE($P$3,MONTH(1&amp;$N$3),VALUE(LEFT(AE$5,2))),"yyyy-MM-dd")),0)),""))</f>
        <v/>
      </c>
      <c r="AF125" s="39" t="str">
        <f t="array" ref="AF125">IF(OR($A123="",AF$5=""),"",IFNA(INDEX(DATA_LOG!$C:$C,MATCH(1,(DATA_LOG!$A:$A=$A123)*(TEXT(DATA_LOG!$B:$B,"yyyy-MM-dd")=TEXT(DATE($P$3,MONTH(1&amp;$N$3),VALUE(LEFT(AF$5,2))),"yyyy-MM-dd")),0)),""))</f>
        <v/>
      </c>
    </row>
    <row r="126">
      <c r="A126" s="37" t="str">
        <f>IF($A123="", "", "OUT")</f>
        <v>OUT</v>
      </c>
      <c r="B126" s="39" t="str">
        <f t="array" ref="B126">IF(OR($A123="",B$5=""),"",IFNA(INDEX(DATA_LOG!$D:$D,MATCH(1,(DATA_LOG!$A:$A=$A123)*(TEXT(DATA_LOG!$B:$B,"yyyy-MM-dd")=TEXT(DATE($P$3,MONTH(1&amp;$N$3),VALUE(LEFT(B$5,2))),"yyyy-MM-dd")),0)),""))</f>
        <v/>
      </c>
      <c r="C126" s="39" t="str">
        <f t="array" ref="C126">IF(OR($A123="",C$5=""),"",IFNA(INDEX(DATA_LOG!$D:$D,MATCH(1,(DATA_LOG!$A:$A=$A123)*(TEXT(DATA_LOG!$B:$B,"yyyy-MM-dd")=TEXT(DATE($P$3,MONTH(1&amp;$N$3),VALUE(LEFT(C$5,2))),"yyyy-MM-dd")),0)),""))</f>
        <v/>
      </c>
      <c r="D126" s="39" t="str">
        <f t="array" ref="D126">IF(OR($A123="",D$5=""),"",IFNA(INDEX(DATA_LOG!$D:$D,MATCH(1,(DATA_LOG!$A:$A=$A123)*(TEXT(DATA_LOG!$B:$B,"yyyy-MM-dd")=TEXT(DATE($P$3,MONTH(1&amp;$N$3),VALUE(LEFT(D$5,2))),"yyyy-MM-dd")),0)),""))</f>
        <v/>
      </c>
      <c r="E126" s="39" t="str">
        <f t="array" ref="E126">IF(OR($A123="",E$5=""),"",IFNA(INDEX(DATA_LOG!$D:$D,MATCH(1,(DATA_LOG!$A:$A=$A123)*(TEXT(DATA_LOG!$B:$B,"yyyy-MM-dd")=TEXT(DATE($P$3,MONTH(1&amp;$N$3),VALUE(LEFT(E$5,2))),"yyyy-MM-dd")),0)),""))</f>
        <v/>
      </c>
      <c r="F126" s="39" t="str">
        <f t="array" ref="F126">IF(OR($A123="",F$5=""),"",IFNA(INDEX(DATA_LOG!$D:$D,MATCH(1,(DATA_LOG!$A:$A=$A123)*(TEXT(DATA_LOG!$B:$B,"yyyy-MM-dd")=TEXT(DATE($P$3,MONTH(1&amp;$N$3),VALUE(LEFT(F$5,2))),"yyyy-MM-dd")),0)),""))</f>
        <v/>
      </c>
      <c r="G126" s="39" t="str">
        <f t="array" ref="G126">IF(OR($A123="",G$5=""),"",IFNA(INDEX(DATA_LOG!$D:$D,MATCH(1,(DATA_LOG!$A:$A=$A123)*(TEXT(DATA_LOG!$B:$B,"yyyy-MM-dd")=TEXT(DATE($P$3,MONTH(1&amp;$N$3),VALUE(LEFT(G$5,2))),"yyyy-MM-dd")),0)),""))</f>
        <v/>
      </c>
      <c r="H126" s="39" t="str">
        <f t="array" ref="H126">IF(OR($A123="",H$5=""),"",IFNA(INDEX(DATA_LOG!$D:$D,MATCH(1,(DATA_LOG!$A:$A=$A123)*(TEXT(DATA_LOG!$B:$B,"yyyy-MM-dd")=TEXT(DATE($P$3,MONTH(1&amp;$N$3),VALUE(LEFT(H$5,2))),"yyyy-MM-dd")),0)),""))</f>
        <v/>
      </c>
      <c r="I126" s="39" t="str">
        <f t="array" ref="I126">IF(OR($A123="",I$5=""),"",IFNA(INDEX(DATA_LOG!$D:$D,MATCH(1,(DATA_LOG!$A:$A=$A123)*(TEXT(DATA_LOG!$B:$B,"yyyy-MM-dd")=TEXT(DATE($P$3,MONTH(1&amp;$N$3),VALUE(LEFT(I$5,2))),"yyyy-MM-dd")),0)),""))</f>
        <v/>
      </c>
      <c r="J126" s="39" t="str">
        <f t="array" ref="J126">IF(OR($A123="",J$5=""),"",IFNA(INDEX(DATA_LOG!$D:$D,MATCH(1,(DATA_LOG!$A:$A=$A123)*(TEXT(DATA_LOG!$B:$B,"yyyy-MM-dd")=TEXT(DATE($P$3,MONTH(1&amp;$N$3),VALUE(LEFT(J$5,2))),"yyyy-MM-dd")),0)),""))</f>
        <v/>
      </c>
      <c r="K126" s="39" t="str">
        <f t="array" ref="K126">IF(OR($A123="",K$5=""),"",IFNA(INDEX(DATA_LOG!$D:$D,MATCH(1,(DATA_LOG!$A:$A=$A123)*(TEXT(DATA_LOG!$B:$B,"yyyy-MM-dd")=TEXT(DATE($P$3,MONTH(1&amp;$N$3),VALUE(LEFT(K$5,2))),"yyyy-MM-dd")),0)),""))</f>
        <v/>
      </c>
      <c r="L126" s="39" t="str">
        <f t="array" ref="L126">IF(OR($A123="",L$5=""),"",IFNA(INDEX(DATA_LOG!$D:$D,MATCH(1,(DATA_LOG!$A:$A=$A123)*(TEXT(DATA_LOG!$B:$B,"yyyy-MM-dd")=TEXT(DATE($P$3,MONTH(1&amp;$N$3),VALUE(LEFT(L$5,2))),"yyyy-MM-dd")),0)),""))</f>
        <v/>
      </c>
      <c r="M126" s="39" t="str">
        <f t="array" ref="M126">IF(OR($A123="",M$5=""),"",IFNA(INDEX(DATA_LOG!$D:$D,MATCH(1,(DATA_LOG!$A:$A=$A123)*(TEXT(DATA_LOG!$B:$B,"yyyy-MM-dd")=TEXT(DATE($P$3,MONTH(1&amp;$N$3),VALUE(LEFT(M$5,2))),"yyyy-MM-dd")),0)),""))</f>
        <v/>
      </c>
      <c r="N126" s="39" t="str">
        <f t="array" ref="N126">IF(OR($A123="",N$5=""),"",IFNA(INDEX(DATA_LOG!$D:$D,MATCH(1,(DATA_LOG!$A:$A=$A123)*(TEXT(DATA_LOG!$B:$B,"yyyy-MM-dd")=TEXT(DATE($P$3,MONTH(1&amp;$N$3),VALUE(LEFT(N$5,2))),"yyyy-MM-dd")),0)),""))</f>
        <v/>
      </c>
      <c r="O126" s="39" t="str">
        <f t="array" ref="O126">IF(OR($A123="",O$5=""),"",IFNA(INDEX(DATA_LOG!$D:$D,MATCH(1,(DATA_LOG!$A:$A=$A123)*(TEXT(DATA_LOG!$B:$B,"yyyy-MM-dd")=TEXT(DATE($P$3,MONTH(1&amp;$N$3),VALUE(LEFT(O$5,2))),"yyyy-MM-dd")),0)),""))</f>
        <v/>
      </c>
      <c r="P126" s="39" t="str">
        <f t="array" ref="P126">IF(OR($A123="",P$5=""),"",IFNA(INDEX(DATA_LOG!$D:$D,MATCH(1,(DATA_LOG!$A:$A=$A123)*(TEXT(DATA_LOG!$B:$B,"yyyy-MM-dd")=TEXT(DATE($P$3,MONTH(1&amp;$N$3),VALUE(LEFT(P$5,2))),"yyyy-MM-dd")),0)),""))</f>
        <v/>
      </c>
      <c r="Q126" s="39" t="str">
        <f t="array" ref="Q126">IF(OR($A123="",Q$5=""),"",IFNA(INDEX(DATA_LOG!$D:$D,MATCH(1,(DATA_LOG!$A:$A=$A123)*(TEXT(DATA_LOG!$B:$B,"yyyy-MM-dd")=TEXT(DATE($P$3,MONTH(1&amp;$N$3),VALUE(LEFT(Q$5,2))),"yyyy-MM-dd")),0)),""))</f>
        <v/>
      </c>
      <c r="R126" s="39" t="str">
        <f t="array" ref="R126">IF(OR($A123="",R$5=""),"",IFNA(INDEX(DATA_LOG!$D:$D,MATCH(1,(DATA_LOG!$A:$A=$A123)*(TEXT(DATA_LOG!$B:$B,"yyyy-MM-dd")=TEXT(DATE($P$3,MONTH(1&amp;$N$3),VALUE(LEFT(R$5,2))),"yyyy-MM-dd")),0)),""))</f>
        <v/>
      </c>
      <c r="S126" s="39" t="str">
        <f t="array" ref="S126">IF(OR($A123="",S$5=""),"",IFNA(INDEX(DATA_LOG!$D:$D,MATCH(1,(DATA_LOG!$A:$A=$A123)*(TEXT(DATA_LOG!$B:$B,"yyyy-MM-dd")=TEXT(DATE($P$3,MONTH(1&amp;$N$3),VALUE(LEFT(S$5,2))),"yyyy-MM-dd")),0)),""))</f>
        <v/>
      </c>
      <c r="T126" s="39" t="str">
        <f t="array" ref="T126">IF(OR($A123="",T$5=""),"",IFNA(INDEX(DATA_LOG!$D:$D,MATCH(1,(DATA_LOG!$A:$A=$A123)*(TEXT(DATA_LOG!$B:$B,"yyyy-MM-dd")=TEXT(DATE($P$3,MONTH(1&amp;$N$3),VALUE(LEFT(T$5,2))),"yyyy-MM-dd")),0)),""))</f>
        <v/>
      </c>
      <c r="U126" s="39" t="str">
        <f t="array" ref="U126">IF(OR($A123="",U$5=""),"",IFNA(INDEX(DATA_LOG!$D:$D,MATCH(1,(DATA_LOG!$A:$A=$A123)*(TEXT(DATA_LOG!$B:$B,"yyyy-MM-dd")=TEXT(DATE($P$3,MONTH(1&amp;$N$3),VALUE(LEFT(U$5,2))),"yyyy-MM-dd")),0)),""))</f>
        <v/>
      </c>
      <c r="V126" s="39" t="str">
        <f t="array" ref="V126">IF(OR($A123="",V$5=""),"",IFNA(INDEX(DATA_LOG!$D:$D,MATCH(1,(DATA_LOG!$A:$A=$A123)*(TEXT(DATA_LOG!$B:$B,"yyyy-MM-dd")=TEXT(DATE($P$3,MONTH(1&amp;$N$3),VALUE(LEFT(V$5,2))),"yyyy-MM-dd")),0)),""))</f>
        <v/>
      </c>
      <c r="W126" s="39" t="str">
        <f t="array" ref="W126">IF(OR($A123="",W$5=""),"",IFNA(INDEX(DATA_LOG!$D:$D,MATCH(1,(DATA_LOG!$A:$A=$A123)*(TEXT(DATA_LOG!$B:$B,"yyyy-MM-dd")=TEXT(DATE($P$3,MONTH(1&amp;$N$3),VALUE(LEFT(W$5,2))),"yyyy-MM-dd")),0)),""))</f>
        <v/>
      </c>
      <c r="X126" s="39" t="str">
        <f t="array" ref="X126">IF(OR($A123="",X$5=""),"",IFNA(INDEX(DATA_LOG!$D:$D,MATCH(1,(DATA_LOG!$A:$A=$A123)*(TEXT(DATA_LOG!$B:$B,"yyyy-MM-dd")=TEXT(DATE($P$3,MONTH(1&amp;$N$3),VALUE(LEFT(X$5,2))),"yyyy-MM-dd")),0)),""))</f>
        <v/>
      </c>
      <c r="Y126" s="39" t="str">
        <f t="array" ref="Y126">IF(OR($A123="",Y$5=""),"",IFNA(INDEX(DATA_LOG!$D:$D,MATCH(1,(DATA_LOG!$A:$A=$A123)*(TEXT(DATA_LOG!$B:$B,"yyyy-MM-dd")=TEXT(DATE($P$3,MONTH(1&amp;$N$3),VALUE(LEFT(Y$5,2))),"yyyy-MM-dd")),0)),""))</f>
        <v/>
      </c>
      <c r="Z126" s="39" t="str">
        <f t="array" ref="Z126">IF(OR($A123="",Z$5=""),"",IFNA(INDEX(DATA_LOG!$D:$D,MATCH(1,(DATA_LOG!$A:$A=$A123)*(TEXT(DATA_LOG!$B:$B,"yyyy-MM-dd")=TEXT(DATE($P$3,MONTH(1&amp;$N$3),VALUE(LEFT(Z$5,2))),"yyyy-MM-dd")),0)),""))</f>
        <v/>
      </c>
      <c r="AA126" s="39" t="str">
        <f t="array" ref="AA126">IF(OR($A123="",AA$5=""),"",IFNA(INDEX(DATA_LOG!$D:$D,MATCH(1,(DATA_LOG!$A:$A=$A123)*(TEXT(DATA_LOG!$B:$B,"yyyy-MM-dd")=TEXT(DATE($P$3,MONTH(1&amp;$N$3),VALUE(LEFT(AA$5,2))),"yyyy-MM-dd")),0)),""))</f>
        <v/>
      </c>
      <c r="AB126" s="39" t="str">
        <f t="array" ref="AB126">IF(OR($A123="",AB$5=""),"",IFNA(INDEX(DATA_LOG!$D:$D,MATCH(1,(DATA_LOG!$A:$A=$A123)*(TEXT(DATA_LOG!$B:$B,"yyyy-MM-dd")=TEXT(DATE($P$3,MONTH(1&amp;$N$3),VALUE(LEFT(AB$5,2))),"yyyy-MM-dd")),0)),""))</f>
        <v/>
      </c>
      <c r="AC126" s="39" t="str">
        <f t="array" ref="AC126">IF(OR($A123="",AC$5=""),"",IFNA(INDEX(DATA_LOG!$D:$D,MATCH(1,(DATA_LOG!$A:$A=$A123)*(TEXT(DATA_LOG!$B:$B,"yyyy-MM-dd")=TEXT(DATE($P$3,MONTH(1&amp;$N$3),VALUE(LEFT(AC$5,2))),"yyyy-MM-dd")),0)),""))</f>
        <v/>
      </c>
      <c r="AD126" s="39" t="str">
        <f t="array" ref="AD126">IF(OR($A123="",AD$5=""),"",IFNA(INDEX(DATA_LOG!$D:$D,MATCH(1,(DATA_LOG!$A:$A=$A123)*(TEXT(DATA_LOG!$B:$B,"yyyy-MM-dd")=TEXT(DATE($P$3,MONTH(1&amp;$N$3),VALUE(LEFT(AD$5,2))),"yyyy-MM-dd")),0)),""))</f>
        <v/>
      </c>
      <c r="AE126" s="39" t="str">
        <f t="array" ref="AE126">IF(OR($A123="",AE$5=""),"",IFNA(INDEX(DATA_LOG!$D:$D,MATCH(1,(DATA_LOG!$A:$A=$A123)*(TEXT(DATA_LOG!$B:$B,"yyyy-MM-dd")=TEXT(DATE($P$3,MONTH(1&amp;$N$3),VALUE(LEFT(AE$5,2))),"yyyy-MM-dd")),0)),""))</f>
        <v/>
      </c>
      <c r="AF126" s="39" t="str">
        <f t="array" ref="AF126">IF(OR($A123="",AF$5=""),"",IFNA(INDEX(DATA_LOG!$D:$D,MATCH(1,(DATA_LOG!$A:$A=$A123)*(TEXT(DATA_LOG!$B:$B,"yyyy-MM-dd")=TEXT(DATE($P$3,MONTH(1&amp;$N$3),VALUE(LEFT(AF$5,2))),"yyyy-MM-dd")),0)),""))</f>
        <v/>
      </c>
    </row>
    <row r="127">
      <c r="A127" s="40" t="str">
        <f>IF($A123="", "", "TOTAL")</f>
        <v>TOTAL</v>
      </c>
      <c r="B127" s="41" t="str">
        <f t="shared" ref="B127:AF127" si="18">IF(AND(B125&lt;&gt;"",B126&lt;&gt;""),TEXT(MOD(B126-B125,1),"hh:mm"),"")</f>
        <v/>
      </c>
      <c r="C127" s="34" t="str">
        <f t="shared" si="18"/>
        <v/>
      </c>
      <c r="D127" s="34" t="str">
        <f t="shared" si="18"/>
        <v/>
      </c>
      <c r="E127" s="34" t="str">
        <f t="shared" si="18"/>
        <v/>
      </c>
      <c r="F127" s="34" t="str">
        <f t="shared" si="18"/>
        <v/>
      </c>
      <c r="G127" s="34" t="str">
        <f t="shared" si="18"/>
        <v/>
      </c>
      <c r="H127" s="34" t="str">
        <f t="shared" si="18"/>
        <v/>
      </c>
      <c r="I127" s="34" t="str">
        <f t="shared" si="18"/>
        <v/>
      </c>
      <c r="J127" s="34" t="str">
        <f t="shared" si="18"/>
        <v/>
      </c>
      <c r="K127" s="34" t="str">
        <f t="shared" si="18"/>
        <v/>
      </c>
      <c r="L127" s="34" t="str">
        <f t="shared" si="18"/>
        <v/>
      </c>
      <c r="M127" s="34" t="str">
        <f t="shared" si="18"/>
        <v/>
      </c>
      <c r="N127" s="34" t="str">
        <f t="shared" si="18"/>
        <v/>
      </c>
      <c r="O127" s="34" t="str">
        <f t="shared" si="18"/>
        <v/>
      </c>
      <c r="P127" s="34" t="str">
        <f t="shared" si="18"/>
        <v/>
      </c>
      <c r="Q127" s="34" t="str">
        <f t="shared" si="18"/>
        <v/>
      </c>
      <c r="R127" s="34" t="str">
        <f t="shared" si="18"/>
        <v/>
      </c>
      <c r="S127" s="34" t="str">
        <f t="shared" si="18"/>
        <v/>
      </c>
      <c r="T127" s="34" t="str">
        <f t="shared" si="18"/>
        <v/>
      </c>
      <c r="U127" s="34" t="str">
        <f t="shared" si="18"/>
        <v/>
      </c>
      <c r="V127" s="34" t="str">
        <f t="shared" si="18"/>
        <v/>
      </c>
      <c r="W127" s="34" t="str">
        <f t="shared" si="18"/>
        <v/>
      </c>
      <c r="X127" s="34" t="str">
        <f t="shared" si="18"/>
        <v/>
      </c>
      <c r="Y127" s="34" t="str">
        <f t="shared" si="18"/>
        <v/>
      </c>
      <c r="Z127" s="34" t="str">
        <f t="shared" si="18"/>
        <v/>
      </c>
      <c r="AA127" s="34" t="str">
        <f t="shared" si="18"/>
        <v/>
      </c>
      <c r="AB127" s="34" t="str">
        <f t="shared" si="18"/>
        <v/>
      </c>
      <c r="AC127" s="34" t="str">
        <f t="shared" si="18"/>
        <v/>
      </c>
      <c r="AD127" s="34" t="str">
        <f t="shared" si="18"/>
        <v/>
      </c>
      <c r="AE127" s="34" t="str">
        <f t="shared" si="18"/>
        <v/>
      </c>
      <c r="AF127" s="34" t="str">
        <f t="shared" si="18"/>
        <v/>
      </c>
    </row>
    <row r="128">
      <c r="A128" s="42" t="str">
        <f>IF($A123="", "", "STATUS")</f>
        <v>STATUS</v>
      </c>
      <c r="B128" s="43" t="str">
        <f>IFERROR(__xludf.DUMMYFUNCTION("IF($A123="""","""",IF(B$124="""","""",LET(logStatus,IFNA(INDEX(DATA_LOG!$E:$E,MATCH(1,(DATA_LOG!$A:$A=$A123)*(TEXT(DATA_LOG!$B:$B,""yyyy-MM-dd"")=TEXT(DATE($P$3,MONTH(1&amp;$N$3),VALUE(LEFT(B$124,2))),""yyyy-MM-dd"")),0)),""""),selectedDate,DATE($P$3,MONTH(1&amp;"&amp;"$N$3),VALUE(LEFT(B$124,2))),IF(logStatus&lt;&gt;"""",UPPER(logStatus),IF(selectedDate&gt;TODAY(),""-"",IF(REGEXMATCH(B$124,""SUN""),""WO"",IF(B$127&lt;&gt;"""",IF(VALUE(B$127)&gt;=9/24,""FD"",""HD""),""A"")))))))"),"A")</f>
        <v>A</v>
      </c>
      <c r="C128" s="43" t="str">
        <f>IFERROR(__xludf.DUMMYFUNCTION("IF($A123="""","""",IF(C$124="""","""",LET(logStatus,IFNA(INDEX(DATA_LOG!$E:$E,MATCH(1,(DATA_LOG!$A:$A=$A123)*(TEXT(DATA_LOG!$B:$B,""yyyy-MM-dd"")=TEXT(DATE($P$3,MONTH(1&amp;$N$3),VALUE(LEFT(C$124,2))),""yyyy-MM-dd"")),0)),""""),selectedDate,DATE($P$3,MONTH(1&amp;"&amp;"$N$3),VALUE(LEFT(C$124,2))),IF(logStatus&lt;&gt;"""",UPPER(logStatus),IF(selectedDate&gt;TODAY(),""-"",IF(REGEXMATCH(C$124,""SUN""),""WO"",IF(C$127&lt;&gt;"""",IF(VALUE(C$127)&gt;=9/24,""FD"",""HD""),""A"")))))))"),"A")</f>
        <v>A</v>
      </c>
      <c r="D128" s="43" t="str">
        <f>IFERROR(__xludf.DUMMYFUNCTION("IF($A123="""","""",IF(D$124="""","""",LET(logStatus,IFNA(INDEX(DATA_LOG!$E:$E,MATCH(1,(DATA_LOG!$A:$A=$A123)*(TEXT(DATA_LOG!$B:$B,""yyyy-MM-dd"")=TEXT(DATE($P$3,MONTH(1&amp;$N$3),VALUE(LEFT(D$124,2))),""yyyy-MM-dd"")),0)),""""),selectedDate,DATE($P$3,MONTH(1&amp;"&amp;"$N$3),VALUE(LEFT(D$124,2))),IF(logStatus&lt;&gt;"""",UPPER(logStatus),IF(selectedDate&gt;TODAY(),""-"",IF(REGEXMATCH(D$124,""SUN""),""WO"",IF(D$127&lt;&gt;"""",IF(VALUE(D$127)&gt;=9/24,""FD"",""HD""),""A"")))))))"),"A")</f>
        <v>A</v>
      </c>
      <c r="E128" s="43" t="str">
        <f>IFERROR(__xludf.DUMMYFUNCTION("IF($A123="""","""",IF(E$124="""","""",LET(logStatus,IFNA(INDEX(DATA_LOG!$E:$E,MATCH(1,(DATA_LOG!$A:$A=$A123)*(TEXT(DATA_LOG!$B:$B,""yyyy-MM-dd"")=TEXT(DATE($P$3,MONTH(1&amp;$N$3),VALUE(LEFT(E$124,2))),""yyyy-MM-dd"")),0)),""""),selectedDate,DATE($P$3,MONTH(1&amp;"&amp;"$N$3),VALUE(LEFT(E$124,2))),IF(logStatus&lt;&gt;"""",UPPER(logStatus),IF(selectedDate&gt;TODAY(),""-"",IF(REGEXMATCH(E$124,""SUN""),""WO"",IF(E$127&lt;&gt;"""",IF(VALUE(E$127)&gt;=9/24,""FD"",""HD""),""A"")))))))"),"A")</f>
        <v>A</v>
      </c>
      <c r="F128" s="43" t="str">
        <f>IFERROR(__xludf.DUMMYFUNCTION("IF($A123="""","""",IF(F$124="""","""",LET(logStatus,IFNA(INDEX(DATA_LOG!$E:$E,MATCH(1,(DATA_LOG!$A:$A=$A123)*(TEXT(DATA_LOG!$B:$B,""yyyy-MM-dd"")=TEXT(DATE($P$3,MONTH(1&amp;$N$3),VALUE(LEFT(F$124,2))),""yyyy-MM-dd"")),0)),""""),selectedDate,DATE($P$3,MONTH(1&amp;"&amp;"$N$3),VALUE(LEFT(F$124,2))),IF(logStatus&lt;&gt;"""",UPPER(logStatus),IF(selectedDate&gt;TODAY(),""-"",IF(REGEXMATCH(F$124,""SUN""),""WO"",IF(F$127&lt;&gt;"""",IF(VALUE(F$127)&gt;=9/24,""FD"",""HD""),""A"")))))))"),"A")</f>
        <v>A</v>
      </c>
      <c r="G128" s="43" t="str">
        <f>IFERROR(__xludf.DUMMYFUNCTION("IF($A123="""","""",IF(G$124="""","""",LET(logStatus,IFNA(INDEX(DATA_LOG!$E:$E,MATCH(1,(DATA_LOG!$A:$A=$A123)*(TEXT(DATA_LOG!$B:$B,""yyyy-MM-dd"")=TEXT(DATE($P$3,MONTH(1&amp;$N$3),VALUE(LEFT(G$124,2))),""yyyy-MM-dd"")),0)),""""),selectedDate,DATE($P$3,MONTH(1&amp;"&amp;"$N$3),VALUE(LEFT(G$124,2))),IF(logStatus&lt;&gt;"""",UPPER(logStatus),IF(selectedDate&gt;TODAY(),""-"",IF(REGEXMATCH(G$124,""SUN""),""WO"",IF(G$127&lt;&gt;"""",IF(VALUE(G$127)&gt;=9/24,""FD"",""HD""),""A"")))))))"),"WO")</f>
        <v>WO</v>
      </c>
      <c r="H128" s="43" t="str">
        <f>IFERROR(__xludf.DUMMYFUNCTION("IF($A123="""","""",IF(H$124="""","""",LET(logStatus,IFNA(INDEX(DATA_LOG!$E:$E,MATCH(1,(DATA_LOG!$A:$A=$A123)*(TEXT(DATA_LOG!$B:$B,""yyyy-MM-dd"")=TEXT(DATE($P$3,MONTH(1&amp;$N$3),VALUE(LEFT(H$124,2))),""yyyy-MM-dd"")),0)),""""),selectedDate,DATE($P$3,MONTH(1&amp;"&amp;"$N$3),VALUE(LEFT(H$124,2))),IF(logStatus&lt;&gt;"""",UPPER(logStatus),IF(selectedDate&gt;TODAY(),""-"",IF(REGEXMATCH(H$124,""SUN""),""WO"",IF(H$127&lt;&gt;"""",IF(VALUE(H$127)&gt;=9/24,""FD"",""HD""),""A"")))))))"),"A")</f>
        <v>A</v>
      </c>
      <c r="I128" s="43" t="str">
        <f>IFERROR(__xludf.DUMMYFUNCTION("IF($A123="""","""",IF(I$124="""","""",LET(logStatus,IFNA(INDEX(DATA_LOG!$E:$E,MATCH(1,(DATA_LOG!$A:$A=$A123)*(TEXT(DATA_LOG!$B:$B,""yyyy-MM-dd"")=TEXT(DATE($P$3,MONTH(1&amp;$N$3),VALUE(LEFT(I$124,2))),""yyyy-MM-dd"")),0)),""""),selectedDate,DATE($P$3,MONTH(1&amp;"&amp;"$N$3),VALUE(LEFT(I$124,2))),IF(logStatus&lt;&gt;"""",UPPER(logStatus),IF(selectedDate&gt;TODAY(),""-"",IF(REGEXMATCH(I$124,""SUN""),""WO"",IF(I$127&lt;&gt;"""",IF(VALUE(I$127)&gt;=9/24,""FD"",""HD""),""A"")))))))"),"A")</f>
        <v>A</v>
      </c>
      <c r="J128" s="43" t="str">
        <f>IFERROR(__xludf.DUMMYFUNCTION("IF($A123="""","""",IF(J$124="""","""",LET(logStatus,IFNA(INDEX(DATA_LOG!$E:$E,MATCH(1,(DATA_LOG!$A:$A=$A123)*(TEXT(DATA_LOG!$B:$B,""yyyy-MM-dd"")=TEXT(DATE($P$3,MONTH(1&amp;$N$3),VALUE(LEFT(J$124,2))),""yyyy-MM-dd"")),0)),""""),selectedDate,DATE($P$3,MONTH(1&amp;"&amp;"$N$3),VALUE(LEFT(J$124,2))),IF(logStatus&lt;&gt;"""",UPPER(logStatus),IF(selectedDate&gt;TODAY(),""-"",IF(REGEXMATCH(J$124,""SUN""),""WO"",IF(J$127&lt;&gt;"""",IF(VALUE(J$127)&gt;=9/24,""FD"",""HD""),""A"")))))))"),"A")</f>
        <v>A</v>
      </c>
      <c r="K128" s="43" t="str">
        <f>IFERROR(__xludf.DUMMYFUNCTION("IF($A123="""","""",IF(K$124="""","""",LET(logStatus,IFNA(INDEX(DATA_LOG!$E:$E,MATCH(1,(DATA_LOG!$A:$A=$A123)*(TEXT(DATA_LOG!$B:$B,""yyyy-MM-dd"")=TEXT(DATE($P$3,MONTH(1&amp;$N$3),VALUE(LEFT(K$124,2))),""yyyy-MM-dd"")),0)),""""),selectedDate,DATE($P$3,MONTH(1&amp;"&amp;"$N$3),VALUE(LEFT(K$124,2))),IF(logStatus&lt;&gt;"""",UPPER(logStatus),IF(selectedDate&gt;TODAY(),""-"",IF(REGEXMATCH(K$124,""SUN""),""WO"",IF(K$127&lt;&gt;"""",IF(VALUE(K$127)&gt;=9/24,""FD"",""HD""),""A"")))))))"),"A")</f>
        <v>A</v>
      </c>
      <c r="L128" s="43" t="str">
        <f>IFERROR(__xludf.DUMMYFUNCTION("IF($A123="""","""",IF(L$124="""","""",LET(logStatus,IFNA(INDEX(DATA_LOG!$E:$E,MATCH(1,(DATA_LOG!$A:$A=$A123)*(TEXT(DATA_LOG!$B:$B,""yyyy-MM-dd"")=TEXT(DATE($P$3,MONTH(1&amp;$N$3),VALUE(LEFT(L$124,2))),""yyyy-MM-dd"")),0)),""""),selectedDate,DATE($P$3,MONTH(1&amp;"&amp;"$N$3),VALUE(LEFT(L$124,2))),IF(logStatus&lt;&gt;"""",UPPER(logStatus),IF(selectedDate&gt;TODAY(),""-"",IF(REGEXMATCH(L$124,""SUN""),""WO"",IF(L$127&lt;&gt;"""",IF(VALUE(L$127)&gt;=9/24,""FD"",""HD""),""A"")))))))"),"A")</f>
        <v>A</v>
      </c>
      <c r="M128" s="43" t="str">
        <f>IFERROR(__xludf.DUMMYFUNCTION("IF($A123="""","""",IF(M$124="""","""",LET(logStatus,IFNA(INDEX(DATA_LOG!$E:$E,MATCH(1,(DATA_LOG!$A:$A=$A123)*(TEXT(DATA_LOG!$B:$B,""yyyy-MM-dd"")=TEXT(DATE($P$3,MONTH(1&amp;$N$3),VALUE(LEFT(M$124,2))),""yyyy-MM-dd"")),0)),""""),selectedDate,DATE($P$3,MONTH(1&amp;"&amp;"$N$3),VALUE(LEFT(M$124,2))),IF(logStatus&lt;&gt;"""",UPPER(logStatus),IF(selectedDate&gt;TODAY(),""-"",IF(REGEXMATCH(M$124,""SUN""),""WO"",IF(M$127&lt;&gt;"""",IF(VALUE(M$127)&gt;=9/24,""FD"",""HD""),""A"")))))))"),"-")</f>
        <v>-</v>
      </c>
      <c r="N128" s="43" t="str">
        <f>IFERROR(__xludf.DUMMYFUNCTION("IF($A123="""","""",IF(N$124="""","""",LET(logStatus,IFNA(INDEX(DATA_LOG!$E:$E,MATCH(1,(DATA_LOG!$A:$A=$A123)*(TEXT(DATA_LOG!$B:$B,""yyyy-MM-dd"")=TEXT(DATE($P$3,MONTH(1&amp;$N$3),VALUE(LEFT(N$124,2))),""yyyy-MM-dd"")),0)),""""),selectedDate,DATE($P$3,MONTH(1&amp;"&amp;"$N$3),VALUE(LEFT(N$124,2))),IF(logStatus&lt;&gt;"""",UPPER(logStatus),IF(selectedDate&gt;TODAY(),""-"",IF(REGEXMATCH(N$124,""SUN""),""WO"",IF(N$127&lt;&gt;"""",IF(VALUE(N$127)&gt;=9/24,""FD"",""HD""),""A"")))))))"),"-")</f>
        <v>-</v>
      </c>
      <c r="O128" s="43" t="str">
        <f>IFERROR(__xludf.DUMMYFUNCTION("IF($A123="""","""",IF(O$124="""","""",LET(logStatus,IFNA(INDEX(DATA_LOG!$E:$E,MATCH(1,(DATA_LOG!$A:$A=$A123)*(TEXT(DATA_LOG!$B:$B,""yyyy-MM-dd"")=TEXT(DATE($P$3,MONTH(1&amp;$N$3),VALUE(LEFT(O$124,2))),""yyyy-MM-dd"")),0)),""""),selectedDate,DATE($P$3,MONTH(1&amp;"&amp;"$N$3),VALUE(LEFT(O$124,2))),IF(logStatus&lt;&gt;"""",UPPER(logStatus),IF(selectedDate&gt;TODAY(),""-"",IF(REGEXMATCH(O$124,""SUN""),""WO"",IF(O$127&lt;&gt;"""",IF(VALUE(O$127)&gt;=9/24,""FD"",""HD""),""A"")))))))"),"-")</f>
        <v>-</v>
      </c>
      <c r="P128" s="43" t="str">
        <f>IFERROR(__xludf.DUMMYFUNCTION("IF($A123="""","""",IF(P$124="""","""",LET(logStatus,IFNA(INDEX(DATA_LOG!$E:$E,MATCH(1,(DATA_LOG!$A:$A=$A123)*(TEXT(DATA_LOG!$B:$B,""yyyy-MM-dd"")=TEXT(DATE($P$3,MONTH(1&amp;$N$3),VALUE(LEFT(P$124,2))),""yyyy-MM-dd"")),0)),""""),selectedDate,DATE($P$3,MONTH(1&amp;"&amp;"$N$3),VALUE(LEFT(P$124,2))),IF(logStatus&lt;&gt;"""",UPPER(logStatus),IF(selectedDate&gt;TODAY(),""-"",IF(REGEXMATCH(P$124,""SUN""),""WO"",IF(P$127&lt;&gt;"""",IF(VALUE(P$127)&gt;=9/24,""FD"",""HD""),""A"")))))))"),"-")</f>
        <v>-</v>
      </c>
      <c r="Q128" s="43" t="str">
        <f>IFERROR(__xludf.DUMMYFUNCTION("IF($A123="""","""",IF(Q$124="""","""",LET(logStatus,IFNA(INDEX(DATA_LOG!$E:$E,MATCH(1,(DATA_LOG!$A:$A=$A123)*(TEXT(DATA_LOG!$B:$B,""yyyy-MM-dd"")=TEXT(DATE($P$3,MONTH(1&amp;$N$3),VALUE(LEFT(Q$124,2))),""yyyy-MM-dd"")),0)),""""),selectedDate,DATE($P$3,MONTH(1&amp;"&amp;"$N$3),VALUE(LEFT(Q$124,2))),IF(logStatus&lt;&gt;"""",UPPER(logStatus),IF(selectedDate&gt;TODAY(),""-"",IF(REGEXMATCH(Q$124,""SUN""),""WO"",IF(Q$127&lt;&gt;"""",IF(VALUE(Q$127)&gt;=9/24,""FD"",""HD""),""A"")))))))"),"-")</f>
        <v>-</v>
      </c>
      <c r="R128" s="43" t="str">
        <f>IFERROR(__xludf.DUMMYFUNCTION("IF($A123="""","""",IF(R$124="""","""",LET(logStatus,IFNA(INDEX(DATA_LOG!$E:$E,MATCH(1,(DATA_LOG!$A:$A=$A123)*(TEXT(DATA_LOG!$B:$B,""yyyy-MM-dd"")=TEXT(DATE($P$3,MONTH(1&amp;$N$3),VALUE(LEFT(R$124,2))),""yyyy-MM-dd"")),0)),""""),selectedDate,DATE($P$3,MONTH(1&amp;"&amp;"$N$3),VALUE(LEFT(R$124,2))),IF(logStatus&lt;&gt;"""",UPPER(logStatus),IF(selectedDate&gt;TODAY(),""-"",IF(REGEXMATCH(R$124,""SUN""),""WO"",IF(R$127&lt;&gt;"""",IF(VALUE(R$127)&gt;=9/24,""FD"",""HD""),""A"")))))))"),"-")</f>
        <v>-</v>
      </c>
      <c r="S128" s="43" t="str">
        <f>IFERROR(__xludf.DUMMYFUNCTION("IF($A123="""","""",IF(S$124="""","""",LET(logStatus,IFNA(INDEX(DATA_LOG!$E:$E,MATCH(1,(DATA_LOG!$A:$A=$A123)*(TEXT(DATA_LOG!$B:$B,""yyyy-MM-dd"")=TEXT(DATE($P$3,MONTH(1&amp;$N$3),VALUE(LEFT(S$124,2))),""yyyy-MM-dd"")),0)),""""),selectedDate,DATE($P$3,MONTH(1&amp;"&amp;"$N$3),VALUE(LEFT(S$124,2))),IF(logStatus&lt;&gt;"""",UPPER(logStatus),IF(selectedDate&gt;TODAY(),""-"",IF(REGEXMATCH(S$124,""SUN""),""WO"",IF(S$127&lt;&gt;"""",IF(VALUE(S$127)&gt;=9/24,""FD"",""HD""),""A"")))))))"),"-")</f>
        <v>-</v>
      </c>
      <c r="T128" s="43" t="str">
        <f>IFERROR(__xludf.DUMMYFUNCTION("IF($A123="""","""",IF(T$124="""","""",LET(logStatus,IFNA(INDEX(DATA_LOG!$E:$E,MATCH(1,(DATA_LOG!$A:$A=$A123)*(TEXT(DATA_LOG!$B:$B,""yyyy-MM-dd"")=TEXT(DATE($P$3,MONTH(1&amp;$N$3),VALUE(LEFT(T$124,2))),""yyyy-MM-dd"")),0)),""""),selectedDate,DATE($P$3,MONTH(1&amp;"&amp;"$N$3),VALUE(LEFT(T$124,2))),IF(logStatus&lt;&gt;"""",UPPER(logStatus),IF(selectedDate&gt;TODAY(),""-"",IF(REGEXMATCH(T$124,""SUN""),""WO"",IF(T$127&lt;&gt;"""",IF(VALUE(T$127)&gt;=9/24,""FD"",""HD""),""A"")))))))"),"-")</f>
        <v>-</v>
      </c>
      <c r="U128" s="43" t="str">
        <f>IFERROR(__xludf.DUMMYFUNCTION("IF($A123="""","""",IF(U$124="""","""",LET(logStatus,IFNA(INDEX(DATA_LOG!$E:$E,MATCH(1,(DATA_LOG!$A:$A=$A123)*(TEXT(DATA_LOG!$B:$B,""yyyy-MM-dd"")=TEXT(DATE($P$3,MONTH(1&amp;$N$3),VALUE(LEFT(U$124,2))),""yyyy-MM-dd"")),0)),""""),selectedDate,DATE($P$3,MONTH(1&amp;"&amp;"$N$3),VALUE(LEFT(U$124,2))),IF(logStatus&lt;&gt;"""",UPPER(logStatus),IF(selectedDate&gt;TODAY(),""-"",IF(REGEXMATCH(U$124,""SUN""),""WO"",IF(U$127&lt;&gt;"""",IF(VALUE(U$127)&gt;=9/24,""FD"",""HD""),""A"")))))))"),"-")</f>
        <v>-</v>
      </c>
      <c r="V128" s="43" t="str">
        <f>IFERROR(__xludf.DUMMYFUNCTION("IF($A123="""","""",IF(V$124="""","""",LET(logStatus,IFNA(INDEX(DATA_LOG!$E:$E,MATCH(1,(DATA_LOG!$A:$A=$A123)*(TEXT(DATA_LOG!$B:$B,""yyyy-MM-dd"")=TEXT(DATE($P$3,MONTH(1&amp;$N$3),VALUE(LEFT(V$124,2))),""yyyy-MM-dd"")),0)),""""),selectedDate,DATE($P$3,MONTH(1&amp;"&amp;"$N$3),VALUE(LEFT(V$124,2))),IF(logStatus&lt;&gt;"""",UPPER(logStatus),IF(selectedDate&gt;TODAY(),""-"",IF(REGEXMATCH(V$124,""SUN""),""WO"",IF(V$127&lt;&gt;"""",IF(VALUE(V$127)&gt;=9/24,""FD"",""HD""),""A"")))))))"),"-")</f>
        <v>-</v>
      </c>
      <c r="W128" s="43" t="str">
        <f>IFERROR(__xludf.DUMMYFUNCTION("IF($A123="""","""",IF(W$124="""","""",LET(logStatus,IFNA(INDEX(DATA_LOG!$E:$E,MATCH(1,(DATA_LOG!$A:$A=$A123)*(TEXT(DATA_LOG!$B:$B,""yyyy-MM-dd"")=TEXT(DATE($P$3,MONTH(1&amp;$N$3),VALUE(LEFT(W$124,2))),""yyyy-MM-dd"")),0)),""""),selectedDate,DATE($P$3,MONTH(1&amp;"&amp;"$N$3),VALUE(LEFT(W$124,2))),IF(logStatus&lt;&gt;"""",UPPER(logStatus),IF(selectedDate&gt;TODAY(),""-"",IF(REGEXMATCH(W$124,""SUN""),""WO"",IF(W$127&lt;&gt;"""",IF(VALUE(W$127)&gt;=9/24,""FD"",""HD""),""A"")))))))"),"-")</f>
        <v>-</v>
      </c>
      <c r="X128" s="43" t="str">
        <f>IFERROR(__xludf.DUMMYFUNCTION("IF($A123="""","""",IF(X$124="""","""",LET(logStatus,IFNA(INDEX(DATA_LOG!$E:$E,MATCH(1,(DATA_LOG!$A:$A=$A123)*(TEXT(DATA_LOG!$B:$B,""yyyy-MM-dd"")=TEXT(DATE($P$3,MONTH(1&amp;$N$3),VALUE(LEFT(X$124,2))),""yyyy-MM-dd"")),0)),""""),selectedDate,DATE($P$3,MONTH(1&amp;"&amp;"$N$3),VALUE(LEFT(X$124,2))),IF(logStatus&lt;&gt;"""",UPPER(logStatus),IF(selectedDate&gt;TODAY(),""-"",IF(REGEXMATCH(X$124,""SUN""),""WO"",IF(X$127&lt;&gt;"""",IF(VALUE(X$127)&gt;=9/24,""FD"",""HD""),""A"")))))))"),"-")</f>
        <v>-</v>
      </c>
      <c r="Y128" s="43" t="str">
        <f>IFERROR(__xludf.DUMMYFUNCTION("IF($A123="""","""",IF(Y$124="""","""",LET(logStatus,IFNA(INDEX(DATA_LOG!$E:$E,MATCH(1,(DATA_LOG!$A:$A=$A123)*(TEXT(DATA_LOG!$B:$B,""yyyy-MM-dd"")=TEXT(DATE($P$3,MONTH(1&amp;$N$3),VALUE(LEFT(Y$124,2))),""yyyy-MM-dd"")),0)),""""),selectedDate,DATE($P$3,MONTH(1&amp;"&amp;"$N$3),VALUE(LEFT(Y$124,2))),IF(logStatus&lt;&gt;"""",UPPER(logStatus),IF(selectedDate&gt;TODAY(),""-"",IF(REGEXMATCH(Y$124,""SUN""),""WO"",IF(Y$127&lt;&gt;"""",IF(VALUE(Y$127)&gt;=9/24,""FD"",""HD""),""A"")))))))"),"-")</f>
        <v>-</v>
      </c>
      <c r="Z128" s="43" t="str">
        <f>IFERROR(__xludf.DUMMYFUNCTION("IF($A123="""","""",IF(Z$124="""","""",LET(logStatus,IFNA(INDEX(DATA_LOG!$E:$E,MATCH(1,(DATA_LOG!$A:$A=$A123)*(TEXT(DATA_LOG!$B:$B,""yyyy-MM-dd"")=TEXT(DATE($P$3,MONTH(1&amp;$N$3),VALUE(LEFT(Z$124,2))),""yyyy-MM-dd"")),0)),""""),selectedDate,DATE($P$3,MONTH(1&amp;"&amp;"$N$3),VALUE(LEFT(Z$124,2))),IF(logStatus&lt;&gt;"""",UPPER(logStatus),IF(selectedDate&gt;TODAY(),""-"",IF(REGEXMATCH(Z$124,""SUN""),""WO"",IF(Z$127&lt;&gt;"""",IF(VALUE(Z$127)&gt;=9/24,""FD"",""HD""),""A"")))))))"),"-")</f>
        <v>-</v>
      </c>
      <c r="AA128" s="43" t="str">
        <f>IFERROR(__xludf.DUMMYFUNCTION("IF($A123="""","""",IF(AA$124="""","""",LET(logStatus,IFNA(INDEX(DATA_LOG!$E:$E,MATCH(1,(DATA_LOG!$A:$A=$A123)*(TEXT(DATA_LOG!$B:$B,""yyyy-MM-dd"")=TEXT(DATE($P$3,MONTH(1&amp;$N$3),VALUE(LEFT(AA$124,2))),""yyyy-MM-dd"")),0)),""""),selectedDate,DATE($P$3,MONTH("&amp;"1&amp;$N$3),VALUE(LEFT(AA$124,2))),IF(logStatus&lt;&gt;"""",UPPER(logStatus),IF(selectedDate&gt;TODAY(),""-"",IF(REGEXMATCH(AA$124,""SUN""),""WO"",IF(AA$127&lt;&gt;"""",IF(VALUE(AA$127)&gt;=9/24,""FD"",""HD""),""A"")))))))"),"-")</f>
        <v>-</v>
      </c>
      <c r="AB128" s="43" t="str">
        <f>IFERROR(__xludf.DUMMYFUNCTION("IF($A123="""","""",IF(AB$124="""","""",LET(logStatus,IFNA(INDEX(DATA_LOG!$E:$E,MATCH(1,(DATA_LOG!$A:$A=$A123)*(TEXT(DATA_LOG!$B:$B,""yyyy-MM-dd"")=TEXT(DATE($P$3,MONTH(1&amp;$N$3),VALUE(LEFT(AB$124,2))),""yyyy-MM-dd"")),0)),""""),selectedDate,DATE($P$3,MONTH("&amp;"1&amp;$N$3),VALUE(LEFT(AB$124,2))),IF(logStatus&lt;&gt;"""",UPPER(logStatus),IF(selectedDate&gt;TODAY(),""-"",IF(REGEXMATCH(AB$124,""SUN""),""WO"",IF(AB$127&lt;&gt;"""",IF(VALUE(AB$127)&gt;=9/24,""FD"",""HD""),""A"")))))))"),"-")</f>
        <v>-</v>
      </c>
      <c r="AC128" s="43" t="str">
        <f>IFERROR(__xludf.DUMMYFUNCTION("IF($A123="""","""",IF(AC$124="""","""",LET(logStatus,IFNA(INDEX(DATA_LOG!$E:$E,MATCH(1,(DATA_LOG!$A:$A=$A123)*(TEXT(DATA_LOG!$B:$B,""yyyy-MM-dd"")=TEXT(DATE($P$3,MONTH(1&amp;$N$3),VALUE(LEFT(AC$124,2))),""yyyy-MM-dd"")),0)),""""),selectedDate,DATE($P$3,MONTH("&amp;"1&amp;$N$3),VALUE(LEFT(AC$124,2))),IF(logStatus&lt;&gt;"""",UPPER(logStatus),IF(selectedDate&gt;TODAY(),""-"",IF(REGEXMATCH(AC$124,""SUN""),""WO"",IF(AC$127&lt;&gt;"""",IF(VALUE(AC$127)&gt;=9/24,""FD"",""HD""),""A"")))))))"),"-")</f>
        <v>-</v>
      </c>
      <c r="AD128" s="43" t="str">
        <f>IFERROR(__xludf.DUMMYFUNCTION("IF($A123="""","""",IF(AD$124="""","""",LET(logStatus,IFNA(INDEX(DATA_LOG!$E:$E,MATCH(1,(DATA_LOG!$A:$A=$A123)*(TEXT(DATA_LOG!$B:$B,""yyyy-MM-dd"")=TEXT(DATE($P$3,MONTH(1&amp;$N$3),VALUE(LEFT(AD$124,2))),""yyyy-MM-dd"")),0)),""""),selectedDate,DATE($P$3,MONTH("&amp;"1&amp;$N$3),VALUE(LEFT(AD$124,2))),IF(logStatus&lt;&gt;"""",UPPER(logStatus),IF(selectedDate&gt;TODAY(),""-"",IF(REGEXMATCH(AD$124,""SUN""),""WO"",IF(AD$127&lt;&gt;"""",IF(VALUE(AD$127)&gt;=9/24,""FD"",""HD""),""A"")))))))"),"-")</f>
        <v>-</v>
      </c>
      <c r="AE128" s="43" t="str">
        <f>IFERROR(__xludf.DUMMYFUNCTION("IF($A123="""","""",IF(AE$124="""","""",LET(logStatus,IFNA(INDEX(DATA_LOG!$E:$E,MATCH(1,(DATA_LOG!$A:$A=$A123)*(TEXT(DATA_LOG!$B:$B,""yyyy-MM-dd"")=TEXT(DATE($P$3,MONTH(1&amp;$N$3),VALUE(LEFT(AE$124,2))),""yyyy-MM-dd"")),0)),""""),selectedDate,DATE($P$3,MONTH("&amp;"1&amp;$N$3),VALUE(LEFT(AE$124,2))),IF(logStatus&lt;&gt;"""",UPPER(logStatus),IF(selectedDate&gt;TODAY(),""-"",IF(REGEXMATCH(AE$124,""SUN""),""WO"",IF(AE$127&lt;&gt;"""",IF(VALUE(AE$127)&gt;=9/24,""FD"",""HD""),""A"")))))))"),"-")</f>
        <v>-</v>
      </c>
      <c r="AF128" s="43" t="str">
        <f>IFERROR(__xludf.DUMMYFUNCTION("IF($A123="""","""",IF(AF$124="""","""",LET(logStatus,IFNA(INDEX(DATA_LOG!$E:$E,MATCH(1,(DATA_LOG!$A:$A=$A123)*(TEXT(DATA_LOG!$B:$B,""yyyy-MM-dd"")=TEXT(DATE($P$3,MONTH(1&amp;$N$3),VALUE(LEFT(AF$124,2))),""yyyy-MM-dd"")),0)),""""),selectedDate,DATE($P$3,MONTH("&amp;"1&amp;$N$3),VALUE(LEFT(AF$124,2))),IF(logStatus&lt;&gt;"""",UPPER(logStatus),IF(selectedDate&gt;TODAY(),""-"",IF(REGEXMATCH(AF$124,""SUN""),""WO"",IF(AF$127&lt;&gt;"""",IF(VALUE(AF$127)&gt;=9/24,""FD"",""HD""),""A"")))))))"),"")</f>
        <v/>
      </c>
    </row>
    <row r="129">
      <c r="A129" s="44"/>
    </row>
    <row r="130">
      <c r="A130" s="25" t="str">
        <f t="array" ref="A130">INDEX(EMPLOYEE_LIST!$A:$A,INT((ROW()-4)/7)+2)</f>
        <v>RUPESH</v>
      </c>
      <c r="B130" s="26"/>
      <c r="C130" s="27"/>
      <c r="D130" s="28" t="str">
        <f>IF(A130="", "", IFERROR(VLOOKUP(A130, EMPLOYEE_LIST!$A:$H, 2, FALSE), ""))</f>
        <v>AYV-97</v>
      </c>
      <c r="E130" s="26"/>
      <c r="F130" s="26"/>
      <c r="G130" s="27"/>
      <c r="H130" s="29" t="str">
        <f>IF(A130="", "", IFERROR(VLOOKUP(A130, EMPLOYEE_LIST!$A:$H, 3, FALSE), ""))</f>
        <v>MECHANICAL</v>
      </c>
      <c r="I130" s="26"/>
      <c r="J130" s="26"/>
      <c r="K130" s="27"/>
      <c r="L130" s="29" t="str">
        <f>IF(A130="", "", IFERROR(VLOOKUP(A130, EMPLOYEE_LIST!$A:$H, 4, FALSE), ""))</f>
        <v>EXCAVATOR HELPER</v>
      </c>
      <c r="M130" s="26"/>
      <c r="N130" s="26"/>
      <c r="O130" s="27"/>
      <c r="P130" s="30" t="str">
        <f>IF($A130="", "", "Full Day: " &amp; COUNTIF(B135:AF135, "FD"))</f>
        <v>Full Day: 0</v>
      </c>
      <c r="Q130" s="26"/>
      <c r="R130" s="27"/>
      <c r="S130" s="31" t="str">
        <f>IF($A130="", "", "HALF Day: " &amp; COUNTIF(B135:AF135, "HD"))</f>
        <v>HALF Day: 0</v>
      </c>
      <c r="T130" s="26"/>
      <c r="U130" s="27"/>
      <c r="V130" s="31" t="str">
        <f>IF($A130="", "", "ABSENT: " &amp; COUNTIF(B135:AF135, "A"))</f>
        <v>ABSENT: 6</v>
      </c>
      <c r="W130" s="26"/>
      <c r="X130" s="27"/>
      <c r="Y130" s="31" t="str">
        <f>IF($A130="", "", "WEEK OFF: " &amp; COUNTIF(B135:AF135, "WO"))</f>
        <v>WEEK OFF: 1</v>
      </c>
      <c r="Z130" s="26"/>
      <c r="AA130" s="27"/>
      <c r="AB130" s="31" t="str">
        <f>IF($A130="", "", "LEAVE: " &amp; COUNTIF(B135:AF135, "L"))</f>
        <v>LEAVE: 0</v>
      </c>
      <c r="AC130" s="27"/>
      <c r="AD130" s="31" t="str">
        <f>IF($A130="", "", "HOLIDAY: " &amp; COUNTIF(B135:AF135, "HL"))</f>
        <v>HOLIDAY: 0</v>
      </c>
      <c r="AE130" s="26"/>
      <c r="AF130" s="27"/>
    </row>
    <row r="131">
      <c r="A131" s="32" t="str">
        <f>IF($A130="", "", "DATE")</f>
        <v>DATE</v>
      </c>
      <c r="B131" s="33" t="str">
        <f t="array" ref="B131:AE131">IF($A130="","",LET(mNum,MONTH(1&amp;$N$3),start,DATE($P$3,mNum,1),days,DAY(EOMONTH(start,0)),MAP(SEQUENCE(1,days,0),LAMBDA(n,UPPER(TEXT(start+n,"dd (ddd)"))))))</f>
        <v>01 (TUE)</v>
      </c>
      <c r="C131" s="34" t="s">
        <v>89</v>
      </c>
      <c r="D131" s="34" t="s">
        <v>90</v>
      </c>
      <c r="E131" s="34" t="s">
        <v>91</v>
      </c>
      <c r="F131" s="34" t="s">
        <v>92</v>
      </c>
      <c r="G131" s="34" t="s">
        <v>93</v>
      </c>
      <c r="H131" s="34" t="s">
        <v>94</v>
      </c>
      <c r="I131" s="34" t="s">
        <v>95</v>
      </c>
      <c r="J131" s="34" t="s">
        <v>96</v>
      </c>
      <c r="K131" s="34" t="s">
        <v>97</v>
      </c>
      <c r="L131" s="34" t="s">
        <v>98</v>
      </c>
      <c r="M131" s="34" t="s">
        <v>99</v>
      </c>
      <c r="N131" s="34" t="s">
        <v>100</v>
      </c>
      <c r="O131" s="34" t="s">
        <v>101</v>
      </c>
      <c r="P131" s="34" t="s">
        <v>102</v>
      </c>
      <c r="Q131" s="34" t="s">
        <v>103</v>
      </c>
      <c r="R131" s="34" t="s">
        <v>104</v>
      </c>
      <c r="S131" s="34" t="s">
        <v>105</v>
      </c>
      <c r="T131" s="34" t="s">
        <v>106</v>
      </c>
      <c r="U131" s="34" t="s">
        <v>107</v>
      </c>
      <c r="V131" s="34" t="s">
        <v>108</v>
      </c>
      <c r="W131" s="34" t="s">
        <v>109</v>
      </c>
      <c r="X131" s="34" t="s">
        <v>110</v>
      </c>
      <c r="Y131" s="34" t="s">
        <v>111</v>
      </c>
      <c r="Z131" s="34" t="s">
        <v>112</v>
      </c>
      <c r="AA131" s="34" t="s">
        <v>113</v>
      </c>
      <c r="AB131" s="34" t="s">
        <v>114</v>
      </c>
      <c r="AC131" s="34" t="s">
        <v>115</v>
      </c>
      <c r="AD131" s="34" t="s">
        <v>116</v>
      </c>
      <c r="AE131" s="34" t="s">
        <v>117</v>
      </c>
      <c r="AF131" s="34"/>
    </row>
    <row r="132">
      <c r="A132" s="37" t="str">
        <f>IF($A130="", "", "IN")</f>
        <v>IN</v>
      </c>
      <c r="B132" s="39" t="str">
        <f t="array" ref="B132">IF(OR($A130="",B$5=""),"",IFNA(INDEX(DATA_LOG!$C:$C,MATCH(1,(DATA_LOG!$A:$A=$A130)*(TEXT(DATA_LOG!$B:$B,"yyyy-MM-dd")=TEXT(DATE($P$3,MONTH(1&amp;$N$3),VALUE(LEFT(B$5,2))),"yyyy-MM-dd")),0)),""))</f>
        <v/>
      </c>
      <c r="C132" s="39" t="str">
        <f t="array" ref="C132">IF(OR($A130="",C$5=""),"",IFNA(INDEX(DATA_LOG!$C:$C,MATCH(1,(DATA_LOG!$A:$A=$A130)*(TEXT(DATA_LOG!$B:$B,"yyyy-MM-dd")=TEXT(DATE($P$3,MONTH(1&amp;$N$3),VALUE(LEFT(C$5,2))),"yyyy-MM-dd")),0)),""))</f>
        <v/>
      </c>
      <c r="D132" s="39" t="str">
        <f t="array" ref="D132">IF(OR($A130="",D$5=""),"",IFNA(INDEX(DATA_LOG!$C:$C,MATCH(1,(DATA_LOG!$A:$A=$A130)*(TEXT(DATA_LOG!$B:$B,"yyyy-MM-dd")=TEXT(DATE($P$3,MONTH(1&amp;$N$3),VALUE(LEFT(D$5,2))),"yyyy-MM-dd")),0)),""))</f>
        <v/>
      </c>
      <c r="E132" s="39" t="str">
        <f t="array" ref="E132">IF(OR($A130="",E$5=""),"",IFNA(INDEX(DATA_LOG!$C:$C,MATCH(1,(DATA_LOG!$A:$A=$A130)*(TEXT(DATA_LOG!$B:$B,"yyyy-MM-dd")=TEXT(DATE($P$3,MONTH(1&amp;$N$3),VALUE(LEFT(E$5,2))),"yyyy-MM-dd")),0)),""))</f>
        <v/>
      </c>
      <c r="F132" s="39" t="str">
        <f t="array" ref="F132">IF(OR($A130="",F$5=""),"",IFNA(INDEX(DATA_LOG!$C:$C,MATCH(1,(DATA_LOG!$A:$A=$A130)*(TEXT(DATA_LOG!$B:$B,"yyyy-MM-dd")=TEXT(DATE($P$3,MONTH(1&amp;$N$3),VALUE(LEFT(F$5,2))),"yyyy-MM-dd")),0)),""))</f>
        <v/>
      </c>
      <c r="G132" s="39" t="str">
        <f t="array" ref="G132">IF(OR($A130="",G$5=""),"",IFNA(INDEX(DATA_LOG!$C:$C,MATCH(1,(DATA_LOG!$A:$A=$A130)*(TEXT(DATA_LOG!$B:$B,"yyyy-MM-dd")=TEXT(DATE($P$3,MONTH(1&amp;$N$3),VALUE(LEFT(G$5,2))),"yyyy-MM-dd")),0)),""))</f>
        <v/>
      </c>
      <c r="H132" s="39" t="str">
        <f t="array" ref="H132">IF(OR($A130="",H$5=""),"",IFNA(INDEX(DATA_LOG!$C:$C,MATCH(1,(DATA_LOG!$A:$A=$A130)*(TEXT(DATA_LOG!$B:$B,"yyyy-MM-dd")=TEXT(DATE($P$3,MONTH(1&amp;$N$3),VALUE(LEFT(H$5,2))),"yyyy-MM-dd")),0)),""))</f>
        <v/>
      </c>
      <c r="I132" s="39" t="str">
        <f t="array" ref="I132">IF(OR($A130="",I$5=""),"",IFNA(INDEX(DATA_LOG!$C:$C,MATCH(1,(DATA_LOG!$A:$A=$A130)*(TEXT(DATA_LOG!$B:$B,"yyyy-MM-dd")=TEXT(DATE($P$3,MONTH(1&amp;$N$3),VALUE(LEFT(I$5,2))),"yyyy-MM-dd")),0)),""))</f>
        <v/>
      </c>
      <c r="J132" s="39" t="str">
        <f t="array" ref="J132">IF(OR($A130="",J$5=""),"",IFNA(INDEX(DATA_LOG!$C:$C,MATCH(1,(DATA_LOG!$A:$A=$A130)*(TEXT(DATA_LOG!$B:$B,"yyyy-MM-dd")=TEXT(DATE($P$3,MONTH(1&amp;$N$3),VALUE(LEFT(J$5,2))),"yyyy-MM-dd")),0)),""))</f>
        <v/>
      </c>
      <c r="K132" s="39" t="str">
        <f t="array" ref="K132">IF(OR($A130="",K$5=""),"",IFNA(INDEX(DATA_LOG!$C:$C,MATCH(1,(DATA_LOG!$A:$A=$A130)*(TEXT(DATA_LOG!$B:$B,"yyyy-MM-dd")=TEXT(DATE($P$3,MONTH(1&amp;$N$3),VALUE(LEFT(K$5,2))),"yyyy-MM-dd")),0)),""))</f>
        <v/>
      </c>
      <c r="L132" s="39" t="str">
        <f t="array" ref="L132">IF(OR($A130="",L$5=""),"",IFNA(INDEX(DATA_LOG!$C:$C,MATCH(1,(DATA_LOG!$A:$A=$A130)*(TEXT(DATA_LOG!$B:$B,"yyyy-MM-dd")=TEXT(DATE($P$3,MONTH(1&amp;$N$3),VALUE(LEFT(L$5,2))),"yyyy-MM-dd")),0)),""))</f>
        <v/>
      </c>
      <c r="M132" s="39" t="str">
        <f t="array" ref="M132">IF(OR($A130="",M$5=""),"",IFNA(INDEX(DATA_LOG!$C:$C,MATCH(1,(DATA_LOG!$A:$A=$A130)*(TEXT(DATA_LOG!$B:$B,"yyyy-MM-dd")=TEXT(DATE($P$3,MONTH(1&amp;$N$3),VALUE(LEFT(M$5,2))),"yyyy-MM-dd")),0)),""))</f>
        <v/>
      </c>
      <c r="N132" s="39" t="str">
        <f t="array" ref="N132">IF(OR($A130="",N$5=""),"",IFNA(INDEX(DATA_LOG!$C:$C,MATCH(1,(DATA_LOG!$A:$A=$A130)*(TEXT(DATA_LOG!$B:$B,"yyyy-MM-dd")=TEXT(DATE($P$3,MONTH(1&amp;$N$3),VALUE(LEFT(N$5,2))),"yyyy-MM-dd")),0)),""))</f>
        <v/>
      </c>
      <c r="O132" s="39" t="str">
        <f t="array" ref="O132">IF(OR($A130="",O$5=""),"",IFNA(INDEX(DATA_LOG!$C:$C,MATCH(1,(DATA_LOG!$A:$A=$A130)*(TEXT(DATA_LOG!$B:$B,"yyyy-MM-dd")=TEXT(DATE($P$3,MONTH(1&amp;$N$3),VALUE(LEFT(O$5,2))),"yyyy-MM-dd")),0)),""))</f>
        <v/>
      </c>
      <c r="P132" s="39" t="str">
        <f t="array" ref="P132">IF(OR($A130="",P$5=""),"",IFNA(INDEX(DATA_LOG!$C:$C,MATCH(1,(DATA_LOG!$A:$A=$A130)*(TEXT(DATA_LOG!$B:$B,"yyyy-MM-dd")=TEXT(DATE($P$3,MONTH(1&amp;$N$3),VALUE(LEFT(P$5,2))),"yyyy-MM-dd")),0)),""))</f>
        <v/>
      </c>
      <c r="Q132" s="39" t="str">
        <f t="array" ref="Q132">IF(OR($A130="",Q$5=""),"",IFNA(INDEX(DATA_LOG!$C:$C,MATCH(1,(DATA_LOG!$A:$A=$A130)*(TEXT(DATA_LOG!$B:$B,"yyyy-MM-dd")=TEXT(DATE($P$3,MONTH(1&amp;$N$3),VALUE(LEFT(Q$5,2))),"yyyy-MM-dd")),0)),""))</f>
        <v/>
      </c>
      <c r="R132" s="39" t="str">
        <f t="array" ref="R132">IF(OR($A130="",R$5=""),"",IFNA(INDEX(DATA_LOG!$C:$C,MATCH(1,(DATA_LOG!$A:$A=$A130)*(TEXT(DATA_LOG!$B:$B,"yyyy-MM-dd")=TEXT(DATE($P$3,MONTH(1&amp;$N$3),VALUE(LEFT(R$5,2))),"yyyy-MM-dd")),0)),""))</f>
        <v/>
      </c>
      <c r="S132" s="39" t="str">
        <f t="array" ref="S132">IF(OR($A130="",S$5=""),"",IFNA(INDEX(DATA_LOG!$C:$C,MATCH(1,(DATA_LOG!$A:$A=$A130)*(TEXT(DATA_LOG!$B:$B,"yyyy-MM-dd")=TEXT(DATE($P$3,MONTH(1&amp;$N$3),VALUE(LEFT(S$5,2))),"yyyy-MM-dd")),0)),""))</f>
        <v/>
      </c>
      <c r="T132" s="39" t="str">
        <f t="array" ref="T132">IF(OR($A130="",T$5=""),"",IFNA(INDEX(DATA_LOG!$C:$C,MATCH(1,(DATA_LOG!$A:$A=$A130)*(TEXT(DATA_LOG!$B:$B,"yyyy-MM-dd")=TEXT(DATE($P$3,MONTH(1&amp;$N$3),VALUE(LEFT(T$5,2))),"yyyy-MM-dd")),0)),""))</f>
        <v/>
      </c>
      <c r="U132" s="39" t="str">
        <f t="array" ref="U132">IF(OR($A130="",U$5=""),"",IFNA(INDEX(DATA_LOG!$C:$C,MATCH(1,(DATA_LOG!$A:$A=$A130)*(TEXT(DATA_LOG!$B:$B,"yyyy-MM-dd")=TEXT(DATE($P$3,MONTH(1&amp;$N$3),VALUE(LEFT(U$5,2))),"yyyy-MM-dd")),0)),""))</f>
        <v/>
      </c>
      <c r="V132" s="39" t="str">
        <f t="array" ref="V132">IF(OR($A130="",V$5=""),"",IFNA(INDEX(DATA_LOG!$C:$C,MATCH(1,(DATA_LOG!$A:$A=$A130)*(TEXT(DATA_LOG!$B:$B,"yyyy-MM-dd")=TEXT(DATE($P$3,MONTH(1&amp;$N$3),VALUE(LEFT(V$5,2))),"yyyy-MM-dd")),0)),""))</f>
        <v/>
      </c>
      <c r="W132" s="39" t="str">
        <f t="array" ref="W132">IF(OR($A130="",W$5=""),"",IFNA(INDEX(DATA_LOG!$C:$C,MATCH(1,(DATA_LOG!$A:$A=$A130)*(TEXT(DATA_LOG!$B:$B,"yyyy-MM-dd")=TEXT(DATE($P$3,MONTH(1&amp;$N$3),VALUE(LEFT(W$5,2))),"yyyy-MM-dd")),0)),""))</f>
        <v/>
      </c>
      <c r="X132" s="39" t="str">
        <f t="array" ref="X132">IF(OR($A130="",X$5=""),"",IFNA(INDEX(DATA_LOG!$C:$C,MATCH(1,(DATA_LOG!$A:$A=$A130)*(TEXT(DATA_LOG!$B:$B,"yyyy-MM-dd")=TEXT(DATE($P$3,MONTH(1&amp;$N$3),VALUE(LEFT(X$5,2))),"yyyy-MM-dd")),0)),""))</f>
        <v/>
      </c>
      <c r="Y132" s="39" t="str">
        <f t="array" ref="Y132">IF(OR($A130="",Y$5=""),"",IFNA(INDEX(DATA_LOG!$C:$C,MATCH(1,(DATA_LOG!$A:$A=$A130)*(TEXT(DATA_LOG!$B:$B,"yyyy-MM-dd")=TEXT(DATE($P$3,MONTH(1&amp;$N$3),VALUE(LEFT(Y$5,2))),"yyyy-MM-dd")),0)),""))</f>
        <v/>
      </c>
      <c r="Z132" s="39" t="str">
        <f t="array" ref="Z132">IF(OR($A130="",Z$5=""),"",IFNA(INDEX(DATA_LOG!$C:$C,MATCH(1,(DATA_LOG!$A:$A=$A130)*(TEXT(DATA_LOG!$B:$B,"yyyy-MM-dd")=TEXT(DATE($P$3,MONTH(1&amp;$N$3),VALUE(LEFT(Z$5,2))),"yyyy-MM-dd")),0)),""))</f>
        <v/>
      </c>
      <c r="AA132" s="39" t="str">
        <f t="array" ref="AA132">IF(OR($A130="",AA$5=""),"",IFNA(INDEX(DATA_LOG!$C:$C,MATCH(1,(DATA_LOG!$A:$A=$A130)*(TEXT(DATA_LOG!$B:$B,"yyyy-MM-dd")=TEXT(DATE($P$3,MONTH(1&amp;$N$3),VALUE(LEFT(AA$5,2))),"yyyy-MM-dd")),0)),""))</f>
        <v/>
      </c>
      <c r="AB132" s="39" t="str">
        <f t="array" ref="AB132">IF(OR($A130="",AB$5=""),"",IFNA(INDEX(DATA_LOG!$C:$C,MATCH(1,(DATA_LOG!$A:$A=$A130)*(TEXT(DATA_LOG!$B:$B,"yyyy-MM-dd")=TEXT(DATE($P$3,MONTH(1&amp;$N$3),VALUE(LEFT(AB$5,2))),"yyyy-MM-dd")),0)),""))</f>
        <v/>
      </c>
      <c r="AC132" s="39" t="str">
        <f t="array" ref="AC132">IF(OR($A130="",AC$5=""),"",IFNA(INDEX(DATA_LOG!$C:$C,MATCH(1,(DATA_LOG!$A:$A=$A130)*(TEXT(DATA_LOG!$B:$B,"yyyy-MM-dd")=TEXT(DATE($P$3,MONTH(1&amp;$N$3),VALUE(LEFT(AC$5,2))),"yyyy-MM-dd")),0)),""))</f>
        <v/>
      </c>
      <c r="AD132" s="39" t="str">
        <f t="array" ref="AD132">IF(OR($A130="",AD$5=""),"",IFNA(INDEX(DATA_LOG!$C:$C,MATCH(1,(DATA_LOG!$A:$A=$A130)*(TEXT(DATA_LOG!$B:$B,"yyyy-MM-dd")=TEXT(DATE($P$3,MONTH(1&amp;$N$3),VALUE(LEFT(AD$5,2))),"yyyy-MM-dd")),0)),""))</f>
        <v/>
      </c>
      <c r="AE132" s="39" t="str">
        <f t="array" ref="AE132">IF(OR($A130="",AE$5=""),"",IFNA(INDEX(DATA_LOG!$C:$C,MATCH(1,(DATA_LOG!$A:$A=$A130)*(TEXT(DATA_LOG!$B:$B,"yyyy-MM-dd")=TEXT(DATE($P$3,MONTH(1&amp;$N$3),VALUE(LEFT(AE$5,2))),"yyyy-MM-dd")),0)),""))</f>
        <v/>
      </c>
      <c r="AF132" s="39" t="str">
        <f t="array" ref="AF132">IF(OR($A130="",AF$5=""),"",IFNA(INDEX(DATA_LOG!$C:$C,MATCH(1,(DATA_LOG!$A:$A=$A130)*(TEXT(DATA_LOG!$B:$B,"yyyy-MM-dd")=TEXT(DATE($P$3,MONTH(1&amp;$N$3),VALUE(LEFT(AF$5,2))),"yyyy-MM-dd")),0)),""))</f>
        <v/>
      </c>
    </row>
    <row r="133">
      <c r="A133" s="37" t="str">
        <f>IF($A130="", "", "OUT")</f>
        <v>OUT</v>
      </c>
      <c r="B133" s="39" t="str">
        <f t="array" ref="B133">IF(OR($A130="",B$5=""),"",IFNA(INDEX(DATA_LOG!$D:$D,MATCH(1,(DATA_LOG!$A:$A=$A130)*(TEXT(DATA_LOG!$B:$B,"yyyy-MM-dd")=TEXT(DATE($P$3,MONTH(1&amp;$N$3),VALUE(LEFT(B$5,2))),"yyyy-MM-dd")),0)),""))</f>
        <v/>
      </c>
      <c r="C133" s="39" t="str">
        <f t="array" ref="C133">IF(OR($A130="",C$5=""),"",IFNA(INDEX(DATA_LOG!$D:$D,MATCH(1,(DATA_LOG!$A:$A=$A130)*(TEXT(DATA_LOG!$B:$B,"yyyy-MM-dd")=TEXT(DATE($P$3,MONTH(1&amp;$N$3),VALUE(LEFT(C$5,2))),"yyyy-MM-dd")),0)),""))</f>
        <v/>
      </c>
      <c r="D133" s="39" t="str">
        <f t="array" ref="D133">IF(OR($A130="",D$5=""),"",IFNA(INDEX(DATA_LOG!$D:$D,MATCH(1,(DATA_LOG!$A:$A=$A130)*(TEXT(DATA_LOG!$B:$B,"yyyy-MM-dd")=TEXT(DATE($P$3,MONTH(1&amp;$N$3),VALUE(LEFT(D$5,2))),"yyyy-MM-dd")),0)),""))</f>
        <v/>
      </c>
      <c r="E133" s="39" t="str">
        <f t="array" ref="E133">IF(OR($A130="",E$5=""),"",IFNA(INDEX(DATA_LOG!$D:$D,MATCH(1,(DATA_LOG!$A:$A=$A130)*(TEXT(DATA_LOG!$B:$B,"yyyy-MM-dd")=TEXT(DATE($P$3,MONTH(1&amp;$N$3),VALUE(LEFT(E$5,2))),"yyyy-MM-dd")),0)),""))</f>
        <v/>
      </c>
      <c r="F133" s="39" t="str">
        <f t="array" ref="F133">IF(OR($A130="",F$5=""),"",IFNA(INDEX(DATA_LOG!$D:$D,MATCH(1,(DATA_LOG!$A:$A=$A130)*(TEXT(DATA_LOG!$B:$B,"yyyy-MM-dd")=TEXT(DATE($P$3,MONTH(1&amp;$N$3),VALUE(LEFT(F$5,2))),"yyyy-MM-dd")),0)),""))</f>
        <v/>
      </c>
      <c r="G133" s="39" t="str">
        <f t="array" ref="G133">IF(OR($A130="",G$5=""),"",IFNA(INDEX(DATA_LOG!$D:$D,MATCH(1,(DATA_LOG!$A:$A=$A130)*(TEXT(DATA_LOG!$B:$B,"yyyy-MM-dd")=TEXT(DATE($P$3,MONTH(1&amp;$N$3),VALUE(LEFT(G$5,2))),"yyyy-MM-dd")),0)),""))</f>
        <v/>
      </c>
      <c r="H133" s="39" t="str">
        <f t="array" ref="H133">IF(OR($A130="",H$5=""),"",IFNA(INDEX(DATA_LOG!$D:$D,MATCH(1,(DATA_LOG!$A:$A=$A130)*(TEXT(DATA_LOG!$B:$B,"yyyy-MM-dd")=TEXT(DATE($P$3,MONTH(1&amp;$N$3),VALUE(LEFT(H$5,2))),"yyyy-MM-dd")),0)),""))</f>
        <v/>
      </c>
      <c r="I133" s="39" t="str">
        <f t="array" ref="I133">IF(OR($A130="",I$5=""),"",IFNA(INDEX(DATA_LOG!$D:$D,MATCH(1,(DATA_LOG!$A:$A=$A130)*(TEXT(DATA_LOG!$B:$B,"yyyy-MM-dd")=TEXT(DATE($P$3,MONTH(1&amp;$N$3),VALUE(LEFT(I$5,2))),"yyyy-MM-dd")),0)),""))</f>
        <v/>
      </c>
      <c r="J133" s="39" t="str">
        <f t="array" ref="J133">IF(OR($A130="",J$5=""),"",IFNA(INDEX(DATA_LOG!$D:$D,MATCH(1,(DATA_LOG!$A:$A=$A130)*(TEXT(DATA_LOG!$B:$B,"yyyy-MM-dd")=TEXT(DATE($P$3,MONTH(1&amp;$N$3),VALUE(LEFT(J$5,2))),"yyyy-MM-dd")),0)),""))</f>
        <v/>
      </c>
      <c r="K133" s="39" t="str">
        <f t="array" ref="K133">IF(OR($A130="",K$5=""),"",IFNA(INDEX(DATA_LOG!$D:$D,MATCH(1,(DATA_LOG!$A:$A=$A130)*(TEXT(DATA_LOG!$B:$B,"yyyy-MM-dd")=TEXT(DATE($P$3,MONTH(1&amp;$N$3),VALUE(LEFT(K$5,2))),"yyyy-MM-dd")),0)),""))</f>
        <v/>
      </c>
      <c r="L133" s="39" t="str">
        <f t="array" ref="L133">IF(OR($A130="",L$5=""),"",IFNA(INDEX(DATA_LOG!$D:$D,MATCH(1,(DATA_LOG!$A:$A=$A130)*(TEXT(DATA_LOG!$B:$B,"yyyy-MM-dd")=TEXT(DATE($P$3,MONTH(1&amp;$N$3),VALUE(LEFT(L$5,2))),"yyyy-MM-dd")),0)),""))</f>
        <v/>
      </c>
      <c r="M133" s="39" t="str">
        <f t="array" ref="M133">IF(OR($A130="",M$5=""),"",IFNA(INDEX(DATA_LOG!$D:$D,MATCH(1,(DATA_LOG!$A:$A=$A130)*(TEXT(DATA_LOG!$B:$B,"yyyy-MM-dd")=TEXT(DATE($P$3,MONTH(1&amp;$N$3),VALUE(LEFT(M$5,2))),"yyyy-MM-dd")),0)),""))</f>
        <v/>
      </c>
      <c r="N133" s="39" t="str">
        <f t="array" ref="N133">IF(OR($A130="",N$5=""),"",IFNA(INDEX(DATA_LOG!$D:$D,MATCH(1,(DATA_LOG!$A:$A=$A130)*(TEXT(DATA_LOG!$B:$B,"yyyy-MM-dd")=TEXT(DATE($P$3,MONTH(1&amp;$N$3),VALUE(LEFT(N$5,2))),"yyyy-MM-dd")),0)),""))</f>
        <v/>
      </c>
      <c r="O133" s="39" t="str">
        <f t="array" ref="O133">IF(OR($A130="",O$5=""),"",IFNA(INDEX(DATA_LOG!$D:$D,MATCH(1,(DATA_LOG!$A:$A=$A130)*(TEXT(DATA_LOG!$B:$B,"yyyy-MM-dd")=TEXT(DATE($P$3,MONTH(1&amp;$N$3),VALUE(LEFT(O$5,2))),"yyyy-MM-dd")),0)),""))</f>
        <v/>
      </c>
      <c r="P133" s="39" t="str">
        <f t="array" ref="P133">IF(OR($A130="",P$5=""),"",IFNA(INDEX(DATA_LOG!$D:$D,MATCH(1,(DATA_LOG!$A:$A=$A130)*(TEXT(DATA_LOG!$B:$B,"yyyy-MM-dd")=TEXT(DATE($P$3,MONTH(1&amp;$N$3),VALUE(LEFT(P$5,2))),"yyyy-MM-dd")),0)),""))</f>
        <v/>
      </c>
      <c r="Q133" s="39" t="str">
        <f t="array" ref="Q133">IF(OR($A130="",Q$5=""),"",IFNA(INDEX(DATA_LOG!$D:$D,MATCH(1,(DATA_LOG!$A:$A=$A130)*(TEXT(DATA_LOG!$B:$B,"yyyy-MM-dd")=TEXT(DATE($P$3,MONTH(1&amp;$N$3),VALUE(LEFT(Q$5,2))),"yyyy-MM-dd")),0)),""))</f>
        <v/>
      </c>
      <c r="R133" s="39" t="str">
        <f t="array" ref="R133">IF(OR($A130="",R$5=""),"",IFNA(INDEX(DATA_LOG!$D:$D,MATCH(1,(DATA_LOG!$A:$A=$A130)*(TEXT(DATA_LOG!$B:$B,"yyyy-MM-dd")=TEXT(DATE($P$3,MONTH(1&amp;$N$3),VALUE(LEFT(R$5,2))),"yyyy-MM-dd")),0)),""))</f>
        <v/>
      </c>
      <c r="S133" s="39" t="str">
        <f t="array" ref="S133">IF(OR($A130="",S$5=""),"",IFNA(INDEX(DATA_LOG!$D:$D,MATCH(1,(DATA_LOG!$A:$A=$A130)*(TEXT(DATA_LOG!$B:$B,"yyyy-MM-dd")=TEXT(DATE($P$3,MONTH(1&amp;$N$3),VALUE(LEFT(S$5,2))),"yyyy-MM-dd")),0)),""))</f>
        <v/>
      </c>
      <c r="T133" s="39" t="str">
        <f t="array" ref="T133">IF(OR($A130="",T$5=""),"",IFNA(INDEX(DATA_LOG!$D:$D,MATCH(1,(DATA_LOG!$A:$A=$A130)*(TEXT(DATA_LOG!$B:$B,"yyyy-MM-dd")=TEXT(DATE($P$3,MONTH(1&amp;$N$3),VALUE(LEFT(T$5,2))),"yyyy-MM-dd")),0)),""))</f>
        <v/>
      </c>
      <c r="U133" s="39" t="str">
        <f t="array" ref="U133">IF(OR($A130="",U$5=""),"",IFNA(INDEX(DATA_LOG!$D:$D,MATCH(1,(DATA_LOG!$A:$A=$A130)*(TEXT(DATA_LOG!$B:$B,"yyyy-MM-dd")=TEXT(DATE($P$3,MONTH(1&amp;$N$3),VALUE(LEFT(U$5,2))),"yyyy-MM-dd")),0)),""))</f>
        <v/>
      </c>
      <c r="V133" s="39" t="str">
        <f t="array" ref="V133">IF(OR($A130="",V$5=""),"",IFNA(INDEX(DATA_LOG!$D:$D,MATCH(1,(DATA_LOG!$A:$A=$A130)*(TEXT(DATA_LOG!$B:$B,"yyyy-MM-dd")=TEXT(DATE($P$3,MONTH(1&amp;$N$3),VALUE(LEFT(V$5,2))),"yyyy-MM-dd")),0)),""))</f>
        <v/>
      </c>
      <c r="W133" s="39" t="str">
        <f t="array" ref="W133">IF(OR($A130="",W$5=""),"",IFNA(INDEX(DATA_LOG!$D:$D,MATCH(1,(DATA_LOG!$A:$A=$A130)*(TEXT(DATA_LOG!$B:$B,"yyyy-MM-dd")=TEXT(DATE($P$3,MONTH(1&amp;$N$3),VALUE(LEFT(W$5,2))),"yyyy-MM-dd")),0)),""))</f>
        <v/>
      </c>
      <c r="X133" s="39" t="str">
        <f t="array" ref="X133">IF(OR($A130="",X$5=""),"",IFNA(INDEX(DATA_LOG!$D:$D,MATCH(1,(DATA_LOG!$A:$A=$A130)*(TEXT(DATA_LOG!$B:$B,"yyyy-MM-dd")=TEXT(DATE($P$3,MONTH(1&amp;$N$3),VALUE(LEFT(X$5,2))),"yyyy-MM-dd")),0)),""))</f>
        <v/>
      </c>
      <c r="Y133" s="39" t="str">
        <f t="array" ref="Y133">IF(OR($A130="",Y$5=""),"",IFNA(INDEX(DATA_LOG!$D:$D,MATCH(1,(DATA_LOG!$A:$A=$A130)*(TEXT(DATA_LOG!$B:$B,"yyyy-MM-dd")=TEXT(DATE($P$3,MONTH(1&amp;$N$3),VALUE(LEFT(Y$5,2))),"yyyy-MM-dd")),0)),""))</f>
        <v/>
      </c>
      <c r="Z133" s="39" t="str">
        <f t="array" ref="Z133">IF(OR($A130="",Z$5=""),"",IFNA(INDEX(DATA_LOG!$D:$D,MATCH(1,(DATA_LOG!$A:$A=$A130)*(TEXT(DATA_LOG!$B:$B,"yyyy-MM-dd")=TEXT(DATE($P$3,MONTH(1&amp;$N$3),VALUE(LEFT(Z$5,2))),"yyyy-MM-dd")),0)),""))</f>
        <v/>
      </c>
      <c r="AA133" s="39" t="str">
        <f t="array" ref="AA133">IF(OR($A130="",AA$5=""),"",IFNA(INDEX(DATA_LOG!$D:$D,MATCH(1,(DATA_LOG!$A:$A=$A130)*(TEXT(DATA_LOG!$B:$B,"yyyy-MM-dd")=TEXT(DATE($P$3,MONTH(1&amp;$N$3),VALUE(LEFT(AA$5,2))),"yyyy-MM-dd")),0)),""))</f>
        <v/>
      </c>
      <c r="AB133" s="39" t="str">
        <f t="array" ref="AB133">IF(OR($A130="",AB$5=""),"",IFNA(INDEX(DATA_LOG!$D:$D,MATCH(1,(DATA_LOG!$A:$A=$A130)*(TEXT(DATA_LOG!$B:$B,"yyyy-MM-dd")=TEXT(DATE($P$3,MONTH(1&amp;$N$3),VALUE(LEFT(AB$5,2))),"yyyy-MM-dd")),0)),""))</f>
        <v/>
      </c>
      <c r="AC133" s="39" t="str">
        <f t="array" ref="AC133">IF(OR($A130="",AC$5=""),"",IFNA(INDEX(DATA_LOG!$D:$D,MATCH(1,(DATA_LOG!$A:$A=$A130)*(TEXT(DATA_LOG!$B:$B,"yyyy-MM-dd")=TEXT(DATE($P$3,MONTH(1&amp;$N$3),VALUE(LEFT(AC$5,2))),"yyyy-MM-dd")),0)),""))</f>
        <v/>
      </c>
      <c r="AD133" s="39" t="str">
        <f t="array" ref="AD133">IF(OR($A130="",AD$5=""),"",IFNA(INDEX(DATA_LOG!$D:$D,MATCH(1,(DATA_LOG!$A:$A=$A130)*(TEXT(DATA_LOG!$B:$B,"yyyy-MM-dd")=TEXT(DATE($P$3,MONTH(1&amp;$N$3),VALUE(LEFT(AD$5,2))),"yyyy-MM-dd")),0)),""))</f>
        <v/>
      </c>
      <c r="AE133" s="39" t="str">
        <f t="array" ref="AE133">IF(OR($A130="",AE$5=""),"",IFNA(INDEX(DATA_LOG!$D:$D,MATCH(1,(DATA_LOG!$A:$A=$A130)*(TEXT(DATA_LOG!$B:$B,"yyyy-MM-dd")=TEXT(DATE($P$3,MONTH(1&amp;$N$3),VALUE(LEFT(AE$5,2))),"yyyy-MM-dd")),0)),""))</f>
        <v/>
      </c>
      <c r="AF133" s="39" t="str">
        <f t="array" ref="AF133">IF(OR($A130="",AF$5=""),"",IFNA(INDEX(DATA_LOG!$D:$D,MATCH(1,(DATA_LOG!$A:$A=$A130)*(TEXT(DATA_LOG!$B:$B,"yyyy-MM-dd")=TEXT(DATE($P$3,MONTH(1&amp;$N$3),VALUE(LEFT(AF$5,2))),"yyyy-MM-dd")),0)),""))</f>
        <v/>
      </c>
    </row>
    <row r="134">
      <c r="A134" s="40" t="str">
        <f>IF($A130="", "", "TOTAL")</f>
        <v>TOTAL</v>
      </c>
      <c r="B134" s="41" t="str">
        <f t="shared" ref="B134:AF134" si="19">IF(AND(B132&lt;&gt;"",B133&lt;&gt;""),TEXT(MOD(B133-B132,1),"hh:mm"),"")</f>
        <v/>
      </c>
      <c r="C134" s="34" t="str">
        <f t="shared" si="19"/>
        <v/>
      </c>
      <c r="D134" s="34" t="str">
        <f t="shared" si="19"/>
        <v/>
      </c>
      <c r="E134" s="34" t="str">
        <f t="shared" si="19"/>
        <v/>
      </c>
      <c r="F134" s="34" t="str">
        <f t="shared" si="19"/>
        <v/>
      </c>
      <c r="G134" s="34" t="str">
        <f t="shared" si="19"/>
        <v/>
      </c>
      <c r="H134" s="34" t="str">
        <f t="shared" si="19"/>
        <v/>
      </c>
      <c r="I134" s="34" t="str">
        <f t="shared" si="19"/>
        <v/>
      </c>
      <c r="J134" s="34" t="str">
        <f t="shared" si="19"/>
        <v/>
      </c>
      <c r="K134" s="34" t="str">
        <f t="shared" si="19"/>
        <v/>
      </c>
      <c r="L134" s="34" t="str">
        <f t="shared" si="19"/>
        <v/>
      </c>
      <c r="M134" s="34" t="str">
        <f t="shared" si="19"/>
        <v/>
      </c>
      <c r="N134" s="34" t="str">
        <f t="shared" si="19"/>
        <v/>
      </c>
      <c r="O134" s="34" t="str">
        <f t="shared" si="19"/>
        <v/>
      </c>
      <c r="P134" s="34" t="str">
        <f t="shared" si="19"/>
        <v/>
      </c>
      <c r="Q134" s="34" t="str">
        <f t="shared" si="19"/>
        <v/>
      </c>
      <c r="R134" s="34" t="str">
        <f t="shared" si="19"/>
        <v/>
      </c>
      <c r="S134" s="34" t="str">
        <f t="shared" si="19"/>
        <v/>
      </c>
      <c r="T134" s="34" t="str">
        <f t="shared" si="19"/>
        <v/>
      </c>
      <c r="U134" s="34" t="str">
        <f t="shared" si="19"/>
        <v/>
      </c>
      <c r="V134" s="34" t="str">
        <f t="shared" si="19"/>
        <v/>
      </c>
      <c r="W134" s="34" t="str">
        <f t="shared" si="19"/>
        <v/>
      </c>
      <c r="X134" s="34" t="str">
        <f t="shared" si="19"/>
        <v/>
      </c>
      <c r="Y134" s="34" t="str">
        <f t="shared" si="19"/>
        <v/>
      </c>
      <c r="Z134" s="34" t="str">
        <f t="shared" si="19"/>
        <v/>
      </c>
      <c r="AA134" s="34" t="str">
        <f t="shared" si="19"/>
        <v/>
      </c>
      <c r="AB134" s="34" t="str">
        <f t="shared" si="19"/>
        <v/>
      </c>
      <c r="AC134" s="34" t="str">
        <f t="shared" si="19"/>
        <v/>
      </c>
      <c r="AD134" s="34" t="str">
        <f t="shared" si="19"/>
        <v/>
      </c>
      <c r="AE134" s="34" t="str">
        <f t="shared" si="19"/>
        <v/>
      </c>
      <c r="AF134" s="34" t="str">
        <f t="shared" si="19"/>
        <v/>
      </c>
    </row>
    <row r="135">
      <c r="A135" s="42" t="str">
        <f>IF($A130="", "", "STATUS")</f>
        <v>STATUS</v>
      </c>
      <c r="B135" s="43" t="str">
        <f>IFERROR(__xludf.DUMMYFUNCTION("IF($A130="""","""",IF(B$5="""","""",LET(logStatus,IFNA(INDEX(DATA_LOG!$E:$E,MATCH(1,(DATA_LOG!$A:$A=$A130)*(TEXT(DATA_LOG!$B:$B,""yyyy-MM-dd"")=TEXT(DATE($P$3,MONTH(1&amp;$N$3),VALUE(LEFT(B$5,2))),""yyyy-MM-dd"")),0)),""""),IF(logStatus&lt;&gt;"""",UPPER(logStatus)"&amp;",IF(B134&lt;&gt;"""",IF(VALUE(B134)&gt;=9/24,""FD"",""HD""),IF(REGEXMATCH(B$5,""SUN""),""WO"",""-""))))))"),"-")</f>
        <v>-</v>
      </c>
      <c r="C135" s="43" t="str">
        <f>IFERROR(__xludf.DUMMYFUNCTION("IF($A130="""","""",IF(C$5="""","""",LET(logStatus,IFNA(INDEX(DATA_LOG!$E:$E,MATCH(1,(DATA_LOG!$A:$A=$A130)*(TEXT(DATA_LOG!$B:$B,""yyyy-MM-dd"")=TEXT(DATE($P$3,MONTH(1&amp;$N$3),VALUE(LEFT(C$5,2))),""yyyy-MM-dd"")),0)),""""),IF(logStatus&lt;&gt;"""",UPPER(logStatus)"&amp;",IF(C134&lt;&gt;"""",IF(VALUE(C134)&gt;=9/24,""FD"",""HD""),IF(REGEXMATCH(C$5,""SUN""),""WO"",""-""))))))"),"-")</f>
        <v>-</v>
      </c>
      <c r="D135" s="43" t="str">
        <f>IFERROR(__xludf.DUMMYFUNCTION("IF($A130="""","""",IF(D$5="""","""",LET(logStatus,IFNA(INDEX(DATA_LOG!$E:$E,MATCH(1,(DATA_LOG!$A:$A=$A130)*(TEXT(DATA_LOG!$B:$B,""yyyy-MM-dd"")=TEXT(DATE($P$3,MONTH(1&amp;$N$3),VALUE(LEFT(D$5,2))),""yyyy-MM-dd"")),0)),""""),IF(logStatus&lt;&gt;"""",UPPER(logStatus)"&amp;",IF(D134&lt;&gt;"""",IF(VALUE(D134)&gt;=9/24,""FD"",""HD""),IF(REGEXMATCH(D$5,""SUN""),""WO"",""-""))))))"),"-")</f>
        <v>-</v>
      </c>
      <c r="E135" s="43" t="str">
        <f>IFERROR(__xludf.DUMMYFUNCTION("IF($A130="""","""",IF(E$5="""","""",LET(logStatus,IFNA(INDEX(DATA_LOG!$E:$E,MATCH(1,(DATA_LOG!$A:$A=$A130)*(TEXT(DATA_LOG!$B:$B,""yyyy-MM-dd"")=TEXT(DATE($P$3,MONTH(1&amp;$N$3),VALUE(LEFT(E$5,2))),""yyyy-MM-dd"")),0)),""""),IF(logStatus&lt;&gt;"""",UPPER(logStatus)"&amp;",IF(E134&lt;&gt;"""",IF(VALUE(E134)&gt;=9/24,""FD"",""HD""),IF(REGEXMATCH(E$5,""SUN""),""WO"",""-""))))))"),"-")</f>
        <v>-</v>
      </c>
      <c r="F135" s="43" t="str">
        <f>IFERROR(__xludf.DUMMYFUNCTION("IF($A130="""","""",IF(F$131="""","""",LET(logStatus,IFNA(INDEX(DATA_LOG!$E:$E,MATCH(1,(DATA_LOG!$A:$A=$A130)*(TEXT(DATA_LOG!$B:$B,""yyyy-MM-dd"")=TEXT(DATE($P$3,MONTH(1&amp;$N$3),VALUE(LEFT(F$131,2))),""yyyy-MM-dd"")),0)),""""),selectedDate,DATE($P$3,MONTH(1&amp;"&amp;"$N$3),VALUE(LEFT(F$131,2))),IF(logStatus&lt;&gt;"""",UPPER(logStatus),IF(selectedDate&gt;TODAY(),""-"",IF(REGEXMATCH(F$131,""SUN""),""WO"",IF(F$134&lt;&gt;"""",IF(VALUE(F$134)&gt;=9/24,""FD"",""HD""),""A"")))))))"),"A")</f>
        <v>A</v>
      </c>
      <c r="G135" s="43" t="str">
        <f>IFERROR(__xludf.DUMMYFUNCTION("IF($A130="""","""",IF(G$131="""","""",LET(logStatus,IFNA(INDEX(DATA_LOG!$E:$E,MATCH(1,(DATA_LOG!$A:$A=$A130)*(TEXT(DATA_LOG!$B:$B,""yyyy-MM-dd"")=TEXT(DATE($P$3,MONTH(1&amp;$N$3),VALUE(LEFT(G$131,2))),""yyyy-MM-dd"")),0)),""""),selectedDate,DATE($P$3,MONTH(1&amp;"&amp;"$N$3),VALUE(LEFT(G$131,2))),IF(logStatus&lt;&gt;"""",UPPER(logStatus),IF(selectedDate&gt;TODAY(),""-"",IF(REGEXMATCH(G$131,""SUN""),""WO"",IF(G$134&lt;&gt;"""",IF(VALUE(G$134)&gt;=9/24,""FD"",""HD""),""A"")))))))"),"WO")</f>
        <v>WO</v>
      </c>
      <c r="H135" s="43" t="str">
        <f>IFERROR(__xludf.DUMMYFUNCTION("IF($A130="""","""",IF(H$131="""","""",LET(logStatus,IFNA(INDEX(DATA_LOG!$E:$E,MATCH(1,(DATA_LOG!$A:$A=$A130)*(TEXT(DATA_LOG!$B:$B,""yyyy-MM-dd"")=TEXT(DATE($P$3,MONTH(1&amp;$N$3),VALUE(LEFT(H$131,2))),""yyyy-MM-dd"")),0)),""""),selectedDate,DATE($P$3,MONTH(1&amp;"&amp;"$N$3),VALUE(LEFT(H$131,2))),IF(logStatus&lt;&gt;"""",UPPER(logStatus),IF(selectedDate&gt;TODAY(),""-"",IF(REGEXMATCH(H$131,""SUN""),""WO"",IF(H$134&lt;&gt;"""",IF(VALUE(H$134)&gt;=9/24,""FD"",""HD""),""A"")))))))"),"A")</f>
        <v>A</v>
      </c>
      <c r="I135" s="43" t="str">
        <f>IFERROR(__xludf.DUMMYFUNCTION("IF($A130="""","""",IF(I$131="""","""",LET(logStatus,IFNA(INDEX(DATA_LOG!$E:$E,MATCH(1,(DATA_LOG!$A:$A=$A130)*(TEXT(DATA_LOG!$B:$B,""yyyy-MM-dd"")=TEXT(DATE($P$3,MONTH(1&amp;$N$3),VALUE(LEFT(I$131,2))),""yyyy-MM-dd"")),0)),""""),selectedDate,DATE($P$3,MONTH(1&amp;"&amp;"$N$3),VALUE(LEFT(I$131,2))),IF(logStatus&lt;&gt;"""",UPPER(logStatus),IF(selectedDate&gt;TODAY(),""-"",IF(REGEXMATCH(I$131,""SUN""),""WO"",IF(I$134&lt;&gt;"""",IF(VALUE(I$134)&gt;=9/24,""FD"",""HD""),""A"")))))))"),"A")</f>
        <v>A</v>
      </c>
      <c r="J135" s="43" t="str">
        <f>IFERROR(__xludf.DUMMYFUNCTION("IF($A130="""","""",IF(J$131="""","""",LET(logStatus,IFNA(INDEX(DATA_LOG!$E:$E,MATCH(1,(DATA_LOG!$A:$A=$A130)*(TEXT(DATA_LOG!$B:$B,""yyyy-MM-dd"")=TEXT(DATE($P$3,MONTH(1&amp;$N$3),VALUE(LEFT(J$131,2))),""yyyy-MM-dd"")),0)),""""),selectedDate,DATE($P$3,MONTH(1&amp;"&amp;"$N$3),VALUE(LEFT(J$131,2))),IF(logStatus&lt;&gt;"""",UPPER(logStatus),IF(selectedDate&gt;TODAY(),""-"",IF(REGEXMATCH(J$131,""SUN""),""WO"",IF(J$134&lt;&gt;"""",IF(VALUE(J$134)&gt;=9/24,""FD"",""HD""),""A"")))))))"),"A")</f>
        <v>A</v>
      </c>
      <c r="K135" s="43" t="str">
        <f>IFERROR(__xludf.DUMMYFUNCTION("IF($A130="""","""",IF(K$131="""","""",LET(logStatus,IFNA(INDEX(DATA_LOG!$E:$E,MATCH(1,(DATA_LOG!$A:$A=$A130)*(TEXT(DATA_LOG!$B:$B,""yyyy-MM-dd"")=TEXT(DATE($P$3,MONTH(1&amp;$N$3),VALUE(LEFT(K$131,2))),""yyyy-MM-dd"")),0)),""""),selectedDate,DATE($P$3,MONTH(1&amp;"&amp;"$N$3),VALUE(LEFT(K$131,2))),IF(logStatus&lt;&gt;"""",UPPER(logStatus),IF(selectedDate&gt;TODAY(),""-"",IF(REGEXMATCH(K$131,""SUN""),""WO"",IF(K$134&lt;&gt;"""",IF(VALUE(K$134)&gt;=9/24,""FD"",""HD""),""A"")))))))"),"A")</f>
        <v>A</v>
      </c>
      <c r="L135" s="43" t="str">
        <f>IFERROR(__xludf.DUMMYFUNCTION("IF($A130="""","""",IF(L$131="""","""",LET(logStatus,IFNA(INDEX(DATA_LOG!$E:$E,MATCH(1,(DATA_LOG!$A:$A=$A130)*(TEXT(DATA_LOG!$B:$B,""yyyy-MM-dd"")=TEXT(DATE($P$3,MONTH(1&amp;$N$3),VALUE(LEFT(L$131,2))),""yyyy-MM-dd"")),0)),""""),selectedDate,DATE($P$3,MONTH(1&amp;"&amp;"$N$3),VALUE(LEFT(L$131,2))),IF(logStatus&lt;&gt;"""",UPPER(logStatus),IF(selectedDate&gt;TODAY(),""-"",IF(REGEXMATCH(L$131,""SUN""),""WO"",IF(L$134&lt;&gt;"""",IF(VALUE(L$134)&gt;=9/24,""FD"",""HD""),""A"")))))))"),"A")</f>
        <v>A</v>
      </c>
      <c r="M135" s="43" t="str">
        <f>IFERROR(__xludf.DUMMYFUNCTION("IF($A130="""","""",IF(M$131="""","""",LET(logStatus,IFNA(INDEX(DATA_LOG!$E:$E,MATCH(1,(DATA_LOG!$A:$A=$A130)*(TEXT(DATA_LOG!$B:$B,""yyyy-MM-dd"")=TEXT(DATE($P$3,MONTH(1&amp;$N$3),VALUE(LEFT(M$131,2))),""yyyy-MM-dd"")),0)),""""),selectedDate,DATE($P$3,MONTH(1&amp;"&amp;"$N$3),VALUE(LEFT(M$131,2))),IF(logStatus&lt;&gt;"""",UPPER(logStatus),IF(selectedDate&gt;TODAY(),""-"",IF(REGEXMATCH(M$131,""SUN""),""WO"",IF(M$134&lt;&gt;"""",IF(VALUE(M$134)&gt;=9/24,""FD"",""HD""),""A"")))))))"),"-")</f>
        <v>-</v>
      </c>
      <c r="N135" s="43" t="str">
        <f>IFERROR(__xludf.DUMMYFUNCTION("IF($A130="""","""",IF(N$131="""","""",LET(logStatus,IFNA(INDEX(DATA_LOG!$E:$E,MATCH(1,(DATA_LOG!$A:$A=$A130)*(TEXT(DATA_LOG!$B:$B,""yyyy-MM-dd"")=TEXT(DATE($P$3,MONTH(1&amp;$N$3),VALUE(LEFT(N$131,2))),""yyyy-MM-dd"")),0)),""""),selectedDate,DATE($P$3,MONTH(1&amp;"&amp;"$N$3),VALUE(LEFT(N$131,2))),IF(logStatus&lt;&gt;"""",UPPER(logStatus),IF(selectedDate&gt;TODAY(),""-"",IF(REGEXMATCH(N$131,""SUN""),""WO"",IF(N$134&lt;&gt;"""",IF(VALUE(N$134)&gt;=9/24,""FD"",""HD""),""A"")))))))"),"-")</f>
        <v>-</v>
      </c>
      <c r="O135" s="43" t="str">
        <f>IFERROR(__xludf.DUMMYFUNCTION("IF($A130="""","""",IF(O$131="""","""",LET(logStatus,IFNA(INDEX(DATA_LOG!$E:$E,MATCH(1,(DATA_LOG!$A:$A=$A130)*(TEXT(DATA_LOG!$B:$B,""yyyy-MM-dd"")=TEXT(DATE($P$3,MONTH(1&amp;$N$3),VALUE(LEFT(O$131,2))),""yyyy-MM-dd"")),0)),""""),selectedDate,DATE($P$3,MONTH(1&amp;"&amp;"$N$3),VALUE(LEFT(O$131,2))),IF(logStatus&lt;&gt;"""",UPPER(logStatus),IF(selectedDate&gt;TODAY(),""-"",IF(REGEXMATCH(O$131,""SUN""),""WO"",IF(O$134&lt;&gt;"""",IF(VALUE(O$134)&gt;=9/24,""FD"",""HD""),""A"")))))))"),"-")</f>
        <v>-</v>
      </c>
      <c r="P135" s="43" t="str">
        <f>IFERROR(__xludf.DUMMYFUNCTION("IF($A130="""","""",IF(P$131="""","""",LET(logStatus,IFNA(INDEX(DATA_LOG!$E:$E,MATCH(1,(DATA_LOG!$A:$A=$A130)*(TEXT(DATA_LOG!$B:$B,""yyyy-MM-dd"")=TEXT(DATE($P$3,MONTH(1&amp;$N$3),VALUE(LEFT(P$131,2))),""yyyy-MM-dd"")),0)),""""),selectedDate,DATE($P$3,MONTH(1&amp;"&amp;"$N$3),VALUE(LEFT(P$131,2))),IF(logStatus&lt;&gt;"""",UPPER(logStatus),IF(selectedDate&gt;TODAY(),""-"",IF(REGEXMATCH(P$131,""SUN""),""WO"",IF(P$134&lt;&gt;"""",IF(VALUE(P$134)&gt;=9/24,""FD"",""HD""),""A"")))))))"),"-")</f>
        <v>-</v>
      </c>
      <c r="Q135" s="43" t="str">
        <f>IFERROR(__xludf.DUMMYFUNCTION("IF($A130="""","""",IF(Q$131="""","""",LET(logStatus,IFNA(INDEX(DATA_LOG!$E:$E,MATCH(1,(DATA_LOG!$A:$A=$A130)*(TEXT(DATA_LOG!$B:$B,""yyyy-MM-dd"")=TEXT(DATE($P$3,MONTH(1&amp;$N$3),VALUE(LEFT(Q$131,2))),""yyyy-MM-dd"")),0)),""""),selectedDate,DATE($P$3,MONTH(1&amp;"&amp;"$N$3),VALUE(LEFT(Q$131,2))),IF(logStatus&lt;&gt;"""",UPPER(logStatus),IF(selectedDate&gt;TODAY(),""-"",IF(REGEXMATCH(Q$131,""SUN""),""WO"",IF(Q$134&lt;&gt;"""",IF(VALUE(Q$134)&gt;=9/24,""FD"",""HD""),""A"")))))))"),"-")</f>
        <v>-</v>
      </c>
      <c r="R135" s="43" t="str">
        <f>IFERROR(__xludf.DUMMYFUNCTION("IF($A130="""","""",IF(R$131="""","""",LET(logStatus,IFNA(INDEX(DATA_LOG!$E:$E,MATCH(1,(DATA_LOG!$A:$A=$A130)*(TEXT(DATA_LOG!$B:$B,""yyyy-MM-dd"")=TEXT(DATE($P$3,MONTH(1&amp;$N$3),VALUE(LEFT(R$131,2))),""yyyy-MM-dd"")),0)),""""),selectedDate,DATE($P$3,MONTH(1&amp;"&amp;"$N$3),VALUE(LEFT(R$131,2))),IF(logStatus&lt;&gt;"""",UPPER(logStatus),IF(selectedDate&gt;TODAY(),""-"",IF(REGEXMATCH(R$131,""SUN""),""WO"",IF(R$134&lt;&gt;"""",IF(VALUE(R$134)&gt;=9/24,""FD"",""HD""),""A"")))))))"),"-")</f>
        <v>-</v>
      </c>
      <c r="S135" s="43" t="str">
        <f>IFERROR(__xludf.DUMMYFUNCTION("IF($A130="""","""",IF(S$131="""","""",LET(logStatus,IFNA(INDEX(DATA_LOG!$E:$E,MATCH(1,(DATA_LOG!$A:$A=$A130)*(TEXT(DATA_LOG!$B:$B,""yyyy-MM-dd"")=TEXT(DATE($P$3,MONTH(1&amp;$N$3),VALUE(LEFT(S$131,2))),""yyyy-MM-dd"")),0)),""""),selectedDate,DATE($P$3,MONTH(1&amp;"&amp;"$N$3),VALUE(LEFT(S$131,2))),IF(logStatus&lt;&gt;"""",UPPER(logStatus),IF(selectedDate&gt;TODAY(),""-"",IF(REGEXMATCH(S$131,""SUN""),""WO"",IF(S$134&lt;&gt;"""",IF(VALUE(S$134)&gt;=9/24,""FD"",""HD""),""A"")))))))"),"-")</f>
        <v>-</v>
      </c>
      <c r="T135" s="43" t="str">
        <f>IFERROR(__xludf.DUMMYFUNCTION("IF($A130="""","""",IF(T$131="""","""",LET(logStatus,IFNA(INDEX(DATA_LOG!$E:$E,MATCH(1,(DATA_LOG!$A:$A=$A130)*(TEXT(DATA_LOG!$B:$B,""yyyy-MM-dd"")=TEXT(DATE($P$3,MONTH(1&amp;$N$3),VALUE(LEFT(T$131,2))),""yyyy-MM-dd"")),0)),""""),selectedDate,DATE($P$3,MONTH(1&amp;"&amp;"$N$3),VALUE(LEFT(T$131,2))),IF(logStatus&lt;&gt;"""",UPPER(logStatus),IF(selectedDate&gt;TODAY(),""-"",IF(REGEXMATCH(T$131,""SUN""),""WO"",IF(T$134&lt;&gt;"""",IF(VALUE(T$134)&gt;=9/24,""FD"",""HD""),""A"")))))))"),"-")</f>
        <v>-</v>
      </c>
      <c r="U135" s="43" t="str">
        <f>IFERROR(__xludf.DUMMYFUNCTION("IF($A130="""","""",IF(U$131="""","""",LET(logStatus,IFNA(INDEX(DATA_LOG!$E:$E,MATCH(1,(DATA_LOG!$A:$A=$A130)*(TEXT(DATA_LOG!$B:$B,""yyyy-MM-dd"")=TEXT(DATE($P$3,MONTH(1&amp;$N$3),VALUE(LEFT(U$131,2))),""yyyy-MM-dd"")),0)),""""),selectedDate,DATE($P$3,MONTH(1&amp;"&amp;"$N$3),VALUE(LEFT(U$131,2))),IF(logStatus&lt;&gt;"""",UPPER(logStatus),IF(selectedDate&gt;TODAY(),""-"",IF(REGEXMATCH(U$131,""SUN""),""WO"",IF(U$134&lt;&gt;"""",IF(VALUE(U$134)&gt;=9/24,""FD"",""HD""),""A"")))))))"),"-")</f>
        <v>-</v>
      </c>
      <c r="V135" s="43" t="str">
        <f>IFERROR(__xludf.DUMMYFUNCTION("IF($A130="""","""",IF(V$131="""","""",LET(logStatus,IFNA(INDEX(DATA_LOG!$E:$E,MATCH(1,(DATA_LOG!$A:$A=$A130)*(TEXT(DATA_LOG!$B:$B,""yyyy-MM-dd"")=TEXT(DATE($P$3,MONTH(1&amp;$N$3),VALUE(LEFT(V$131,2))),""yyyy-MM-dd"")),0)),""""),selectedDate,DATE($P$3,MONTH(1&amp;"&amp;"$N$3),VALUE(LEFT(V$131,2))),IF(logStatus&lt;&gt;"""",UPPER(logStatus),IF(selectedDate&gt;TODAY(),""-"",IF(REGEXMATCH(V$131,""SUN""),""WO"",IF(V$134&lt;&gt;"""",IF(VALUE(V$134)&gt;=9/24,""FD"",""HD""),""A"")))))))"),"-")</f>
        <v>-</v>
      </c>
      <c r="W135" s="43" t="str">
        <f>IFERROR(__xludf.DUMMYFUNCTION("IF($A130="""","""",IF(W$131="""","""",LET(logStatus,IFNA(INDEX(DATA_LOG!$E:$E,MATCH(1,(DATA_LOG!$A:$A=$A130)*(TEXT(DATA_LOG!$B:$B,""yyyy-MM-dd"")=TEXT(DATE($P$3,MONTH(1&amp;$N$3),VALUE(LEFT(W$131,2))),""yyyy-MM-dd"")),0)),""""),selectedDate,DATE($P$3,MONTH(1&amp;"&amp;"$N$3),VALUE(LEFT(W$131,2))),IF(logStatus&lt;&gt;"""",UPPER(logStatus),IF(selectedDate&gt;TODAY(),""-"",IF(REGEXMATCH(W$131,""SUN""),""WO"",IF(W$134&lt;&gt;"""",IF(VALUE(W$134)&gt;=9/24,""FD"",""HD""),""A"")))))))"),"-")</f>
        <v>-</v>
      </c>
      <c r="X135" s="43" t="str">
        <f>IFERROR(__xludf.DUMMYFUNCTION("IF($A130="""","""",IF(X$131="""","""",LET(logStatus,IFNA(INDEX(DATA_LOG!$E:$E,MATCH(1,(DATA_LOG!$A:$A=$A130)*(TEXT(DATA_LOG!$B:$B,""yyyy-MM-dd"")=TEXT(DATE($P$3,MONTH(1&amp;$N$3),VALUE(LEFT(X$131,2))),""yyyy-MM-dd"")),0)),""""),selectedDate,DATE($P$3,MONTH(1&amp;"&amp;"$N$3),VALUE(LEFT(X$131,2))),IF(logStatus&lt;&gt;"""",UPPER(logStatus),IF(selectedDate&gt;TODAY(),""-"",IF(REGEXMATCH(X$131,""SUN""),""WO"",IF(X$134&lt;&gt;"""",IF(VALUE(X$134)&gt;=9/24,""FD"",""HD""),""A"")))))))"),"-")</f>
        <v>-</v>
      </c>
      <c r="Y135" s="43" t="str">
        <f>IFERROR(__xludf.DUMMYFUNCTION("IF($A130="""","""",IF(Y$131="""","""",LET(logStatus,IFNA(INDEX(DATA_LOG!$E:$E,MATCH(1,(DATA_LOG!$A:$A=$A130)*(TEXT(DATA_LOG!$B:$B,""yyyy-MM-dd"")=TEXT(DATE($P$3,MONTH(1&amp;$N$3),VALUE(LEFT(Y$131,2))),""yyyy-MM-dd"")),0)),""""),selectedDate,DATE($P$3,MONTH(1&amp;"&amp;"$N$3),VALUE(LEFT(Y$131,2))),IF(logStatus&lt;&gt;"""",UPPER(logStatus),IF(selectedDate&gt;TODAY(),""-"",IF(REGEXMATCH(Y$131,""SUN""),""WO"",IF(Y$134&lt;&gt;"""",IF(VALUE(Y$134)&gt;=9/24,""FD"",""HD""),""A"")))))))"),"-")</f>
        <v>-</v>
      </c>
      <c r="Z135" s="43" t="str">
        <f>IFERROR(__xludf.DUMMYFUNCTION("IF($A130="""","""",IF(Z$131="""","""",LET(logStatus,IFNA(INDEX(DATA_LOG!$E:$E,MATCH(1,(DATA_LOG!$A:$A=$A130)*(TEXT(DATA_LOG!$B:$B,""yyyy-MM-dd"")=TEXT(DATE($P$3,MONTH(1&amp;$N$3),VALUE(LEFT(Z$131,2))),""yyyy-MM-dd"")),0)),""""),selectedDate,DATE($P$3,MONTH(1&amp;"&amp;"$N$3),VALUE(LEFT(Z$131,2))),IF(logStatus&lt;&gt;"""",UPPER(logStatus),IF(selectedDate&gt;TODAY(),""-"",IF(REGEXMATCH(Z$131,""SUN""),""WO"",IF(Z$134&lt;&gt;"""",IF(VALUE(Z$134)&gt;=9/24,""FD"",""HD""),""A"")))))))"),"-")</f>
        <v>-</v>
      </c>
      <c r="AA135" s="43" t="str">
        <f>IFERROR(__xludf.DUMMYFUNCTION("IF($A130="""","""",IF(AA$131="""","""",LET(logStatus,IFNA(INDEX(DATA_LOG!$E:$E,MATCH(1,(DATA_LOG!$A:$A=$A130)*(TEXT(DATA_LOG!$B:$B,""yyyy-MM-dd"")=TEXT(DATE($P$3,MONTH(1&amp;$N$3),VALUE(LEFT(AA$131,2))),""yyyy-MM-dd"")),0)),""""),selectedDate,DATE($P$3,MONTH("&amp;"1&amp;$N$3),VALUE(LEFT(AA$131,2))),IF(logStatus&lt;&gt;"""",UPPER(logStatus),IF(selectedDate&gt;TODAY(),""-"",IF(REGEXMATCH(AA$131,""SUN""),""WO"",IF(AA$134&lt;&gt;"""",IF(VALUE(AA$134)&gt;=9/24,""FD"",""HD""),""A"")))))))"),"-")</f>
        <v>-</v>
      </c>
      <c r="AB135" s="43" t="str">
        <f>IFERROR(__xludf.DUMMYFUNCTION("IF($A130="""","""",IF(AB$131="""","""",LET(logStatus,IFNA(INDEX(DATA_LOG!$E:$E,MATCH(1,(DATA_LOG!$A:$A=$A130)*(TEXT(DATA_LOG!$B:$B,""yyyy-MM-dd"")=TEXT(DATE($P$3,MONTH(1&amp;$N$3),VALUE(LEFT(AB$131,2))),""yyyy-MM-dd"")),0)),""""),selectedDate,DATE($P$3,MONTH("&amp;"1&amp;$N$3),VALUE(LEFT(AB$131,2))),IF(logStatus&lt;&gt;"""",UPPER(logStatus),IF(selectedDate&gt;TODAY(),""-"",IF(REGEXMATCH(AB$131,""SUN""),""WO"",IF(AB$134&lt;&gt;"""",IF(VALUE(AB$134)&gt;=9/24,""FD"",""HD""),""A"")))))))"),"-")</f>
        <v>-</v>
      </c>
      <c r="AC135" s="43" t="str">
        <f>IFERROR(__xludf.DUMMYFUNCTION("IF($A130="""","""",IF(AC$131="""","""",LET(logStatus,IFNA(INDEX(DATA_LOG!$E:$E,MATCH(1,(DATA_LOG!$A:$A=$A130)*(TEXT(DATA_LOG!$B:$B,""yyyy-MM-dd"")=TEXT(DATE($P$3,MONTH(1&amp;$N$3),VALUE(LEFT(AC$131,2))),""yyyy-MM-dd"")),0)),""""),selectedDate,DATE($P$3,MONTH("&amp;"1&amp;$N$3),VALUE(LEFT(AC$131,2))),IF(logStatus&lt;&gt;"""",UPPER(logStatus),IF(selectedDate&gt;TODAY(),""-"",IF(REGEXMATCH(AC$131,""SUN""),""WO"",IF(AC$134&lt;&gt;"""",IF(VALUE(AC$134)&gt;=9/24,""FD"",""HD""),""A"")))))))"),"-")</f>
        <v>-</v>
      </c>
      <c r="AD135" s="43" t="str">
        <f>IFERROR(__xludf.DUMMYFUNCTION("IF($A130="""","""",IF(AD$131="""","""",LET(logStatus,IFNA(INDEX(DATA_LOG!$E:$E,MATCH(1,(DATA_LOG!$A:$A=$A130)*(TEXT(DATA_LOG!$B:$B,""yyyy-MM-dd"")=TEXT(DATE($P$3,MONTH(1&amp;$N$3),VALUE(LEFT(AD$131,2))),""yyyy-MM-dd"")),0)),""""),selectedDate,DATE($P$3,MONTH("&amp;"1&amp;$N$3),VALUE(LEFT(AD$131,2))),IF(logStatus&lt;&gt;"""",UPPER(logStatus),IF(selectedDate&gt;TODAY(),""-"",IF(REGEXMATCH(AD$131,""SUN""),""WO"",IF(AD$134&lt;&gt;"""",IF(VALUE(AD$134)&gt;=9/24,""FD"",""HD""),""A"")))))))"),"-")</f>
        <v>-</v>
      </c>
      <c r="AE135" s="43" t="str">
        <f>IFERROR(__xludf.DUMMYFUNCTION("IF($A130="""","""",IF(AE$131="""","""",LET(logStatus,IFNA(INDEX(DATA_LOG!$E:$E,MATCH(1,(DATA_LOG!$A:$A=$A130)*(TEXT(DATA_LOG!$B:$B,""yyyy-MM-dd"")=TEXT(DATE($P$3,MONTH(1&amp;$N$3),VALUE(LEFT(AE$131,2))),""yyyy-MM-dd"")),0)),""""),selectedDate,DATE($P$3,MONTH("&amp;"1&amp;$N$3),VALUE(LEFT(AE$131,2))),IF(logStatus&lt;&gt;"""",UPPER(logStatus),IF(selectedDate&gt;TODAY(),""-"",IF(REGEXMATCH(AE$131,""SUN""),""WO"",IF(AE$134&lt;&gt;"""",IF(VALUE(AE$134)&gt;=9/24,""FD"",""HD""),""A"")))))))"),"-")</f>
        <v>-</v>
      </c>
      <c r="AF135" s="43" t="str">
        <f>IFERROR(__xludf.DUMMYFUNCTION("IF($A130="""","""",IF(AF$131="""","""",LET(logStatus,IFNA(INDEX(DATA_LOG!$E:$E,MATCH(1,(DATA_LOG!$A:$A=$A130)*(TEXT(DATA_LOG!$B:$B,""yyyy-MM-dd"")=TEXT(DATE($P$3,MONTH(1&amp;$N$3),VALUE(LEFT(AF$131,2))),""yyyy-MM-dd"")),0)),""""),selectedDate,DATE($P$3,MONTH("&amp;"1&amp;$N$3),VALUE(LEFT(AF$131,2))),IF(logStatus&lt;&gt;"""",UPPER(logStatus),IF(selectedDate&gt;TODAY(),""-"",IF(REGEXMATCH(AF$131,""SUN""),""WO"",IF(AF$134&lt;&gt;"""",IF(VALUE(AF$134)&gt;=9/24,""FD"",""HD""),""A"")))))))"),"")</f>
        <v/>
      </c>
    </row>
    <row r="136">
      <c r="A136" s="44"/>
    </row>
    <row r="137">
      <c r="A137" s="25" t="str">
        <f t="array" ref="A137">INDEX(EMPLOYEE_LIST!$A:$A,INT((ROW()-4)/7)+2)</f>
        <v>DHANANJY</v>
      </c>
      <c r="B137" s="26"/>
      <c r="C137" s="27"/>
      <c r="D137" s="28" t="str">
        <f>IF(A137="", "", IFERROR(VLOOKUP(A137, EMPLOYEE_LIST!$A:$H, 2, FALSE), ""))</f>
        <v>AYV-21</v>
      </c>
      <c r="E137" s="26"/>
      <c r="F137" s="26"/>
      <c r="G137" s="27"/>
      <c r="H137" s="29" t="str">
        <f>IF(A137="", "", IFERROR(VLOOKUP(A137, EMPLOYEE_LIST!$A:$H, 3, FALSE), ""))</f>
        <v>OPERATOR</v>
      </c>
      <c r="I137" s="26"/>
      <c r="J137" s="26"/>
      <c r="K137" s="27"/>
      <c r="L137" s="29" t="str">
        <f>IF(A137="", "", IFERROR(VLOOKUP(A137, EMPLOYEE_LIST!$A:$H, 4, FALSE), ""))</f>
        <v>OPERATOR</v>
      </c>
      <c r="M137" s="26"/>
      <c r="N137" s="26"/>
      <c r="O137" s="27"/>
      <c r="P137" s="30" t="str">
        <f>IF($A137="", "", "Full Day: " &amp; COUNTIF(B142:AF142, "FD"))</f>
        <v>Full Day: 0</v>
      </c>
      <c r="Q137" s="26"/>
      <c r="R137" s="27"/>
      <c r="S137" s="31" t="str">
        <f>IF($A137="", "", "HALF Day: " &amp; COUNTIF(B142:AF142, "HD"))</f>
        <v>HALF Day: 0</v>
      </c>
      <c r="T137" s="26"/>
      <c r="U137" s="27"/>
      <c r="V137" s="31" t="str">
        <f>IF($A137="", "", "ABSENT: " &amp; COUNTIF(B142:AF142, "A"))</f>
        <v>ABSENT: 6</v>
      </c>
      <c r="W137" s="26"/>
      <c r="X137" s="27"/>
      <c r="Y137" s="31" t="str">
        <f>IF($A137="", "", "WEEK OFF: " &amp; COUNTIF(B142:AF142, "WO"))</f>
        <v>WEEK OFF: 1</v>
      </c>
      <c r="Z137" s="26"/>
      <c r="AA137" s="27"/>
      <c r="AB137" s="31" t="str">
        <f>IF($A137="", "", "LEAVE: " &amp; COUNTIF(B142:AF142, "L"))</f>
        <v>LEAVE: 0</v>
      </c>
      <c r="AC137" s="27"/>
      <c r="AD137" s="31" t="str">
        <f>IF($A137="", "", "HOLIDAY: " &amp; COUNTIF(B142:AF142, "HL"))</f>
        <v>HOLIDAY: 0</v>
      </c>
      <c r="AE137" s="26"/>
      <c r="AF137" s="27"/>
    </row>
    <row r="138">
      <c r="A138" s="32" t="str">
        <f>IF($A137="", "", "DATE")</f>
        <v>DATE</v>
      </c>
      <c r="B138" s="33" t="str">
        <f t="array" ref="B138:AE138">IF($A137="","",LET(mNum,MONTH(1&amp;$N$3),start,DATE($P$3,mNum,1),days,DAY(EOMONTH(start,0)),MAP(SEQUENCE(1,days,0),LAMBDA(n,UPPER(TEXT(start+n,"dd (ddd)"))))))</f>
        <v>01 (TUE)</v>
      </c>
      <c r="C138" s="34" t="s">
        <v>89</v>
      </c>
      <c r="D138" s="34" t="s">
        <v>90</v>
      </c>
      <c r="E138" s="34" t="s">
        <v>91</v>
      </c>
      <c r="F138" s="34" t="s">
        <v>92</v>
      </c>
      <c r="G138" s="34" t="s">
        <v>93</v>
      </c>
      <c r="H138" s="34" t="s">
        <v>94</v>
      </c>
      <c r="I138" s="34" t="s">
        <v>95</v>
      </c>
      <c r="J138" s="34" t="s">
        <v>96</v>
      </c>
      <c r="K138" s="34" t="s">
        <v>97</v>
      </c>
      <c r="L138" s="34" t="s">
        <v>98</v>
      </c>
      <c r="M138" s="34" t="s">
        <v>99</v>
      </c>
      <c r="N138" s="34" t="s">
        <v>100</v>
      </c>
      <c r="O138" s="34" t="s">
        <v>101</v>
      </c>
      <c r="P138" s="34" t="s">
        <v>102</v>
      </c>
      <c r="Q138" s="34" t="s">
        <v>103</v>
      </c>
      <c r="R138" s="34" t="s">
        <v>104</v>
      </c>
      <c r="S138" s="34" t="s">
        <v>105</v>
      </c>
      <c r="T138" s="34" t="s">
        <v>106</v>
      </c>
      <c r="U138" s="34" t="s">
        <v>107</v>
      </c>
      <c r="V138" s="34" t="s">
        <v>108</v>
      </c>
      <c r="W138" s="34" t="s">
        <v>109</v>
      </c>
      <c r="X138" s="34" t="s">
        <v>110</v>
      </c>
      <c r="Y138" s="34" t="s">
        <v>111</v>
      </c>
      <c r="Z138" s="34" t="s">
        <v>112</v>
      </c>
      <c r="AA138" s="34" t="s">
        <v>113</v>
      </c>
      <c r="AB138" s="34" t="s">
        <v>114</v>
      </c>
      <c r="AC138" s="34" t="s">
        <v>115</v>
      </c>
      <c r="AD138" s="34" t="s">
        <v>116</v>
      </c>
      <c r="AE138" s="34" t="s">
        <v>117</v>
      </c>
      <c r="AF138" s="34"/>
    </row>
    <row r="139">
      <c r="A139" s="37" t="str">
        <f>IF($A137="", "", "IN")</f>
        <v>IN</v>
      </c>
      <c r="B139" s="39" t="str">
        <f t="array" ref="B139">IF(OR($A137="",B$5=""),"",IFNA(INDEX(DATA_LOG!$C:$C,MATCH(1,(DATA_LOG!$A:$A=$A137)*(TEXT(DATA_LOG!$B:$B,"yyyy-MM-dd")=TEXT(DATE($P$3,MONTH(1&amp;$N$3),VALUE(LEFT(B$5,2))),"yyyy-MM-dd")),0)),""))</f>
        <v/>
      </c>
      <c r="C139" s="39" t="str">
        <f t="array" ref="C139">IF(OR($A137="",C$5=""),"",IFNA(INDEX(DATA_LOG!$C:$C,MATCH(1,(DATA_LOG!$A:$A=$A137)*(TEXT(DATA_LOG!$B:$B,"yyyy-MM-dd")=TEXT(DATE($P$3,MONTH(1&amp;$N$3),VALUE(LEFT(C$5,2))),"yyyy-MM-dd")),0)),""))</f>
        <v/>
      </c>
      <c r="D139" s="39" t="str">
        <f t="array" ref="D139">IF(OR($A137="",D$5=""),"",IFNA(INDEX(DATA_LOG!$C:$C,MATCH(1,(DATA_LOG!$A:$A=$A137)*(TEXT(DATA_LOG!$B:$B,"yyyy-MM-dd")=TEXT(DATE($P$3,MONTH(1&amp;$N$3),VALUE(LEFT(D$5,2))),"yyyy-MM-dd")),0)),""))</f>
        <v/>
      </c>
      <c r="E139" s="39" t="str">
        <f t="array" ref="E139">IF(OR($A137="",E$5=""),"",IFNA(INDEX(DATA_LOG!$C:$C,MATCH(1,(DATA_LOG!$A:$A=$A137)*(TEXT(DATA_LOG!$B:$B,"yyyy-MM-dd")=TEXT(DATE($P$3,MONTH(1&amp;$N$3),VALUE(LEFT(E$5,2))),"yyyy-MM-dd")),0)),""))</f>
        <v/>
      </c>
      <c r="F139" s="39" t="str">
        <f t="array" ref="F139">IF(OR($A137="",F$5=""),"",IFNA(INDEX(DATA_LOG!$C:$C,MATCH(1,(DATA_LOG!$A:$A=$A137)*(TEXT(DATA_LOG!$B:$B,"yyyy-MM-dd")=TEXT(DATE($P$3,MONTH(1&amp;$N$3),VALUE(LEFT(F$5,2))),"yyyy-MM-dd")),0)),""))</f>
        <v/>
      </c>
      <c r="G139" s="39" t="str">
        <f t="array" ref="G139">IF(OR($A137="",G$5=""),"",IFNA(INDEX(DATA_LOG!$C:$C,MATCH(1,(DATA_LOG!$A:$A=$A137)*(TEXT(DATA_LOG!$B:$B,"yyyy-MM-dd")=TEXT(DATE($P$3,MONTH(1&amp;$N$3),VALUE(LEFT(G$5,2))),"yyyy-MM-dd")),0)),""))</f>
        <v/>
      </c>
      <c r="H139" s="39" t="str">
        <f t="array" ref="H139">IF(OR($A137="",H$5=""),"",IFNA(INDEX(DATA_LOG!$C:$C,MATCH(1,(DATA_LOG!$A:$A=$A137)*(TEXT(DATA_LOG!$B:$B,"yyyy-MM-dd")=TEXT(DATE($P$3,MONTH(1&amp;$N$3),VALUE(LEFT(H$5,2))),"yyyy-MM-dd")),0)),""))</f>
        <v/>
      </c>
      <c r="I139" s="39" t="str">
        <f t="array" ref="I139">IF(OR($A137="",I$5=""),"",IFNA(INDEX(DATA_LOG!$C:$C,MATCH(1,(DATA_LOG!$A:$A=$A137)*(TEXT(DATA_LOG!$B:$B,"yyyy-MM-dd")=TEXT(DATE($P$3,MONTH(1&amp;$N$3),VALUE(LEFT(I$5,2))),"yyyy-MM-dd")),0)),""))</f>
        <v/>
      </c>
      <c r="J139" s="39" t="str">
        <f t="array" ref="J139">IF(OR($A137="",J$5=""),"",IFNA(INDEX(DATA_LOG!$C:$C,MATCH(1,(DATA_LOG!$A:$A=$A137)*(TEXT(DATA_LOG!$B:$B,"yyyy-MM-dd")=TEXT(DATE($P$3,MONTH(1&amp;$N$3),VALUE(LEFT(J$5,2))),"yyyy-MM-dd")),0)),""))</f>
        <v/>
      </c>
      <c r="K139" s="39" t="str">
        <f t="array" ref="K139">IF(OR($A137="",K$5=""),"",IFNA(INDEX(DATA_LOG!$C:$C,MATCH(1,(DATA_LOG!$A:$A=$A137)*(TEXT(DATA_LOG!$B:$B,"yyyy-MM-dd")=TEXT(DATE($P$3,MONTH(1&amp;$N$3),VALUE(LEFT(K$5,2))),"yyyy-MM-dd")),0)),""))</f>
        <v/>
      </c>
      <c r="L139" s="39" t="str">
        <f t="array" ref="L139">IF(OR($A137="",L$5=""),"",IFNA(INDEX(DATA_LOG!$C:$C,MATCH(1,(DATA_LOG!$A:$A=$A137)*(TEXT(DATA_LOG!$B:$B,"yyyy-MM-dd")=TEXT(DATE($P$3,MONTH(1&amp;$N$3),VALUE(LEFT(L$5,2))),"yyyy-MM-dd")),0)),""))</f>
        <v/>
      </c>
      <c r="M139" s="39" t="str">
        <f t="array" ref="M139">IF(OR($A137="",M$5=""),"",IFNA(INDEX(DATA_LOG!$C:$C,MATCH(1,(DATA_LOG!$A:$A=$A137)*(TEXT(DATA_LOG!$B:$B,"yyyy-MM-dd")=TEXT(DATE($P$3,MONTH(1&amp;$N$3),VALUE(LEFT(M$5,2))),"yyyy-MM-dd")),0)),""))</f>
        <v/>
      </c>
      <c r="N139" s="39" t="str">
        <f t="array" ref="N139">IF(OR($A137="",N$5=""),"",IFNA(INDEX(DATA_LOG!$C:$C,MATCH(1,(DATA_LOG!$A:$A=$A137)*(TEXT(DATA_LOG!$B:$B,"yyyy-MM-dd")=TEXT(DATE($P$3,MONTH(1&amp;$N$3),VALUE(LEFT(N$5,2))),"yyyy-MM-dd")),0)),""))</f>
        <v/>
      </c>
      <c r="O139" s="39" t="str">
        <f t="array" ref="O139">IF(OR($A137="",O$5=""),"",IFNA(INDEX(DATA_LOG!$C:$C,MATCH(1,(DATA_LOG!$A:$A=$A137)*(TEXT(DATA_LOG!$B:$B,"yyyy-MM-dd")=TEXT(DATE($P$3,MONTH(1&amp;$N$3),VALUE(LEFT(O$5,2))),"yyyy-MM-dd")),0)),""))</f>
        <v/>
      </c>
      <c r="P139" s="39" t="str">
        <f t="array" ref="P139">IF(OR($A137="",P$5=""),"",IFNA(INDEX(DATA_LOG!$C:$C,MATCH(1,(DATA_LOG!$A:$A=$A137)*(TEXT(DATA_LOG!$B:$B,"yyyy-MM-dd")=TEXT(DATE($P$3,MONTH(1&amp;$N$3),VALUE(LEFT(P$5,2))),"yyyy-MM-dd")),0)),""))</f>
        <v/>
      </c>
      <c r="Q139" s="39" t="str">
        <f t="array" ref="Q139">IF(OR($A137="",Q$5=""),"",IFNA(INDEX(DATA_LOG!$C:$C,MATCH(1,(DATA_LOG!$A:$A=$A137)*(TEXT(DATA_LOG!$B:$B,"yyyy-MM-dd")=TEXT(DATE($P$3,MONTH(1&amp;$N$3),VALUE(LEFT(Q$5,2))),"yyyy-MM-dd")),0)),""))</f>
        <v/>
      </c>
      <c r="R139" s="39" t="str">
        <f t="array" ref="R139">IF(OR($A137="",R$5=""),"",IFNA(INDEX(DATA_LOG!$C:$C,MATCH(1,(DATA_LOG!$A:$A=$A137)*(TEXT(DATA_LOG!$B:$B,"yyyy-MM-dd")=TEXT(DATE($P$3,MONTH(1&amp;$N$3),VALUE(LEFT(R$5,2))),"yyyy-MM-dd")),0)),""))</f>
        <v/>
      </c>
      <c r="S139" s="39" t="str">
        <f t="array" ref="S139">IF(OR($A137="",S$5=""),"",IFNA(INDEX(DATA_LOG!$C:$C,MATCH(1,(DATA_LOG!$A:$A=$A137)*(TEXT(DATA_LOG!$B:$B,"yyyy-MM-dd")=TEXT(DATE($P$3,MONTH(1&amp;$N$3),VALUE(LEFT(S$5,2))),"yyyy-MM-dd")),0)),""))</f>
        <v/>
      </c>
      <c r="T139" s="39" t="str">
        <f t="array" ref="T139">IF(OR($A137="",T$5=""),"",IFNA(INDEX(DATA_LOG!$C:$C,MATCH(1,(DATA_LOG!$A:$A=$A137)*(TEXT(DATA_LOG!$B:$B,"yyyy-MM-dd")=TEXT(DATE($P$3,MONTH(1&amp;$N$3),VALUE(LEFT(T$5,2))),"yyyy-MM-dd")),0)),""))</f>
        <v/>
      </c>
      <c r="U139" s="39" t="str">
        <f t="array" ref="U139">IF(OR($A137="",U$5=""),"",IFNA(INDEX(DATA_LOG!$C:$C,MATCH(1,(DATA_LOG!$A:$A=$A137)*(TEXT(DATA_LOG!$B:$B,"yyyy-MM-dd")=TEXT(DATE($P$3,MONTH(1&amp;$N$3),VALUE(LEFT(U$5,2))),"yyyy-MM-dd")),0)),""))</f>
        <v/>
      </c>
      <c r="V139" s="39" t="str">
        <f t="array" ref="V139">IF(OR($A137="",V$5=""),"",IFNA(INDEX(DATA_LOG!$C:$C,MATCH(1,(DATA_LOG!$A:$A=$A137)*(TEXT(DATA_LOG!$B:$B,"yyyy-MM-dd")=TEXT(DATE($P$3,MONTH(1&amp;$N$3),VALUE(LEFT(V$5,2))),"yyyy-MM-dd")),0)),""))</f>
        <v/>
      </c>
      <c r="W139" s="39" t="str">
        <f t="array" ref="W139">IF(OR($A137="",W$5=""),"",IFNA(INDEX(DATA_LOG!$C:$C,MATCH(1,(DATA_LOG!$A:$A=$A137)*(TEXT(DATA_LOG!$B:$B,"yyyy-MM-dd")=TEXT(DATE($P$3,MONTH(1&amp;$N$3),VALUE(LEFT(W$5,2))),"yyyy-MM-dd")),0)),""))</f>
        <v/>
      </c>
      <c r="X139" s="39" t="str">
        <f t="array" ref="X139">IF(OR($A137="",X$5=""),"",IFNA(INDEX(DATA_LOG!$C:$C,MATCH(1,(DATA_LOG!$A:$A=$A137)*(TEXT(DATA_LOG!$B:$B,"yyyy-MM-dd")=TEXT(DATE($P$3,MONTH(1&amp;$N$3),VALUE(LEFT(X$5,2))),"yyyy-MM-dd")),0)),""))</f>
        <v/>
      </c>
      <c r="Y139" s="39" t="str">
        <f t="array" ref="Y139">IF(OR($A137="",Y$5=""),"",IFNA(INDEX(DATA_LOG!$C:$C,MATCH(1,(DATA_LOG!$A:$A=$A137)*(TEXT(DATA_LOG!$B:$B,"yyyy-MM-dd")=TEXT(DATE($P$3,MONTH(1&amp;$N$3),VALUE(LEFT(Y$5,2))),"yyyy-MM-dd")),0)),""))</f>
        <v/>
      </c>
      <c r="Z139" s="39" t="str">
        <f t="array" ref="Z139">IF(OR($A137="",Z$5=""),"",IFNA(INDEX(DATA_LOG!$C:$C,MATCH(1,(DATA_LOG!$A:$A=$A137)*(TEXT(DATA_LOG!$B:$B,"yyyy-MM-dd")=TEXT(DATE($P$3,MONTH(1&amp;$N$3),VALUE(LEFT(Z$5,2))),"yyyy-MM-dd")),0)),""))</f>
        <v/>
      </c>
      <c r="AA139" s="39" t="str">
        <f t="array" ref="AA139">IF(OR($A137="",AA$5=""),"",IFNA(INDEX(DATA_LOG!$C:$C,MATCH(1,(DATA_LOG!$A:$A=$A137)*(TEXT(DATA_LOG!$B:$B,"yyyy-MM-dd")=TEXT(DATE($P$3,MONTH(1&amp;$N$3),VALUE(LEFT(AA$5,2))),"yyyy-MM-dd")),0)),""))</f>
        <v/>
      </c>
      <c r="AB139" s="39" t="str">
        <f t="array" ref="AB139">IF(OR($A137="",AB$5=""),"",IFNA(INDEX(DATA_LOG!$C:$C,MATCH(1,(DATA_LOG!$A:$A=$A137)*(TEXT(DATA_LOG!$B:$B,"yyyy-MM-dd")=TEXT(DATE($P$3,MONTH(1&amp;$N$3),VALUE(LEFT(AB$5,2))),"yyyy-MM-dd")),0)),""))</f>
        <v/>
      </c>
      <c r="AC139" s="39" t="str">
        <f t="array" ref="AC139">IF(OR($A137="",AC$5=""),"",IFNA(INDEX(DATA_LOG!$C:$C,MATCH(1,(DATA_LOG!$A:$A=$A137)*(TEXT(DATA_LOG!$B:$B,"yyyy-MM-dd")=TEXT(DATE($P$3,MONTH(1&amp;$N$3),VALUE(LEFT(AC$5,2))),"yyyy-MM-dd")),0)),""))</f>
        <v/>
      </c>
      <c r="AD139" s="39" t="str">
        <f t="array" ref="AD139">IF(OR($A137="",AD$5=""),"",IFNA(INDEX(DATA_LOG!$C:$C,MATCH(1,(DATA_LOG!$A:$A=$A137)*(TEXT(DATA_LOG!$B:$B,"yyyy-MM-dd")=TEXT(DATE($P$3,MONTH(1&amp;$N$3),VALUE(LEFT(AD$5,2))),"yyyy-MM-dd")),0)),""))</f>
        <v/>
      </c>
      <c r="AE139" s="39" t="str">
        <f t="array" ref="AE139">IF(OR($A137="",AE$5=""),"",IFNA(INDEX(DATA_LOG!$C:$C,MATCH(1,(DATA_LOG!$A:$A=$A137)*(TEXT(DATA_LOG!$B:$B,"yyyy-MM-dd")=TEXT(DATE($P$3,MONTH(1&amp;$N$3),VALUE(LEFT(AE$5,2))),"yyyy-MM-dd")),0)),""))</f>
        <v/>
      </c>
      <c r="AF139" s="39" t="str">
        <f t="array" ref="AF139">IF(OR($A137="",AF$5=""),"",IFNA(INDEX(DATA_LOG!$C:$C,MATCH(1,(DATA_LOG!$A:$A=$A137)*(TEXT(DATA_LOG!$B:$B,"yyyy-MM-dd")=TEXT(DATE($P$3,MONTH(1&amp;$N$3),VALUE(LEFT(AF$5,2))),"yyyy-MM-dd")),0)),""))</f>
        <v/>
      </c>
    </row>
    <row r="140">
      <c r="A140" s="37" t="str">
        <f>IF($A137="", "", "OUT")</f>
        <v>OUT</v>
      </c>
      <c r="B140" s="39" t="str">
        <f t="array" ref="B140">IF(OR($A137="",B$5=""),"",IFNA(INDEX(DATA_LOG!$D:$D,MATCH(1,(DATA_LOG!$A:$A=$A137)*(TEXT(DATA_LOG!$B:$B,"yyyy-MM-dd")=TEXT(DATE($P$3,MONTH(1&amp;$N$3),VALUE(LEFT(B$5,2))),"yyyy-MM-dd")),0)),""))</f>
        <v/>
      </c>
      <c r="C140" s="39" t="str">
        <f t="array" ref="C140">IF(OR($A137="",C$5=""),"",IFNA(INDEX(DATA_LOG!$D:$D,MATCH(1,(DATA_LOG!$A:$A=$A137)*(TEXT(DATA_LOG!$B:$B,"yyyy-MM-dd")=TEXT(DATE($P$3,MONTH(1&amp;$N$3),VALUE(LEFT(C$5,2))),"yyyy-MM-dd")),0)),""))</f>
        <v/>
      </c>
      <c r="D140" s="39" t="str">
        <f t="array" ref="D140">IF(OR($A137="",D$5=""),"",IFNA(INDEX(DATA_LOG!$D:$D,MATCH(1,(DATA_LOG!$A:$A=$A137)*(TEXT(DATA_LOG!$B:$B,"yyyy-MM-dd")=TEXT(DATE($P$3,MONTH(1&amp;$N$3),VALUE(LEFT(D$5,2))),"yyyy-MM-dd")),0)),""))</f>
        <v/>
      </c>
      <c r="E140" s="39" t="str">
        <f t="array" ref="E140">IF(OR($A137="",E$5=""),"",IFNA(INDEX(DATA_LOG!$D:$D,MATCH(1,(DATA_LOG!$A:$A=$A137)*(TEXT(DATA_LOG!$B:$B,"yyyy-MM-dd")=TEXT(DATE($P$3,MONTH(1&amp;$N$3),VALUE(LEFT(E$5,2))),"yyyy-MM-dd")),0)),""))</f>
        <v/>
      </c>
      <c r="F140" s="39" t="str">
        <f t="array" ref="F140">IF(OR($A137="",F$5=""),"",IFNA(INDEX(DATA_LOG!$D:$D,MATCH(1,(DATA_LOG!$A:$A=$A137)*(TEXT(DATA_LOG!$B:$B,"yyyy-MM-dd")=TEXT(DATE($P$3,MONTH(1&amp;$N$3),VALUE(LEFT(F$5,2))),"yyyy-MM-dd")),0)),""))</f>
        <v/>
      </c>
      <c r="G140" s="39" t="str">
        <f t="array" ref="G140">IF(OR($A137="",G$5=""),"",IFNA(INDEX(DATA_LOG!$D:$D,MATCH(1,(DATA_LOG!$A:$A=$A137)*(TEXT(DATA_LOG!$B:$B,"yyyy-MM-dd")=TEXT(DATE($P$3,MONTH(1&amp;$N$3),VALUE(LEFT(G$5,2))),"yyyy-MM-dd")),0)),""))</f>
        <v/>
      </c>
      <c r="H140" s="39" t="str">
        <f t="array" ref="H140">IF(OR($A137="",H$5=""),"",IFNA(INDEX(DATA_LOG!$D:$D,MATCH(1,(DATA_LOG!$A:$A=$A137)*(TEXT(DATA_LOG!$B:$B,"yyyy-MM-dd")=TEXT(DATE($P$3,MONTH(1&amp;$N$3),VALUE(LEFT(H$5,2))),"yyyy-MM-dd")),0)),""))</f>
        <v/>
      </c>
      <c r="I140" s="39" t="str">
        <f t="array" ref="I140">IF(OR($A137="",I$5=""),"",IFNA(INDEX(DATA_LOG!$D:$D,MATCH(1,(DATA_LOG!$A:$A=$A137)*(TEXT(DATA_LOG!$B:$B,"yyyy-MM-dd")=TEXT(DATE($P$3,MONTH(1&amp;$N$3),VALUE(LEFT(I$5,2))),"yyyy-MM-dd")),0)),""))</f>
        <v/>
      </c>
      <c r="J140" s="39" t="str">
        <f t="array" ref="J140">IF(OR($A137="",J$5=""),"",IFNA(INDEX(DATA_LOG!$D:$D,MATCH(1,(DATA_LOG!$A:$A=$A137)*(TEXT(DATA_LOG!$B:$B,"yyyy-MM-dd")=TEXT(DATE($P$3,MONTH(1&amp;$N$3),VALUE(LEFT(J$5,2))),"yyyy-MM-dd")),0)),""))</f>
        <v/>
      </c>
      <c r="K140" s="39" t="str">
        <f t="array" ref="K140">IF(OR($A137="",K$5=""),"",IFNA(INDEX(DATA_LOG!$D:$D,MATCH(1,(DATA_LOG!$A:$A=$A137)*(TEXT(DATA_LOG!$B:$B,"yyyy-MM-dd")=TEXT(DATE($P$3,MONTH(1&amp;$N$3),VALUE(LEFT(K$5,2))),"yyyy-MM-dd")),0)),""))</f>
        <v/>
      </c>
      <c r="L140" s="39" t="str">
        <f t="array" ref="L140">IF(OR($A137="",L$5=""),"",IFNA(INDEX(DATA_LOG!$D:$D,MATCH(1,(DATA_LOG!$A:$A=$A137)*(TEXT(DATA_LOG!$B:$B,"yyyy-MM-dd")=TEXT(DATE($P$3,MONTH(1&amp;$N$3),VALUE(LEFT(L$5,2))),"yyyy-MM-dd")),0)),""))</f>
        <v/>
      </c>
      <c r="M140" s="39" t="str">
        <f t="array" ref="M140">IF(OR($A137="",M$5=""),"",IFNA(INDEX(DATA_LOG!$D:$D,MATCH(1,(DATA_LOG!$A:$A=$A137)*(TEXT(DATA_LOG!$B:$B,"yyyy-MM-dd")=TEXT(DATE($P$3,MONTH(1&amp;$N$3),VALUE(LEFT(M$5,2))),"yyyy-MM-dd")),0)),""))</f>
        <v/>
      </c>
      <c r="N140" s="39" t="str">
        <f t="array" ref="N140">IF(OR($A137="",N$5=""),"",IFNA(INDEX(DATA_LOG!$D:$D,MATCH(1,(DATA_LOG!$A:$A=$A137)*(TEXT(DATA_LOG!$B:$B,"yyyy-MM-dd")=TEXT(DATE($P$3,MONTH(1&amp;$N$3),VALUE(LEFT(N$5,2))),"yyyy-MM-dd")),0)),""))</f>
        <v/>
      </c>
      <c r="O140" s="39" t="str">
        <f t="array" ref="O140">IF(OR($A137="",O$5=""),"",IFNA(INDEX(DATA_LOG!$D:$D,MATCH(1,(DATA_LOG!$A:$A=$A137)*(TEXT(DATA_LOG!$B:$B,"yyyy-MM-dd")=TEXT(DATE($P$3,MONTH(1&amp;$N$3),VALUE(LEFT(O$5,2))),"yyyy-MM-dd")),0)),""))</f>
        <v/>
      </c>
      <c r="P140" s="39" t="str">
        <f t="array" ref="P140">IF(OR($A137="",P$5=""),"",IFNA(INDEX(DATA_LOG!$D:$D,MATCH(1,(DATA_LOG!$A:$A=$A137)*(TEXT(DATA_LOG!$B:$B,"yyyy-MM-dd")=TEXT(DATE($P$3,MONTH(1&amp;$N$3),VALUE(LEFT(P$5,2))),"yyyy-MM-dd")),0)),""))</f>
        <v/>
      </c>
      <c r="Q140" s="39" t="str">
        <f t="array" ref="Q140">IF(OR($A137="",Q$5=""),"",IFNA(INDEX(DATA_LOG!$D:$D,MATCH(1,(DATA_LOG!$A:$A=$A137)*(TEXT(DATA_LOG!$B:$B,"yyyy-MM-dd")=TEXT(DATE($P$3,MONTH(1&amp;$N$3),VALUE(LEFT(Q$5,2))),"yyyy-MM-dd")),0)),""))</f>
        <v/>
      </c>
      <c r="R140" s="39" t="str">
        <f t="array" ref="R140">IF(OR($A137="",R$5=""),"",IFNA(INDEX(DATA_LOG!$D:$D,MATCH(1,(DATA_LOG!$A:$A=$A137)*(TEXT(DATA_LOG!$B:$B,"yyyy-MM-dd")=TEXT(DATE($P$3,MONTH(1&amp;$N$3),VALUE(LEFT(R$5,2))),"yyyy-MM-dd")),0)),""))</f>
        <v/>
      </c>
      <c r="S140" s="39" t="str">
        <f t="array" ref="S140">IF(OR($A137="",S$5=""),"",IFNA(INDEX(DATA_LOG!$D:$D,MATCH(1,(DATA_LOG!$A:$A=$A137)*(TEXT(DATA_LOG!$B:$B,"yyyy-MM-dd")=TEXT(DATE($P$3,MONTH(1&amp;$N$3),VALUE(LEFT(S$5,2))),"yyyy-MM-dd")),0)),""))</f>
        <v/>
      </c>
      <c r="T140" s="39" t="str">
        <f t="array" ref="T140">IF(OR($A137="",T$5=""),"",IFNA(INDEX(DATA_LOG!$D:$D,MATCH(1,(DATA_LOG!$A:$A=$A137)*(TEXT(DATA_LOG!$B:$B,"yyyy-MM-dd")=TEXT(DATE($P$3,MONTH(1&amp;$N$3),VALUE(LEFT(T$5,2))),"yyyy-MM-dd")),0)),""))</f>
        <v/>
      </c>
      <c r="U140" s="39" t="str">
        <f t="array" ref="U140">IF(OR($A137="",U$5=""),"",IFNA(INDEX(DATA_LOG!$D:$D,MATCH(1,(DATA_LOG!$A:$A=$A137)*(TEXT(DATA_LOG!$B:$B,"yyyy-MM-dd")=TEXT(DATE($P$3,MONTH(1&amp;$N$3),VALUE(LEFT(U$5,2))),"yyyy-MM-dd")),0)),""))</f>
        <v/>
      </c>
      <c r="V140" s="39" t="str">
        <f t="array" ref="V140">IF(OR($A137="",V$5=""),"",IFNA(INDEX(DATA_LOG!$D:$D,MATCH(1,(DATA_LOG!$A:$A=$A137)*(TEXT(DATA_LOG!$B:$B,"yyyy-MM-dd")=TEXT(DATE($P$3,MONTH(1&amp;$N$3),VALUE(LEFT(V$5,2))),"yyyy-MM-dd")),0)),""))</f>
        <v/>
      </c>
      <c r="W140" s="39" t="str">
        <f t="array" ref="W140">IF(OR($A137="",W$5=""),"",IFNA(INDEX(DATA_LOG!$D:$D,MATCH(1,(DATA_LOG!$A:$A=$A137)*(TEXT(DATA_LOG!$B:$B,"yyyy-MM-dd")=TEXT(DATE($P$3,MONTH(1&amp;$N$3),VALUE(LEFT(W$5,2))),"yyyy-MM-dd")),0)),""))</f>
        <v/>
      </c>
      <c r="X140" s="39" t="str">
        <f t="array" ref="X140">IF(OR($A137="",X$5=""),"",IFNA(INDEX(DATA_LOG!$D:$D,MATCH(1,(DATA_LOG!$A:$A=$A137)*(TEXT(DATA_LOG!$B:$B,"yyyy-MM-dd")=TEXT(DATE($P$3,MONTH(1&amp;$N$3),VALUE(LEFT(X$5,2))),"yyyy-MM-dd")),0)),""))</f>
        <v/>
      </c>
      <c r="Y140" s="39" t="str">
        <f t="array" ref="Y140">IF(OR($A137="",Y$5=""),"",IFNA(INDEX(DATA_LOG!$D:$D,MATCH(1,(DATA_LOG!$A:$A=$A137)*(TEXT(DATA_LOG!$B:$B,"yyyy-MM-dd")=TEXT(DATE($P$3,MONTH(1&amp;$N$3),VALUE(LEFT(Y$5,2))),"yyyy-MM-dd")),0)),""))</f>
        <v/>
      </c>
      <c r="Z140" s="39" t="str">
        <f t="array" ref="Z140">IF(OR($A137="",Z$5=""),"",IFNA(INDEX(DATA_LOG!$D:$D,MATCH(1,(DATA_LOG!$A:$A=$A137)*(TEXT(DATA_LOG!$B:$B,"yyyy-MM-dd")=TEXT(DATE($P$3,MONTH(1&amp;$N$3),VALUE(LEFT(Z$5,2))),"yyyy-MM-dd")),0)),""))</f>
        <v/>
      </c>
      <c r="AA140" s="39" t="str">
        <f t="array" ref="AA140">IF(OR($A137="",AA$5=""),"",IFNA(INDEX(DATA_LOG!$D:$D,MATCH(1,(DATA_LOG!$A:$A=$A137)*(TEXT(DATA_LOG!$B:$B,"yyyy-MM-dd")=TEXT(DATE($P$3,MONTH(1&amp;$N$3),VALUE(LEFT(AA$5,2))),"yyyy-MM-dd")),0)),""))</f>
        <v/>
      </c>
      <c r="AB140" s="39" t="str">
        <f t="array" ref="AB140">IF(OR($A137="",AB$5=""),"",IFNA(INDEX(DATA_LOG!$D:$D,MATCH(1,(DATA_LOG!$A:$A=$A137)*(TEXT(DATA_LOG!$B:$B,"yyyy-MM-dd")=TEXT(DATE($P$3,MONTH(1&amp;$N$3),VALUE(LEFT(AB$5,2))),"yyyy-MM-dd")),0)),""))</f>
        <v/>
      </c>
      <c r="AC140" s="39" t="str">
        <f t="array" ref="AC140">IF(OR($A137="",AC$5=""),"",IFNA(INDEX(DATA_LOG!$D:$D,MATCH(1,(DATA_LOG!$A:$A=$A137)*(TEXT(DATA_LOG!$B:$B,"yyyy-MM-dd")=TEXT(DATE($P$3,MONTH(1&amp;$N$3),VALUE(LEFT(AC$5,2))),"yyyy-MM-dd")),0)),""))</f>
        <v/>
      </c>
      <c r="AD140" s="39" t="str">
        <f t="array" ref="AD140">IF(OR($A137="",AD$5=""),"",IFNA(INDEX(DATA_LOG!$D:$D,MATCH(1,(DATA_LOG!$A:$A=$A137)*(TEXT(DATA_LOG!$B:$B,"yyyy-MM-dd")=TEXT(DATE($P$3,MONTH(1&amp;$N$3),VALUE(LEFT(AD$5,2))),"yyyy-MM-dd")),0)),""))</f>
        <v/>
      </c>
      <c r="AE140" s="39" t="str">
        <f t="array" ref="AE140">IF(OR($A137="",AE$5=""),"",IFNA(INDEX(DATA_LOG!$D:$D,MATCH(1,(DATA_LOG!$A:$A=$A137)*(TEXT(DATA_LOG!$B:$B,"yyyy-MM-dd")=TEXT(DATE($P$3,MONTH(1&amp;$N$3),VALUE(LEFT(AE$5,2))),"yyyy-MM-dd")),0)),""))</f>
        <v/>
      </c>
      <c r="AF140" s="39" t="str">
        <f t="array" ref="AF140">IF(OR($A137="",AF$5=""),"",IFNA(INDEX(DATA_LOG!$D:$D,MATCH(1,(DATA_LOG!$A:$A=$A137)*(TEXT(DATA_LOG!$B:$B,"yyyy-MM-dd")=TEXT(DATE($P$3,MONTH(1&amp;$N$3),VALUE(LEFT(AF$5,2))),"yyyy-MM-dd")),0)),""))</f>
        <v/>
      </c>
    </row>
    <row r="141">
      <c r="A141" s="40" t="str">
        <f>IF($A137="", "", "TOTAL")</f>
        <v>TOTAL</v>
      </c>
      <c r="B141" s="41" t="str">
        <f t="shared" ref="B141:AF141" si="20">IF(AND(B139&lt;&gt;"",B140&lt;&gt;""),TEXT(MOD(B140-B139,1),"hh:mm"),"")</f>
        <v/>
      </c>
      <c r="C141" s="34" t="str">
        <f t="shared" si="20"/>
        <v/>
      </c>
      <c r="D141" s="34" t="str">
        <f t="shared" si="20"/>
        <v/>
      </c>
      <c r="E141" s="34" t="str">
        <f t="shared" si="20"/>
        <v/>
      </c>
      <c r="F141" s="34" t="str">
        <f t="shared" si="20"/>
        <v/>
      </c>
      <c r="G141" s="34" t="str">
        <f t="shared" si="20"/>
        <v/>
      </c>
      <c r="H141" s="34" t="str">
        <f t="shared" si="20"/>
        <v/>
      </c>
      <c r="I141" s="34" t="str">
        <f t="shared" si="20"/>
        <v/>
      </c>
      <c r="J141" s="34" t="str">
        <f t="shared" si="20"/>
        <v/>
      </c>
      <c r="K141" s="34" t="str">
        <f t="shared" si="20"/>
        <v/>
      </c>
      <c r="L141" s="34" t="str">
        <f t="shared" si="20"/>
        <v/>
      </c>
      <c r="M141" s="34" t="str">
        <f t="shared" si="20"/>
        <v/>
      </c>
      <c r="N141" s="34" t="str">
        <f t="shared" si="20"/>
        <v/>
      </c>
      <c r="O141" s="34" t="str">
        <f t="shared" si="20"/>
        <v/>
      </c>
      <c r="P141" s="34" t="str">
        <f t="shared" si="20"/>
        <v/>
      </c>
      <c r="Q141" s="34" t="str">
        <f t="shared" si="20"/>
        <v/>
      </c>
      <c r="R141" s="34" t="str">
        <f t="shared" si="20"/>
        <v/>
      </c>
      <c r="S141" s="34" t="str">
        <f t="shared" si="20"/>
        <v/>
      </c>
      <c r="T141" s="34" t="str">
        <f t="shared" si="20"/>
        <v/>
      </c>
      <c r="U141" s="34" t="str">
        <f t="shared" si="20"/>
        <v/>
      </c>
      <c r="V141" s="34" t="str">
        <f t="shared" si="20"/>
        <v/>
      </c>
      <c r="W141" s="34" t="str">
        <f t="shared" si="20"/>
        <v/>
      </c>
      <c r="X141" s="34" t="str">
        <f t="shared" si="20"/>
        <v/>
      </c>
      <c r="Y141" s="34" t="str">
        <f t="shared" si="20"/>
        <v/>
      </c>
      <c r="Z141" s="34" t="str">
        <f t="shared" si="20"/>
        <v/>
      </c>
      <c r="AA141" s="34" t="str">
        <f t="shared" si="20"/>
        <v/>
      </c>
      <c r="AB141" s="34" t="str">
        <f t="shared" si="20"/>
        <v/>
      </c>
      <c r="AC141" s="34" t="str">
        <f t="shared" si="20"/>
        <v/>
      </c>
      <c r="AD141" s="34" t="str">
        <f t="shared" si="20"/>
        <v/>
      </c>
      <c r="AE141" s="34" t="str">
        <f t="shared" si="20"/>
        <v/>
      </c>
      <c r="AF141" s="34" t="str">
        <f t="shared" si="20"/>
        <v/>
      </c>
    </row>
    <row r="142">
      <c r="A142" s="42" t="str">
        <f>IF($A137="", "", "STATUS")</f>
        <v>STATUS</v>
      </c>
      <c r="B142" s="43" t="str">
        <f>IFERROR(__xludf.DUMMYFUNCTION("IF($A137="""","""",IF(B$5="""","""",LET(logStatus,IFNA(INDEX(DATA_LOG!$E:$E,MATCH(1,(DATA_LOG!$A:$A=$A137)*(TEXT(DATA_LOG!$B:$B,""yyyy-MM-dd"")=TEXT(DATE($P$3,MONTH(1&amp;$N$3),VALUE(LEFT(B$5,2))),""yyyy-MM-dd"")),0)),""""),IF(logStatus&lt;&gt;"""",UPPER(logStatus)"&amp;",IF(B141&lt;&gt;"""",IF(VALUE(B141)&gt;=9/24,""FD"",""HD""),IF(REGEXMATCH(B$5,""SUN""),""WO"",""-""))))))"),"-")</f>
        <v>-</v>
      </c>
      <c r="C142" s="43" t="str">
        <f>IFERROR(__xludf.DUMMYFUNCTION("IF($A137="""","""",IF(C$5="""","""",LET(logStatus,IFNA(INDEX(DATA_LOG!$E:$E,MATCH(1,(DATA_LOG!$A:$A=$A137)*(TEXT(DATA_LOG!$B:$B,""yyyy-MM-dd"")=TEXT(DATE($P$3,MONTH(1&amp;$N$3),VALUE(LEFT(C$5,2))),""yyyy-MM-dd"")),0)),""""),IF(logStatus&lt;&gt;"""",UPPER(logStatus)"&amp;",IF(C141&lt;&gt;"""",IF(VALUE(C141)&gt;=9/24,""FD"",""HD""),IF(REGEXMATCH(C$5,""SUN""),""WO"",""-""))))))"),"-")</f>
        <v>-</v>
      </c>
      <c r="D142" s="43" t="str">
        <f>IFERROR(__xludf.DUMMYFUNCTION("IF($A137="""","""",IF(D$5="""","""",LET(logStatus,IFNA(INDEX(DATA_LOG!$E:$E,MATCH(1,(DATA_LOG!$A:$A=$A137)*(TEXT(DATA_LOG!$B:$B,""yyyy-MM-dd"")=TEXT(DATE($P$3,MONTH(1&amp;$N$3),VALUE(LEFT(D$5,2))),""yyyy-MM-dd"")),0)),""""),IF(logStatus&lt;&gt;"""",UPPER(logStatus)"&amp;",IF(D141&lt;&gt;"""",IF(VALUE(D141)&gt;=9/24,""FD"",""HD""),IF(REGEXMATCH(D$5,""SUN""),""WO"",""-""))))))"),"-")</f>
        <v>-</v>
      </c>
      <c r="E142" s="43" t="str">
        <f>IFERROR(__xludf.DUMMYFUNCTION("IF($A137="""","""",IF(E$5="""","""",LET(logStatus,IFNA(INDEX(DATA_LOG!$E:$E,MATCH(1,(DATA_LOG!$A:$A=$A137)*(TEXT(DATA_LOG!$B:$B,""yyyy-MM-dd"")=TEXT(DATE($P$3,MONTH(1&amp;$N$3),VALUE(LEFT(E$5,2))),""yyyy-MM-dd"")),0)),""""),IF(logStatus&lt;&gt;"""",UPPER(logStatus)"&amp;",IF(E141&lt;&gt;"""",IF(VALUE(E141)&gt;=9/24,""FD"",""HD""),IF(REGEXMATCH(E$5,""SUN""),""WO"",""-""))))))"),"-")</f>
        <v>-</v>
      </c>
      <c r="F142" s="43" t="str">
        <f>IFERROR(__xludf.DUMMYFUNCTION("IF($A137="""","""",IF(F$138="""","""",LET(logStatus,IFNA(INDEX(DATA_LOG!$E:$E,MATCH(1,(DATA_LOG!$A:$A=$A137)*(TEXT(DATA_LOG!$B:$B,""yyyy-MM-dd"")=TEXT(DATE($P$3,MONTH(1&amp;$N$3),VALUE(LEFT(F$138,2))),""yyyy-MM-dd"")),0)),""""),selectedDate,DATE($P$3,MONTH(1&amp;"&amp;"$N$3),VALUE(LEFT(F$138,2))),IF(logStatus&lt;&gt;"""",UPPER(logStatus),IF(selectedDate&gt;TODAY(),""-"",IF(REGEXMATCH(F$138,""SUN""),""WO"",IF(F$141&lt;&gt;"""",IF(VALUE(F$141)&gt;=9/24,""FD"",""HD""),""A"")))))))"),"A")</f>
        <v>A</v>
      </c>
      <c r="G142" s="43" t="str">
        <f>IFERROR(__xludf.DUMMYFUNCTION("IF($A137="""","""",IF(G$138="""","""",LET(logStatus,IFNA(INDEX(DATA_LOG!$E:$E,MATCH(1,(DATA_LOG!$A:$A=$A137)*(TEXT(DATA_LOG!$B:$B,""yyyy-MM-dd"")=TEXT(DATE($P$3,MONTH(1&amp;$N$3),VALUE(LEFT(G$138,2))),""yyyy-MM-dd"")),0)),""""),selectedDate,DATE($P$3,MONTH(1&amp;"&amp;"$N$3),VALUE(LEFT(G$138,2))),IF(logStatus&lt;&gt;"""",UPPER(logStatus),IF(selectedDate&gt;TODAY(),""-"",IF(REGEXMATCH(G$138,""SUN""),""WO"",IF(G$141&lt;&gt;"""",IF(VALUE(G$141)&gt;=9/24,""FD"",""HD""),""A"")))))))"),"WO")</f>
        <v>WO</v>
      </c>
      <c r="H142" s="43" t="str">
        <f>IFERROR(__xludf.DUMMYFUNCTION("IF($A137="""","""",IF(H$138="""","""",LET(logStatus,IFNA(INDEX(DATA_LOG!$E:$E,MATCH(1,(DATA_LOG!$A:$A=$A137)*(TEXT(DATA_LOG!$B:$B,""yyyy-MM-dd"")=TEXT(DATE($P$3,MONTH(1&amp;$N$3),VALUE(LEFT(H$138,2))),""yyyy-MM-dd"")),0)),""""),selectedDate,DATE($P$3,MONTH(1&amp;"&amp;"$N$3),VALUE(LEFT(H$138,2))),IF(logStatus&lt;&gt;"""",UPPER(logStatus),IF(selectedDate&gt;TODAY(),""-"",IF(REGEXMATCH(H$138,""SUN""),""WO"",IF(H$141&lt;&gt;"""",IF(VALUE(H$141)&gt;=9/24,""FD"",""HD""),""A"")))))))"),"A")</f>
        <v>A</v>
      </c>
      <c r="I142" s="43" t="str">
        <f>IFERROR(__xludf.DUMMYFUNCTION("IF($A137="""","""",IF(I$138="""","""",LET(logStatus,IFNA(INDEX(DATA_LOG!$E:$E,MATCH(1,(DATA_LOG!$A:$A=$A137)*(TEXT(DATA_LOG!$B:$B,""yyyy-MM-dd"")=TEXT(DATE($P$3,MONTH(1&amp;$N$3),VALUE(LEFT(I$138,2))),""yyyy-MM-dd"")),0)),""""),selectedDate,DATE($P$3,MONTH(1&amp;"&amp;"$N$3),VALUE(LEFT(I$138,2))),IF(logStatus&lt;&gt;"""",UPPER(logStatus),IF(selectedDate&gt;TODAY(),""-"",IF(REGEXMATCH(I$138,""SUN""),""WO"",IF(I$141&lt;&gt;"""",IF(VALUE(I$141)&gt;=9/24,""FD"",""HD""),""A"")))))))"),"A")</f>
        <v>A</v>
      </c>
      <c r="J142" s="43" t="str">
        <f>IFERROR(__xludf.DUMMYFUNCTION("IF($A137="""","""",IF(J$138="""","""",LET(logStatus,IFNA(INDEX(DATA_LOG!$E:$E,MATCH(1,(DATA_LOG!$A:$A=$A137)*(TEXT(DATA_LOG!$B:$B,""yyyy-MM-dd"")=TEXT(DATE($P$3,MONTH(1&amp;$N$3),VALUE(LEFT(J$138,2))),""yyyy-MM-dd"")),0)),""""),selectedDate,DATE($P$3,MONTH(1&amp;"&amp;"$N$3),VALUE(LEFT(J$138,2))),IF(logStatus&lt;&gt;"""",UPPER(logStatus),IF(selectedDate&gt;TODAY(),""-"",IF(REGEXMATCH(J$138,""SUN""),""WO"",IF(J$141&lt;&gt;"""",IF(VALUE(J$141)&gt;=9/24,""FD"",""HD""),""A"")))))))"),"A")</f>
        <v>A</v>
      </c>
      <c r="K142" s="43" t="str">
        <f>IFERROR(__xludf.DUMMYFUNCTION("IF($A137="""","""",IF(K$138="""","""",LET(logStatus,IFNA(INDEX(DATA_LOG!$E:$E,MATCH(1,(DATA_LOG!$A:$A=$A137)*(TEXT(DATA_LOG!$B:$B,""yyyy-MM-dd"")=TEXT(DATE($P$3,MONTH(1&amp;$N$3),VALUE(LEFT(K$138,2))),""yyyy-MM-dd"")),0)),""""),selectedDate,DATE($P$3,MONTH(1&amp;"&amp;"$N$3),VALUE(LEFT(K$138,2))),IF(logStatus&lt;&gt;"""",UPPER(logStatus),IF(selectedDate&gt;TODAY(),""-"",IF(REGEXMATCH(K$138,""SUN""),""WO"",IF(K$141&lt;&gt;"""",IF(VALUE(K$141)&gt;=9/24,""FD"",""HD""),""A"")))))))"),"A")</f>
        <v>A</v>
      </c>
      <c r="L142" s="43" t="str">
        <f>IFERROR(__xludf.DUMMYFUNCTION("IF($A137="""","""",IF(L$138="""","""",LET(logStatus,IFNA(INDEX(DATA_LOG!$E:$E,MATCH(1,(DATA_LOG!$A:$A=$A137)*(TEXT(DATA_LOG!$B:$B,""yyyy-MM-dd"")=TEXT(DATE($P$3,MONTH(1&amp;$N$3),VALUE(LEFT(L$138,2))),""yyyy-MM-dd"")),0)),""""),selectedDate,DATE($P$3,MONTH(1&amp;"&amp;"$N$3),VALUE(LEFT(L$138,2))),IF(logStatus&lt;&gt;"""",UPPER(logStatus),IF(selectedDate&gt;TODAY(),""-"",IF(REGEXMATCH(L$138,""SUN""),""WO"",IF(L$141&lt;&gt;"""",IF(VALUE(L$141)&gt;=9/24,""FD"",""HD""),""A"")))))))"),"A")</f>
        <v>A</v>
      </c>
      <c r="M142" s="43" t="str">
        <f>IFERROR(__xludf.DUMMYFUNCTION("IF($A137="""","""",IF(M$138="""","""",LET(logStatus,IFNA(INDEX(DATA_LOG!$E:$E,MATCH(1,(DATA_LOG!$A:$A=$A137)*(TEXT(DATA_LOG!$B:$B,""yyyy-MM-dd"")=TEXT(DATE($P$3,MONTH(1&amp;$N$3),VALUE(LEFT(M$138,2))),""yyyy-MM-dd"")),0)),""""),selectedDate,DATE($P$3,MONTH(1&amp;"&amp;"$N$3),VALUE(LEFT(M$138,2))),IF(logStatus&lt;&gt;"""",UPPER(logStatus),IF(selectedDate&gt;TODAY(),""-"",IF(REGEXMATCH(M$138,""SUN""),""WO"",IF(M$141&lt;&gt;"""",IF(VALUE(M$141)&gt;=9/24,""FD"",""HD""),""A"")))))))"),"-")</f>
        <v>-</v>
      </c>
      <c r="N142" s="43" t="str">
        <f>IFERROR(__xludf.DUMMYFUNCTION("IF($A137="""","""",IF(N$138="""","""",LET(logStatus,IFNA(INDEX(DATA_LOG!$E:$E,MATCH(1,(DATA_LOG!$A:$A=$A137)*(TEXT(DATA_LOG!$B:$B,""yyyy-MM-dd"")=TEXT(DATE($P$3,MONTH(1&amp;$N$3),VALUE(LEFT(N$138,2))),""yyyy-MM-dd"")),0)),""""),selectedDate,DATE($P$3,MONTH(1&amp;"&amp;"$N$3),VALUE(LEFT(N$138,2))),IF(logStatus&lt;&gt;"""",UPPER(logStatus),IF(selectedDate&gt;TODAY(),""-"",IF(REGEXMATCH(N$138,""SUN""),""WO"",IF(N$141&lt;&gt;"""",IF(VALUE(N$141)&gt;=9/24,""FD"",""HD""),""A"")))))))"),"-")</f>
        <v>-</v>
      </c>
      <c r="O142" s="43" t="str">
        <f>IFERROR(__xludf.DUMMYFUNCTION("IF($A137="""","""",IF(O$138="""","""",LET(logStatus,IFNA(INDEX(DATA_LOG!$E:$E,MATCH(1,(DATA_LOG!$A:$A=$A137)*(TEXT(DATA_LOG!$B:$B,""yyyy-MM-dd"")=TEXT(DATE($P$3,MONTH(1&amp;$N$3),VALUE(LEFT(O$138,2))),""yyyy-MM-dd"")),0)),""""),selectedDate,DATE($P$3,MONTH(1&amp;"&amp;"$N$3),VALUE(LEFT(O$138,2))),IF(logStatus&lt;&gt;"""",UPPER(logStatus),IF(selectedDate&gt;TODAY(),""-"",IF(REGEXMATCH(O$138,""SUN""),""WO"",IF(O$141&lt;&gt;"""",IF(VALUE(O$141)&gt;=9/24,""FD"",""HD""),""A"")))))))"),"-")</f>
        <v>-</v>
      </c>
      <c r="P142" s="43" t="str">
        <f>IFERROR(__xludf.DUMMYFUNCTION("IF($A137="""","""",IF(P$138="""","""",LET(logStatus,IFNA(INDEX(DATA_LOG!$E:$E,MATCH(1,(DATA_LOG!$A:$A=$A137)*(TEXT(DATA_LOG!$B:$B,""yyyy-MM-dd"")=TEXT(DATE($P$3,MONTH(1&amp;$N$3),VALUE(LEFT(P$138,2))),""yyyy-MM-dd"")),0)),""""),selectedDate,DATE($P$3,MONTH(1&amp;"&amp;"$N$3),VALUE(LEFT(P$138,2))),IF(logStatus&lt;&gt;"""",UPPER(logStatus),IF(selectedDate&gt;TODAY(),""-"",IF(REGEXMATCH(P$138,""SUN""),""WO"",IF(P$141&lt;&gt;"""",IF(VALUE(P$141)&gt;=9/24,""FD"",""HD""),""A"")))))))"),"-")</f>
        <v>-</v>
      </c>
      <c r="Q142" s="43" t="str">
        <f>IFERROR(__xludf.DUMMYFUNCTION("IF($A137="""","""",IF(Q$138="""","""",LET(logStatus,IFNA(INDEX(DATA_LOG!$E:$E,MATCH(1,(DATA_LOG!$A:$A=$A137)*(TEXT(DATA_LOG!$B:$B,""yyyy-MM-dd"")=TEXT(DATE($P$3,MONTH(1&amp;$N$3),VALUE(LEFT(Q$138,2))),""yyyy-MM-dd"")),0)),""""),selectedDate,DATE($P$3,MONTH(1&amp;"&amp;"$N$3),VALUE(LEFT(Q$138,2))),IF(logStatus&lt;&gt;"""",UPPER(logStatus),IF(selectedDate&gt;TODAY(),""-"",IF(REGEXMATCH(Q$138,""SUN""),""WO"",IF(Q$141&lt;&gt;"""",IF(VALUE(Q$141)&gt;=9/24,""FD"",""HD""),""A"")))))))"),"-")</f>
        <v>-</v>
      </c>
      <c r="R142" s="43" t="str">
        <f>IFERROR(__xludf.DUMMYFUNCTION("IF($A137="""","""",IF(R$138="""","""",LET(logStatus,IFNA(INDEX(DATA_LOG!$E:$E,MATCH(1,(DATA_LOG!$A:$A=$A137)*(TEXT(DATA_LOG!$B:$B,""yyyy-MM-dd"")=TEXT(DATE($P$3,MONTH(1&amp;$N$3),VALUE(LEFT(R$138,2))),""yyyy-MM-dd"")),0)),""""),selectedDate,DATE($P$3,MONTH(1&amp;"&amp;"$N$3),VALUE(LEFT(R$138,2))),IF(logStatus&lt;&gt;"""",UPPER(logStatus),IF(selectedDate&gt;TODAY(),""-"",IF(REGEXMATCH(R$138,""SUN""),""WO"",IF(R$141&lt;&gt;"""",IF(VALUE(R$141)&gt;=9/24,""FD"",""HD""),""A"")))))))"),"-")</f>
        <v>-</v>
      </c>
      <c r="S142" s="43" t="str">
        <f>IFERROR(__xludf.DUMMYFUNCTION("IF($A137="""","""",IF(S$138="""","""",LET(logStatus,IFNA(INDEX(DATA_LOG!$E:$E,MATCH(1,(DATA_LOG!$A:$A=$A137)*(TEXT(DATA_LOG!$B:$B,""yyyy-MM-dd"")=TEXT(DATE($P$3,MONTH(1&amp;$N$3),VALUE(LEFT(S$138,2))),""yyyy-MM-dd"")),0)),""""),selectedDate,DATE($P$3,MONTH(1&amp;"&amp;"$N$3),VALUE(LEFT(S$138,2))),IF(logStatus&lt;&gt;"""",UPPER(logStatus),IF(selectedDate&gt;TODAY(),""-"",IF(REGEXMATCH(S$138,""SUN""),""WO"",IF(S$141&lt;&gt;"""",IF(VALUE(S$141)&gt;=9/24,""FD"",""HD""),""A"")))))))"),"-")</f>
        <v>-</v>
      </c>
      <c r="T142" s="43" t="str">
        <f>IFERROR(__xludf.DUMMYFUNCTION("IF($A137="""","""",IF(T$138="""","""",LET(logStatus,IFNA(INDEX(DATA_LOG!$E:$E,MATCH(1,(DATA_LOG!$A:$A=$A137)*(TEXT(DATA_LOG!$B:$B,""yyyy-MM-dd"")=TEXT(DATE($P$3,MONTH(1&amp;$N$3),VALUE(LEFT(T$138,2))),""yyyy-MM-dd"")),0)),""""),selectedDate,DATE($P$3,MONTH(1&amp;"&amp;"$N$3),VALUE(LEFT(T$138,2))),IF(logStatus&lt;&gt;"""",UPPER(logStatus),IF(selectedDate&gt;TODAY(),""-"",IF(REGEXMATCH(T$138,""SUN""),""WO"",IF(T$141&lt;&gt;"""",IF(VALUE(T$141)&gt;=9/24,""FD"",""HD""),""A"")))))))"),"-")</f>
        <v>-</v>
      </c>
      <c r="U142" s="43" t="str">
        <f>IFERROR(__xludf.DUMMYFUNCTION("IF($A137="""","""",IF(U$138="""","""",LET(logStatus,IFNA(INDEX(DATA_LOG!$E:$E,MATCH(1,(DATA_LOG!$A:$A=$A137)*(TEXT(DATA_LOG!$B:$B,""yyyy-MM-dd"")=TEXT(DATE($P$3,MONTH(1&amp;$N$3),VALUE(LEFT(U$138,2))),""yyyy-MM-dd"")),0)),""""),selectedDate,DATE($P$3,MONTH(1&amp;"&amp;"$N$3),VALUE(LEFT(U$138,2))),IF(logStatus&lt;&gt;"""",UPPER(logStatus),IF(selectedDate&gt;TODAY(),""-"",IF(REGEXMATCH(U$138,""SUN""),""WO"",IF(U$141&lt;&gt;"""",IF(VALUE(U$141)&gt;=9/24,""FD"",""HD""),""A"")))))))"),"-")</f>
        <v>-</v>
      </c>
      <c r="V142" s="43" t="str">
        <f>IFERROR(__xludf.DUMMYFUNCTION("IF($A137="""","""",IF(V$138="""","""",LET(logStatus,IFNA(INDEX(DATA_LOG!$E:$E,MATCH(1,(DATA_LOG!$A:$A=$A137)*(TEXT(DATA_LOG!$B:$B,""yyyy-MM-dd"")=TEXT(DATE($P$3,MONTH(1&amp;$N$3),VALUE(LEFT(V$138,2))),""yyyy-MM-dd"")),0)),""""),selectedDate,DATE($P$3,MONTH(1&amp;"&amp;"$N$3),VALUE(LEFT(V$138,2))),IF(logStatus&lt;&gt;"""",UPPER(logStatus),IF(selectedDate&gt;TODAY(),""-"",IF(REGEXMATCH(V$138,""SUN""),""WO"",IF(V$141&lt;&gt;"""",IF(VALUE(V$141)&gt;=9/24,""FD"",""HD""),""A"")))))))"),"-")</f>
        <v>-</v>
      </c>
      <c r="W142" s="43" t="str">
        <f>IFERROR(__xludf.DUMMYFUNCTION("IF($A137="""","""",IF(W$138="""","""",LET(logStatus,IFNA(INDEX(DATA_LOG!$E:$E,MATCH(1,(DATA_LOG!$A:$A=$A137)*(TEXT(DATA_LOG!$B:$B,""yyyy-MM-dd"")=TEXT(DATE($P$3,MONTH(1&amp;$N$3),VALUE(LEFT(W$138,2))),""yyyy-MM-dd"")),0)),""""),selectedDate,DATE($P$3,MONTH(1&amp;"&amp;"$N$3),VALUE(LEFT(W$138,2))),IF(logStatus&lt;&gt;"""",UPPER(logStatus),IF(selectedDate&gt;TODAY(),""-"",IF(REGEXMATCH(W$138,""SUN""),""WO"",IF(W$141&lt;&gt;"""",IF(VALUE(W$141)&gt;=9/24,""FD"",""HD""),""A"")))))))"),"-")</f>
        <v>-</v>
      </c>
      <c r="X142" s="43" t="str">
        <f>IFERROR(__xludf.DUMMYFUNCTION("IF($A137="""","""",IF(X$138="""","""",LET(logStatus,IFNA(INDEX(DATA_LOG!$E:$E,MATCH(1,(DATA_LOG!$A:$A=$A137)*(TEXT(DATA_LOG!$B:$B,""yyyy-MM-dd"")=TEXT(DATE($P$3,MONTH(1&amp;$N$3),VALUE(LEFT(X$138,2))),""yyyy-MM-dd"")),0)),""""),selectedDate,DATE($P$3,MONTH(1&amp;"&amp;"$N$3),VALUE(LEFT(X$138,2))),IF(logStatus&lt;&gt;"""",UPPER(logStatus),IF(selectedDate&gt;TODAY(),""-"",IF(REGEXMATCH(X$138,""SUN""),""WO"",IF(X$141&lt;&gt;"""",IF(VALUE(X$141)&gt;=9/24,""FD"",""HD""),""A"")))))))"),"-")</f>
        <v>-</v>
      </c>
      <c r="Y142" s="43" t="str">
        <f>IFERROR(__xludf.DUMMYFUNCTION("IF($A137="""","""",IF(Y$138="""","""",LET(logStatus,IFNA(INDEX(DATA_LOG!$E:$E,MATCH(1,(DATA_LOG!$A:$A=$A137)*(TEXT(DATA_LOG!$B:$B,""yyyy-MM-dd"")=TEXT(DATE($P$3,MONTH(1&amp;$N$3),VALUE(LEFT(Y$138,2))),""yyyy-MM-dd"")),0)),""""),selectedDate,DATE($P$3,MONTH(1&amp;"&amp;"$N$3),VALUE(LEFT(Y$138,2))),IF(logStatus&lt;&gt;"""",UPPER(logStatus),IF(selectedDate&gt;TODAY(),""-"",IF(REGEXMATCH(Y$138,""SUN""),""WO"",IF(Y$141&lt;&gt;"""",IF(VALUE(Y$141)&gt;=9/24,""FD"",""HD""),""A"")))))))"),"-")</f>
        <v>-</v>
      </c>
      <c r="Z142" s="43" t="str">
        <f>IFERROR(__xludf.DUMMYFUNCTION("IF($A137="""","""",IF(Z$138="""","""",LET(logStatus,IFNA(INDEX(DATA_LOG!$E:$E,MATCH(1,(DATA_LOG!$A:$A=$A137)*(TEXT(DATA_LOG!$B:$B,""yyyy-MM-dd"")=TEXT(DATE($P$3,MONTH(1&amp;$N$3),VALUE(LEFT(Z$138,2))),""yyyy-MM-dd"")),0)),""""),selectedDate,DATE($P$3,MONTH(1&amp;"&amp;"$N$3),VALUE(LEFT(Z$138,2))),IF(logStatus&lt;&gt;"""",UPPER(logStatus),IF(selectedDate&gt;TODAY(),""-"",IF(REGEXMATCH(Z$138,""SUN""),""WO"",IF(Z$141&lt;&gt;"""",IF(VALUE(Z$141)&gt;=9/24,""FD"",""HD""),""A"")))))))"),"-")</f>
        <v>-</v>
      </c>
      <c r="AA142" s="43" t="str">
        <f>IFERROR(__xludf.DUMMYFUNCTION("IF($A137="""","""",IF(AA$138="""","""",LET(logStatus,IFNA(INDEX(DATA_LOG!$E:$E,MATCH(1,(DATA_LOG!$A:$A=$A137)*(TEXT(DATA_LOG!$B:$B,""yyyy-MM-dd"")=TEXT(DATE($P$3,MONTH(1&amp;$N$3),VALUE(LEFT(AA$138,2))),""yyyy-MM-dd"")),0)),""""),selectedDate,DATE($P$3,MONTH("&amp;"1&amp;$N$3),VALUE(LEFT(AA$138,2))),IF(logStatus&lt;&gt;"""",UPPER(logStatus),IF(selectedDate&gt;TODAY(),""-"",IF(REGEXMATCH(AA$138,""SUN""),""WO"",IF(AA$141&lt;&gt;"""",IF(VALUE(AA$141)&gt;=9/24,""FD"",""HD""),""A"")))))))"),"-")</f>
        <v>-</v>
      </c>
      <c r="AB142" s="43" t="str">
        <f>IFERROR(__xludf.DUMMYFUNCTION("IF($A137="""","""",IF(AB$138="""","""",LET(logStatus,IFNA(INDEX(DATA_LOG!$E:$E,MATCH(1,(DATA_LOG!$A:$A=$A137)*(TEXT(DATA_LOG!$B:$B,""yyyy-MM-dd"")=TEXT(DATE($P$3,MONTH(1&amp;$N$3),VALUE(LEFT(AB$138,2))),""yyyy-MM-dd"")),0)),""""),selectedDate,DATE($P$3,MONTH("&amp;"1&amp;$N$3),VALUE(LEFT(AB$138,2))),IF(logStatus&lt;&gt;"""",UPPER(logStatus),IF(selectedDate&gt;TODAY(),""-"",IF(REGEXMATCH(AB$138,""SUN""),""WO"",IF(AB$141&lt;&gt;"""",IF(VALUE(AB$141)&gt;=9/24,""FD"",""HD""),""A"")))))))"),"-")</f>
        <v>-</v>
      </c>
      <c r="AC142" s="43" t="str">
        <f>IFERROR(__xludf.DUMMYFUNCTION("IF($A137="""","""",IF(AC$138="""","""",LET(logStatus,IFNA(INDEX(DATA_LOG!$E:$E,MATCH(1,(DATA_LOG!$A:$A=$A137)*(TEXT(DATA_LOG!$B:$B,""yyyy-MM-dd"")=TEXT(DATE($P$3,MONTH(1&amp;$N$3),VALUE(LEFT(AC$138,2))),""yyyy-MM-dd"")),0)),""""),selectedDate,DATE($P$3,MONTH("&amp;"1&amp;$N$3),VALUE(LEFT(AC$138,2))),IF(logStatus&lt;&gt;"""",UPPER(logStatus),IF(selectedDate&gt;TODAY(),""-"",IF(REGEXMATCH(AC$138,""SUN""),""WO"",IF(AC$141&lt;&gt;"""",IF(VALUE(AC$141)&gt;=9/24,""FD"",""HD""),""A"")))))))"),"-")</f>
        <v>-</v>
      </c>
      <c r="AD142" s="43" t="str">
        <f>IFERROR(__xludf.DUMMYFUNCTION("IF($A137="""","""",IF(AD$138="""","""",LET(logStatus,IFNA(INDEX(DATA_LOG!$E:$E,MATCH(1,(DATA_LOG!$A:$A=$A137)*(TEXT(DATA_LOG!$B:$B,""yyyy-MM-dd"")=TEXT(DATE($P$3,MONTH(1&amp;$N$3),VALUE(LEFT(AD$138,2))),""yyyy-MM-dd"")),0)),""""),selectedDate,DATE($P$3,MONTH("&amp;"1&amp;$N$3),VALUE(LEFT(AD$138,2))),IF(logStatus&lt;&gt;"""",UPPER(logStatus),IF(selectedDate&gt;TODAY(),""-"",IF(REGEXMATCH(AD$138,""SUN""),""WO"",IF(AD$141&lt;&gt;"""",IF(VALUE(AD$141)&gt;=9/24,""FD"",""HD""),""A"")))))))"),"-")</f>
        <v>-</v>
      </c>
      <c r="AE142" s="43" t="str">
        <f>IFERROR(__xludf.DUMMYFUNCTION("IF($A137="""","""",IF(AE$138="""","""",LET(logStatus,IFNA(INDEX(DATA_LOG!$E:$E,MATCH(1,(DATA_LOG!$A:$A=$A137)*(TEXT(DATA_LOG!$B:$B,""yyyy-MM-dd"")=TEXT(DATE($P$3,MONTH(1&amp;$N$3),VALUE(LEFT(AE$138,2))),""yyyy-MM-dd"")),0)),""""),selectedDate,DATE($P$3,MONTH("&amp;"1&amp;$N$3),VALUE(LEFT(AE$138,2))),IF(logStatus&lt;&gt;"""",UPPER(logStatus),IF(selectedDate&gt;TODAY(),""-"",IF(REGEXMATCH(AE$138,""SUN""),""WO"",IF(AE$141&lt;&gt;"""",IF(VALUE(AE$141)&gt;=9/24,""FD"",""HD""),""A"")))))))"),"-")</f>
        <v>-</v>
      </c>
      <c r="AF142" s="43" t="str">
        <f>IFERROR(__xludf.DUMMYFUNCTION("IF($A137="""","""",IF(AF$138="""","""",LET(logStatus,IFNA(INDEX(DATA_LOG!$E:$E,MATCH(1,(DATA_LOG!$A:$A=$A137)*(TEXT(DATA_LOG!$B:$B,""yyyy-MM-dd"")=TEXT(DATE($P$3,MONTH(1&amp;$N$3),VALUE(LEFT(AF$138,2))),""yyyy-MM-dd"")),0)),""""),selectedDate,DATE($P$3,MONTH("&amp;"1&amp;$N$3),VALUE(LEFT(AF$138,2))),IF(logStatus&lt;&gt;"""",UPPER(logStatus),IF(selectedDate&gt;TODAY(),""-"",IF(REGEXMATCH(AF$138,""SUN""),""WO"",IF(AF$141&lt;&gt;"""",IF(VALUE(AF$141)&gt;=9/24,""FD"",""HD""),""A"")))))))"),"")</f>
        <v/>
      </c>
    </row>
    <row r="143">
      <c r="A143" s="44"/>
    </row>
    <row r="144">
      <c r="A144" s="25" t="str">
        <f t="array" ref="A144">INDEX(EMPLOYEE_LIST!$A:$A,INT((ROW()-4)/7)+2)</f>
        <v/>
      </c>
      <c r="B144" s="26"/>
      <c r="C144" s="27"/>
      <c r="D144" s="28" t="str">
        <f>IF(A144="", "", IFERROR(VLOOKUP(A144, EMPLOYEE_LIST!$A:$H, 2, FALSE), ""))</f>
        <v/>
      </c>
      <c r="E144" s="26"/>
      <c r="F144" s="26"/>
      <c r="G144" s="27"/>
      <c r="H144" s="29" t="str">
        <f>IF(A144="", "", IFERROR(VLOOKUP(A144, EMPLOYEE_LIST!$A:$H, 3, FALSE), ""))</f>
        <v/>
      </c>
      <c r="I144" s="26"/>
      <c r="J144" s="26"/>
      <c r="K144" s="27"/>
      <c r="L144" s="29" t="str">
        <f>IF(A144="", "", IFERROR(VLOOKUP(A144, EMPLOYEE_LIST!$A:$H, 4, FALSE), ""))</f>
        <v/>
      </c>
      <c r="M144" s="26"/>
      <c r="N144" s="26"/>
      <c r="O144" s="27"/>
      <c r="P144" s="30" t="str">
        <f>IF($A144="", "", "Full Day: " &amp; COUNTIF(B149:AF149, "FD"))</f>
        <v/>
      </c>
      <c r="Q144" s="26"/>
      <c r="R144" s="27"/>
      <c r="S144" s="31" t="str">
        <f>IF($A144="", "", "HALF Day: " &amp; COUNTIF(B149:AF149, "HD"))</f>
        <v/>
      </c>
      <c r="T144" s="26"/>
      <c r="U144" s="27"/>
      <c r="V144" s="31" t="str">
        <f>IF($A144="", "", "ABSENT: " &amp; COUNTIF(B149:AF149, "A"))</f>
        <v/>
      </c>
      <c r="W144" s="26"/>
      <c r="X144" s="27"/>
      <c r="Y144" s="31" t="str">
        <f>IF($A144="", "", "WEEK OFF: " &amp; COUNTIF(B149:AF149, "WO"))</f>
        <v/>
      </c>
      <c r="Z144" s="26"/>
      <c r="AA144" s="27"/>
      <c r="AB144" s="31" t="str">
        <f>IF($A144="", "", "LEAVE: " &amp; COUNTIF(B149:AF149, "L"))</f>
        <v/>
      </c>
      <c r="AC144" s="27"/>
      <c r="AD144" s="31" t="str">
        <f>IF($A144="", "", "HOLIDAY: " &amp; COUNTIF(B149:AF149, "HL"))</f>
        <v/>
      </c>
      <c r="AE144" s="26"/>
      <c r="AF144" s="27"/>
    </row>
    <row r="145">
      <c r="A145" s="32" t="str">
        <f>IF($A144="", "", "DATE")</f>
        <v/>
      </c>
      <c r="B145" s="33" t="str">
        <f t="array" ref="B145">IF($A144="","",LET(mNum,MONTH(1&amp;$N$3),start,DATE($P$3,mNum,1),days,DAY(EOMONTH(start,0)),MAP(SEQUENCE(1,days,0),LAMBDA(n,UPPER(TEXT(start+n,"dd (ddd)"))))))</f>
        <v/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>
      <c r="A146" s="37" t="str">
        <f>IF($A144="", "", "IN")</f>
        <v/>
      </c>
      <c r="B146" s="39" t="str">
        <f t="array" ref="B146">IF(OR($A144="",B$5=""),"",IFNA(INDEX(DATA_LOG!$C:$C,MATCH(1,(DATA_LOG!$A:$A=$A144)*(TEXT(DATA_LOG!$B:$B,"yyyy-MM-dd")=TEXT(DATE($P$3,MONTH(1&amp;$N$3),VALUE(LEFT(B$5,2))),"yyyy-MM-dd")),0)),""))</f>
        <v/>
      </c>
      <c r="C146" s="39" t="str">
        <f t="array" ref="C146">IF(OR($A144="",C$5=""),"",IFNA(INDEX(DATA_LOG!$C:$C,MATCH(1,(DATA_LOG!$A:$A=$A144)*(TEXT(DATA_LOG!$B:$B,"yyyy-MM-dd")=TEXT(DATE($P$3,MONTH(1&amp;$N$3),VALUE(LEFT(C$5,2))),"yyyy-MM-dd")),0)),""))</f>
        <v/>
      </c>
      <c r="D146" s="39" t="str">
        <f t="array" ref="D146">IF(OR($A144="",D$5=""),"",IFNA(INDEX(DATA_LOG!$C:$C,MATCH(1,(DATA_LOG!$A:$A=$A144)*(TEXT(DATA_LOG!$B:$B,"yyyy-MM-dd")=TEXT(DATE($P$3,MONTH(1&amp;$N$3),VALUE(LEFT(D$5,2))),"yyyy-MM-dd")),0)),""))</f>
        <v/>
      </c>
      <c r="E146" s="39" t="str">
        <f t="array" ref="E146">IF(OR($A144="",E$5=""),"",IFNA(INDEX(DATA_LOG!$C:$C,MATCH(1,(DATA_LOG!$A:$A=$A144)*(TEXT(DATA_LOG!$B:$B,"yyyy-MM-dd")=TEXT(DATE($P$3,MONTH(1&amp;$N$3),VALUE(LEFT(E$5,2))),"yyyy-MM-dd")),0)),""))</f>
        <v/>
      </c>
      <c r="F146" s="39" t="str">
        <f t="array" ref="F146">IF(OR($A144="",F$5=""),"",IFNA(INDEX(DATA_LOG!$C:$C,MATCH(1,(DATA_LOG!$A:$A=$A144)*(TEXT(DATA_LOG!$B:$B,"yyyy-MM-dd")=TEXT(DATE($P$3,MONTH(1&amp;$N$3),VALUE(LEFT(F$5,2))),"yyyy-MM-dd")),0)),""))</f>
        <v/>
      </c>
      <c r="G146" s="39" t="str">
        <f t="array" ref="G146">IF(OR($A144="",G$5=""),"",IFNA(INDEX(DATA_LOG!$C:$C,MATCH(1,(DATA_LOG!$A:$A=$A144)*(TEXT(DATA_LOG!$B:$B,"yyyy-MM-dd")=TEXT(DATE($P$3,MONTH(1&amp;$N$3),VALUE(LEFT(G$5,2))),"yyyy-MM-dd")),0)),""))</f>
        <v/>
      </c>
      <c r="H146" s="39" t="str">
        <f t="array" ref="H146">IF(OR($A144="",H$5=""),"",IFNA(INDEX(DATA_LOG!$C:$C,MATCH(1,(DATA_LOG!$A:$A=$A144)*(TEXT(DATA_LOG!$B:$B,"yyyy-MM-dd")=TEXT(DATE($P$3,MONTH(1&amp;$N$3),VALUE(LEFT(H$5,2))),"yyyy-MM-dd")),0)),""))</f>
        <v/>
      </c>
      <c r="I146" s="39" t="str">
        <f t="array" ref="I146">IF(OR($A144="",I$5=""),"",IFNA(INDEX(DATA_LOG!$C:$C,MATCH(1,(DATA_LOG!$A:$A=$A144)*(TEXT(DATA_LOG!$B:$B,"yyyy-MM-dd")=TEXT(DATE($P$3,MONTH(1&amp;$N$3),VALUE(LEFT(I$5,2))),"yyyy-MM-dd")),0)),""))</f>
        <v/>
      </c>
      <c r="J146" s="39" t="str">
        <f t="array" ref="J146">IF(OR($A144="",J$5=""),"",IFNA(INDEX(DATA_LOG!$C:$C,MATCH(1,(DATA_LOG!$A:$A=$A144)*(TEXT(DATA_LOG!$B:$B,"yyyy-MM-dd")=TEXT(DATE($P$3,MONTH(1&amp;$N$3),VALUE(LEFT(J$5,2))),"yyyy-MM-dd")),0)),""))</f>
        <v/>
      </c>
      <c r="K146" s="39" t="str">
        <f t="array" ref="K146">IF(OR($A144="",K$5=""),"",IFNA(INDEX(DATA_LOG!$C:$C,MATCH(1,(DATA_LOG!$A:$A=$A144)*(TEXT(DATA_LOG!$B:$B,"yyyy-MM-dd")=TEXT(DATE($P$3,MONTH(1&amp;$N$3),VALUE(LEFT(K$5,2))),"yyyy-MM-dd")),0)),""))</f>
        <v/>
      </c>
      <c r="L146" s="39" t="str">
        <f t="array" ref="L146">IF(OR($A144="",L$5=""),"",IFNA(INDEX(DATA_LOG!$C:$C,MATCH(1,(DATA_LOG!$A:$A=$A144)*(TEXT(DATA_LOG!$B:$B,"yyyy-MM-dd")=TEXT(DATE($P$3,MONTH(1&amp;$N$3),VALUE(LEFT(L$5,2))),"yyyy-MM-dd")),0)),""))</f>
        <v/>
      </c>
      <c r="M146" s="39" t="str">
        <f t="array" ref="M146">IF(OR($A144="",M$5=""),"",IFNA(INDEX(DATA_LOG!$C:$C,MATCH(1,(DATA_LOG!$A:$A=$A144)*(TEXT(DATA_LOG!$B:$B,"yyyy-MM-dd")=TEXT(DATE($P$3,MONTH(1&amp;$N$3),VALUE(LEFT(M$5,2))),"yyyy-MM-dd")),0)),""))</f>
        <v/>
      </c>
      <c r="N146" s="39" t="str">
        <f t="array" ref="N146">IF(OR($A144="",N$5=""),"",IFNA(INDEX(DATA_LOG!$C:$C,MATCH(1,(DATA_LOG!$A:$A=$A144)*(TEXT(DATA_LOG!$B:$B,"yyyy-MM-dd")=TEXT(DATE($P$3,MONTH(1&amp;$N$3),VALUE(LEFT(N$5,2))),"yyyy-MM-dd")),0)),""))</f>
        <v/>
      </c>
      <c r="O146" s="39" t="str">
        <f t="array" ref="O146">IF(OR($A144="",O$5=""),"",IFNA(INDEX(DATA_LOG!$C:$C,MATCH(1,(DATA_LOG!$A:$A=$A144)*(TEXT(DATA_LOG!$B:$B,"yyyy-MM-dd")=TEXT(DATE($P$3,MONTH(1&amp;$N$3),VALUE(LEFT(O$5,2))),"yyyy-MM-dd")),0)),""))</f>
        <v/>
      </c>
      <c r="P146" s="39" t="str">
        <f t="array" ref="P146">IF(OR($A144="",P$5=""),"",IFNA(INDEX(DATA_LOG!$C:$C,MATCH(1,(DATA_LOG!$A:$A=$A144)*(TEXT(DATA_LOG!$B:$B,"yyyy-MM-dd")=TEXT(DATE($P$3,MONTH(1&amp;$N$3),VALUE(LEFT(P$5,2))),"yyyy-MM-dd")),0)),""))</f>
        <v/>
      </c>
      <c r="Q146" s="39" t="str">
        <f t="array" ref="Q146">IF(OR($A144="",Q$5=""),"",IFNA(INDEX(DATA_LOG!$C:$C,MATCH(1,(DATA_LOG!$A:$A=$A144)*(TEXT(DATA_LOG!$B:$B,"yyyy-MM-dd")=TEXT(DATE($P$3,MONTH(1&amp;$N$3),VALUE(LEFT(Q$5,2))),"yyyy-MM-dd")),0)),""))</f>
        <v/>
      </c>
      <c r="R146" s="39" t="str">
        <f t="array" ref="R146">IF(OR($A144="",R$5=""),"",IFNA(INDEX(DATA_LOG!$C:$C,MATCH(1,(DATA_LOG!$A:$A=$A144)*(TEXT(DATA_LOG!$B:$B,"yyyy-MM-dd")=TEXT(DATE($P$3,MONTH(1&amp;$N$3),VALUE(LEFT(R$5,2))),"yyyy-MM-dd")),0)),""))</f>
        <v/>
      </c>
      <c r="S146" s="39" t="str">
        <f t="array" ref="S146">IF(OR($A144="",S$5=""),"",IFNA(INDEX(DATA_LOG!$C:$C,MATCH(1,(DATA_LOG!$A:$A=$A144)*(TEXT(DATA_LOG!$B:$B,"yyyy-MM-dd")=TEXT(DATE($P$3,MONTH(1&amp;$N$3),VALUE(LEFT(S$5,2))),"yyyy-MM-dd")),0)),""))</f>
        <v/>
      </c>
      <c r="T146" s="39" t="str">
        <f t="array" ref="T146">IF(OR($A144="",T$5=""),"",IFNA(INDEX(DATA_LOG!$C:$C,MATCH(1,(DATA_LOG!$A:$A=$A144)*(TEXT(DATA_LOG!$B:$B,"yyyy-MM-dd")=TEXT(DATE($P$3,MONTH(1&amp;$N$3),VALUE(LEFT(T$5,2))),"yyyy-MM-dd")),0)),""))</f>
        <v/>
      </c>
      <c r="U146" s="39" t="str">
        <f t="array" ref="U146">IF(OR($A144="",U$5=""),"",IFNA(INDEX(DATA_LOG!$C:$C,MATCH(1,(DATA_LOG!$A:$A=$A144)*(TEXT(DATA_LOG!$B:$B,"yyyy-MM-dd")=TEXT(DATE($P$3,MONTH(1&amp;$N$3),VALUE(LEFT(U$5,2))),"yyyy-MM-dd")),0)),""))</f>
        <v/>
      </c>
      <c r="V146" s="39" t="str">
        <f t="array" ref="V146">IF(OR($A144="",V$5=""),"",IFNA(INDEX(DATA_LOG!$C:$C,MATCH(1,(DATA_LOG!$A:$A=$A144)*(TEXT(DATA_LOG!$B:$B,"yyyy-MM-dd")=TEXT(DATE($P$3,MONTH(1&amp;$N$3),VALUE(LEFT(V$5,2))),"yyyy-MM-dd")),0)),""))</f>
        <v/>
      </c>
      <c r="W146" s="39" t="str">
        <f t="array" ref="W146">IF(OR($A144="",W$5=""),"",IFNA(INDEX(DATA_LOG!$C:$C,MATCH(1,(DATA_LOG!$A:$A=$A144)*(TEXT(DATA_LOG!$B:$B,"yyyy-MM-dd")=TEXT(DATE($P$3,MONTH(1&amp;$N$3),VALUE(LEFT(W$5,2))),"yyyy-MM-dd")),0)),""))</f>
        <v/>
      </c>
      <c r="X146" s="39" t="str">
        <f t="array" ref="X146">IF(OR($A144="",X$5=""),"",IFNA(INDEX(DATA_LOG!$C:$C,MATCH(1,(DATA_LOG!$A:$A=$A144)*(TEXT(DATA_LOG!$B:$B,"yyyy-MM-dd")=TEXT(DATE($P$3,MONTH(1&amp;$N$3),VALUE(LEFT(X$5,2))),"yyyy-MM-dd")),0)),""))</f>
        <v/>
      </c>
      <c r="Y146" s="39" t="str">
        <f t="array" ref="Y146">IF(OR($A144="",Y$5=""),"",IFNA(INDEX(DATA_LOG!$C:$C,MATCH(1,(DATA_LOG!$A:$A=$A144)*(TEXT(DATA_LOG!$B:$B,"yyyy-MM-dd")=TEXT(DATE($P$3,MONTH(1&amp;$N$3),VALUE(LEFT(Y$5,2))),"yyyy-MM-dd")),0)),""))</f>
        <v/>
      </c>
      <c r="Z146" s="39" t="str">
        <f t="array" ref="Z146">IF(OR($A144="",Z$5=""),"",IFNA(INDEX(DATA_LOG!$C:$C,MATCH(1,(DATA_LOG!$A:$A=$A144)*(TEXT(DATA_LOG!$B:$B,"yyyy-MM-dd")=TEXT(DATE($P$3,MONTH(1&amp;$N$3),VALUE(LEFT(Z$5,2))),"yyyy-MM-dd")),0)),""))</f>
        <v/>
      </c>
      <c r="AA146" s="39" t="str">
        <f t="array" ref="AA146">IF(OR($A144="",AA$5=""),"",IFNA(INDEX(DATA_LOG!$C:$C,MATCH(1,(DATA_LOG!$A:$A=$A144)*(TEXT(DATA_LOG!$B:$B,"yyyy-MM-dd")=TEXT(DATE($P$3,MONTH(1&amp;$N$3),VALUE(LEFT(AA$5,2))),"yyyy-MM-dd")),0)),""))</f>
        <v/>
      </c>
      <c r="AB146" s="39" t="str">
        <f t="array" ref="AB146">IF(OR($A144="",AB$5=""),"",IFNA(INDEX(DATA_LOG!$C:$C,MATCH(1,(DATA_LOG!$A:$A=$A144)*(TEXT(DATA_LOG!$B:$B,"yyyy-MM-dd")=TEXT(DATE($P$3,MONTH(1&amp;$N$3),VALUE(LEFT(AB$5,2))),"yyyy-MM-dd")),0)),""))</f>
        <v/>
      </c>
      <c r="AC146" s="39" t="str">
        <f t="array" ref="AC146">IF(OR($A144="",AC$5=""),"",IFNA(INDEX(DATA_LOG!$C:$C,MATCH(1,(DATA_LOG!$A:$A=$A144)*(TEXT(DATA_LOG!$B:$B,"yyyy-MM-dd")=TEXT(DATE($P$3,MONTH(1&amp;$N$3),VALUE(LEFT(AC$5,2))),"yyyy-MM-dd")),0)),""))</f>
        <v/>
      </c>
      <c r="AD146" s="39" t="str">
        <f t="array" ref="AD146">IF(OR($A144="",AD$5=""),"",IFNA(INDEX(DATA_LOG!$C:$C,MATCH(1,(DATA_LOG!$A:$A=$A144)*(TEXT(DATA_LOG!$B:$B,"yyyy-MM-dd")=TEXT(DATE($P$3,MONTH(1&amp;$N$3),VALUE(LEFT(AD$5,2))),"yyyy-MM-dd")),0)),""))</f>
        <v/>
      </c>
      <c r="AE146" s="39" t="str">
        <f t="array" ref="AE146">IF(OR($A144="",AE$5=""),"",IFNA(INDEX(DATA_LOG!$C:$C,MATCH(1,(DATA_LOG!$A:$A=$A144)*(TEXT(DATA_LOG!$B:$B,"yyyy-MM-dd")=TEXT(DATE($P$3,MONTH(1&amp;$N$3),VALUE(LEFT(AE$5,2))),"yyyy-MM-dd")),0)),""))</f>
        <v/>
      </c>
      <c r="AF146" s="39" t="str">
        <f t="array" ref="AF146">IF(OR($A144="",AF$5=""),"",IFNA(INDEX(DATA_LOG!$C:$C,MATCH(1,(DATA_LOG!$A:$A=$A144)*(TEXT(DATA_LOG!$B:$B,"yyyy-MM-dd")=TEXT(DATE($P$3,MONTH(1&amp;$N$3),VALUE(LEFT(AF$5,2))),"yyyy-MM-dd")),0)),""))</f>
        <v/>
      </c>
    </row>
    <row r="147">
      <c r="A147" s="37" t="str">
        <f>IF($A144="", "", "OUT")</f>
        <v/>
      </c>
      <c r="B147" s="39" t="str">
        <f t="array" ref="B147">IF(OR($A144="",B$5=""),"",IFNA(INDEX(DATA_LOG!$D:$D,MATCH(1,(DATA_LOG!$A:$A=$A144)*(TEXT(DATA_LOG!$B:$B,"yyyy-MM-dd")=TEXT(DATE($P$3,MONTH(1&amp;$N$3),VALUE(LEFT(B$5,2))),"yyyy-MM-dd")),0)),""))</f>
        <v/>
      </c>
      <c r="C147" s="39" t="str">
        <f t="array" ref="C147">IF(OR($A144="",C$5=""),"",IFNA(INDEX(DATA_LOG!$D:$D,MATCH(1,(DATA_LOG!$A:$A=$A144)*(TEXT(DATA_LOG!$B:$B,"yyyy-MM-dd")=TEXT(DATE($P$3,MONTH(1&amp;$N$3),VALUE(LEFT(C$5,2))),"yyyy-MM-dd")),0)),""))</f>
        <v/>
      </c>
      <c r="D147" s="39" t="str">
        <f t="array" ref="D147">IF(OR($A144="",D$5=""),"",IFNA(INDEX(DATA_LOG!$D:$D,MATCH(1,(DATA_LOG!$A:$A=$A144)*(TEXT(DATA_LOG!$B:$B,"yyyy-MM-dd")=TEXT(DATE($P$3,MONTH(1&amp;$N$3),VALUE(LEFT(D$5,2))),"yyyy-MM-dd")),0)),""))</f>
        <v/>
      </c>
      <c r="E147" s="39" t="str">
        <f t="array" ref="E147">IF(OR($A144="",E$5=""),"",IFNA(INDEX(DATA_LOG!$D:$D,MATCH(1,(DATA_LOG!$A:$A=$A144)*(TEXT(DATA_LOG!$B:$B,"yyyy-MM-dd")=TEXT(DATE($P$3,MONTH(1&amp;$N$3),VALUE(LEFT(E$5,2))),"yyyy-MM-dd")),0)),""))</f>
        <v/>
      </c>
      <c r="F147" s="39" t="str">
        <f t="array" ref="F147">IF(OR($A144="",F$5=""),"",IFNA(INDEX(DATA_LOG!$D:$D,MATCH(1,(DATA_LOG!$A:$A=$A144)*(TEXT(DATA_LOG!$B:$B,"yyyy-MM-dd")=TEXT(DATE($P$3,MONTH(1&amp;$N$3),VALUE(LEFT(F$5,2))),"yyyy-MM-dd")),0)),""))</f>
        <v/>
      </c>
      <c r="G147" s="39" t="str">
        <f t="array" ref="G147">IF(OR($A144="",G$5=""),"",IFNA(INDEX(DATA_LOG!$D:$D,MATCH(1,(DATA_LOG!$A:$A=$A144)*(TEXT(DATA_LOG!$B:$B,"yyyy-MM-dd")=TEXT(DATE($P$3,MONTH(1&amp;$N$3),VALUE(LEFT(G$5,2))),"yyyy-MM-dd")),0)),""))</f>
        <v/>
      </c>
      <c r="H147" s="39" t="str">
        <f t="array" ref="H147">IF(OR($A144="",H$5=""),"",IFNA(INDEX(DATA_LOG!$D:$D,MATCH(1,(DATA_LOG!$A:$A=$A144)*(TEXT(DATA_LOG!$B:$B,"yyyy-MM-dd")=TEXT(DATE($P$3,MONTH(1&amp;$N$3),VALUE(LEFT(H$5,2))),"yyyy-MM-dd")),0)),""))</f>
        <v/>
      </c>
      <c r="I147" s="39" t="str">
        <f t="array" ref="I147">IF(OR($A144="",I$5=""),"",IFNA(INDEX(DATA_LOG!$D:$D,MATCH(1,(DATA_LOG!$A:$A=$A144)*(TEXT(DATA_LOG!$B:$B,"yyyy-MM-dd")=TEXT(DATE($P$3,MONTH(1&amp;$N$3),VALUE(LEFT(I$5,2))),"yyyy-MM-dd")),0)),""))</f>
        <v/>
      </c>
      <c r="J147" s="39" t="str">
        <f t="array" ref="J147">IF(OR($A144="",J$5=""),"",IFNA(INDEX(DATA_LOG!$D:$D,MATCH(1,(DATA_LOG!$A:$A=$A144)*(TEXT(DATA_LOG!$B:$B,"yyyy-MM-dd")=TEXT(DATE($P$3,MONTH(1&amp;$N$3),VALUE(LEFT(J$5,2))),"yyyy-MM-dd")),0)),""))</f>
        <v/>
      </c>
      <c r="K147" s="39" t="str">
        <f t="array" ref="K147">IF(OR($A144="",K$5=""),"",IFNA(INDEX(DATA_LOG!$D:$D,MATCH(1,(DATA_LOG!$A:$A=$A144)*(TEXT(DATA_LOG!$B:$B,"yyyy-MM-dd")=TEXT(DATE($P$3,MONTH(1&amp;$N$3),VALUE(LEFT(K$5,2))),"yyyy-MM-dd")),0)),""))</f>
        <v/>
      </c>
      <c r="L147" s="39" t="str">
        <f t="array" ref="L147">IF(OR($A144="",L$5=""),"",IFNA(INDEX(DATA_LOG!$D:$D,MATCH(1,(DATA_LOG!$A:$A=$A144)*(TEXT(DATA_LOG!$B:$B,"yyyy-MM-dd")=TEXT(DATE($P$3,MONTH(1&amp;$N$3),VALUE(LEFT(L$5,2))),"yyyy-MM-dd")),0)),""))</f>
        <v/>
      </c>
      <c r="M147" s="39" t="str">
        <f t="array" ref="M147">IF(OR($A144="",M$5=""),"",IFNA(INDEX(DATA_LOG!$D:$D,MATCH(1,(DATA_LOG!$A:$A=$A144)*(TEXT(DATA_LOG!$B:$B,"yyyy-MM-dd")=TEXT(DATE($P$3,MONTH(1&amp;$N$3),VALUE(LEFT(M$5,2))),"yyyy-MM-dd")),0)),""))</f>
        <v/>
      </c>
      <c r="N147" s="39" t="str">
        <f t="array" ref="N147">IF(OR($A144="",N$5=""),"",IFNA(INDEX(DATA_LOG!$D:$D,MATCH(1,(DATA_LOG!$A:$A=$A144)*(TEXT(DATA_LOG!$B:$B,"yyyy-MM-dd")=TEXT(DATE($P$3,MONTH(1&amp;$N$3),VALUE(LEFT(N$5,2))),"yyyy-MM-dd")),0)),""))</f>
        <v/>
      </c>
      <c r="O147" s="39" t="str">
        <f t="array" ref="O147">IF(OR($A144="",O$5=""),"",IFNA(INDEX(DATA_LOG!$D:$D,MATCH(1,(DATA_LOG!$A:$A=$A144)*(TEXT(DATA_LOG!$B:$B,"yyyy-MM-dd")=TEXT(DATE($P$3,MONTH(1&amp;$N$3),VALUE(LEFT(O$5,2))),"yyyy-MM-dd")),0)),""))</f>
        <v/>
      </c>
      <c r="P147" s="39" t="str">
        <f t="array" ref="P147">IF(OR($A144="",P$5=""),"",IFNA(INDEX(DATA_LOG!$D:$D,MATCH(1,(DATA_LOG!$A:$A=$A144)*(TEXT(DATA_LOG!$B:$B,"yyyy-MM-dd")=TEXT(DATE($P$3,MONTH(1&amp;$N$3),VALUE(LEFT(P$5,2))),"yyyy-MM-dd")),0)),""))</f>
        <v/>
      </c>
      <c r="Q147" s="39" t="str">
        <f t="array" ref="Q147">IF(OR($A144="",Q$5=""),"",IFNA(INDEX(DATA_LOG!$D:$D,MATCH(1,(DATA_LOG!$A:$A=$A144)*(TEXT(DATA_LOG!$B:$B,"yyyy-MM-dd")=TEXT(DATE($P$3,MONTH(1&amp;$N$3),VALUE(LEFT(Q$5,2))),"yyyy-MM-dd")),0)),""))</f>
        <v/>
      </c>
      <c r="R147" s="39" t="str">
        <f t="array" ref="R147">IF(OR($A144="",R$5=""),"",IFNA(INDEX(DATA_LOG!$D:$D,MATCH(1,(DATA_LOG!$A:$A=$A144)*(TEXT(DATA_LOG!$B:$B,"yyyy-MM-dd")=TEXT(DATE($P$3,MONTH(1&amp;$N$3),VALUE(LEFT(R$5,2))),"yyyy-MM-dd")),0)),""))</f>
        <v/>
      </c>
      <c r="S147" s="39" t="str">
        <f t="array" ref="S147">IF(OR($A144="",S$5=""),"",IFNA(INDEX(DATA_LOG!$D:$D,MATCH(1,(DATA_LOG!$A:$A=$A144)*(TEXT(DATA_LOG!$B:$B,"yyyy-MM-dd")=TEXT(DATE($P$3,MONTH(1&amp;$N$3),VALUE(LEFT(S$5,2))),"yyyy-MM-dd")),0)),""))</f>
        <v/>
      </c>
      <c r="T147" s="39" t="str">
        <f t="array" ref="T147">IF(OR($A144="",T$5=""),"",IFNA(INDEX(DATA_LOG!$D:$D,MATCH(1,(DATA_LOG!$A:$A=$A144)*(TEXT(DATA_LOG!$B:$B,"yyyy-MM-dd")=TEXT(DATE($P$3,MONTH(1&amp;$N$3),VALUE(LEFT(T$5,2))),"yyyy-MM-dd")),0)),""))</f>
        <v/>
      </c>
      <c r="U147" s="39" t="str">
        <f t="array" ref="U147">IF(OR($A144="",U$5=""),"",IFNA(INDEX(DATA_LOG!$D:$D,MATCH(1,(DATA_LOG!$A:$A=$A144)*(TEXT(DATA_LOG!$B:$B,"yyyy-MM-dd")=TEXT(DATE($P$3,MONTH(1&amp;$N$3),VALUE(LEFT(U$5,2))),"yyyy-MM-dd")),0)),""))</f>
        <v/>
      </c>
      <c r="V147" s="39" t="str">
        <f t="array" ref="V147">IF(OR($A144="",V$5=""),"",IFNA(INDEX(DATA_LOG!$D:$D,MATCH(1,(DATA_LOG!$A:$A=$A144)*(TEXT(DATA_LOG!$B:$B,"yyyy-MM-dd")=TEXT(DATE($P$3,MONTH(1&amp;$N$3),VALUE(LEFT(V$5,2))),"yyyy-MM-dd")),0)),""))</f>
        <v/>
      </c>
      <c r="W147" s="39" t="str">
        <f t="array" ref="W147">IF(OR($A144="",W$5=""),"",IFNA(INDEX(DATA_LOG!$D:$D,MATCH(1,(DATA_LOG!$A:$A=$A144)*(TEXT(DATA_LOG!$B:$B,"yyyy-MM-dd")=TEXT(DATE($P$3,MONTH(1&amp;$N$3),VALUE(LEFT(W$5,2))),"yyyy-MM-dd")),0)),""))</f>
        <v/>
      </c>
      <c r="X147" s="39" t="str">
        <f t="array" ref="X147">IF(OR($A144="",X$5=""),"",IFNA(INDEX(DATA_LOG!$D:$D,MATCH(1,(DATA_LOG!$A:$A=$A144)*(TEXT(DATA_LOG!$B:$B,"yyyy-MM-dd")=TEXT(DATE($P$3,MONTH(1&amp;$N$3),VALUE(LEFT(X$5,2))),"yyyy-MM-dd")),0)),""))</f>
        <v/>
      </c>
      <c r="Y147" s="39" t="str">
        <f t="array" ref="Y147">IF(OR($A144="",Y$5=""),"",IFNA(INDEX(DATA_LOG!$D:$D,MATCH(1,(DATA_LOG!$A:$A=$A144)*(TEXT(DATA_LOG!$B:$B,"yyyy-MM-dd")=TEXT(DATE($P$3,MONTH(1&amp;$N$3),VALUE(LEFT(Y$5,2))),"yyyy-MM-dd")),0)),""))</f>
        <v/>
      </c>
      <c r="Z147" s="39" t="str">
        <f t="array" ref="Z147">IF(OR($A144="",Z$5=""),"",IFNA(INDEX(DATA_LOG!$D:$D,MATCH(1,(DATA_LOG!$A:$A=$A144)*(TEXT(DATA_LOG!$B:$B,"yyyy-MM-dd")=TEXT(DATE($P$3,MONTH(1&amp;$N$3),VALUE(LEFT(Z$5,2))),"yyyy-MM-dd")),0)),""))</f>
        <v/>
      </c>
      <c r="AA147" s="39" t="str">
        <f t="array" ref="AA147">IF(OR($A144="",AA$5=""),"",IFNA(INDEX(DATA_LOG!$D:$D,MATCH(1,(DATA_LOG!$A:$A=$A144)*(TEXT(DATA_LOG!$B:$B,"yyyy-MM-dd")=TEXT(DATE($P$3,MONTH(1&amp;$N$3),VALUE(LEFT(AA$5,2))),"yyyy-MM-dd")),0)),""))</f>
        <v/>
      </c>
      <c r="AB147" s="39" t="str">
        <f t="array" ref="AB147">IF(OR($A144="",AB$5=""),"",IFNA(INDEX(DATA_LOG!$D:$D,MATCH(1,(DATA_LOG!$A:$A=$A144)*(TEXT(DATA_LOG!$B:$B,"yyyy-MM-dd")=TEXT(DATE($P$3,MONTH(1&amp;$N$3),VALUE(LEFT(AB$5,2))),"yyyy-MM-dd")),0)),""))</f>
        <v/>
      </c>
      <c r="AC147" s="39" t="str">
        <f t="array" ref="AC147">IF(OR($A144="",AC$5=""),"",IFNA(INDEX(DATA_LOG!$D:$D,MATCH(1,(DATA_LOG!$A:$A=$A144)*(TEXT(DATA_LOG!$B:$B,"yyyy-MM-dd")=TEXT(DATE($P$3,MONTH(1&amp;$N$3),VALUE(LEFT(AC$5,2))),"yyyy-MM-dd")),0)),""))</f>
        <v/>
      </c>
      <c r="AD147" s="39" t="str">
        <f t="array" ref="AD147">IF(OR($A144="",AD$5=""),"",IFNA(INDEX(DATA_LOG!$D:$D,MATCH(1,(DATA_LOG!$A:$A=$A144)*(TEXT(DATA_LOG!$B:$B,"yyyy-MM-dd")=TEXT(DATE($P$3,MONTH(1&amp;$N$3),VALUE(LEFT(AD$5,2))),"yyyy-MM-dd")),0)),""))</f>
        <v/>
      </c>
      <c r="AE147" s="39" t="str">
        <f t="array" ref="AE147">IF(OR($A144="",AE$5=""),"",IFNA(INDEX(DATA_LOG!$D:$D,MATCH(1,(DATA_LOG!$A:$A=$A144)*(TEXT(DATA_LOG!$B:$B,"yyyy-MM-dd")=TEXT(DATE($P$3,MONTH(1&amp;$N$3),VALUE(LEFT(AE$5,2))),"yyyy-MM-dd")),0)),""))</f>
        <v/>
      </c>
      <c r="AF147" s="39" t="str">
        <f t="array" ref="AF147">IF(OR($A144="",AF$5=""),"",IFNA(INDEX(DATA_LOG!$D:$D,MATCH(1,(DATA_LOG!$A:$A=$A144)*(TEXT(DATA_LOG!$B:$B,"yyyy-MM-dd")=TEXT(DATE($P$3,MONTH(1&amp;$N$3),VALUE(LEFT(AF$5,2))),"yyyy-MM-dd")),0)),""))</f>
        <v/>
      </c>
    </row>
    <row r="148">
      <c r="A148" s="40" t="str">
        <f>IF($A144="", "", "TOTAL")</f>
        <v/>
      </c>
      <c r="B148" s="41" t="str">
        <f t="shared" ref="B148:AF148" si="21">IF(AND(B146&lt;&gt;"",B147&lt;&gt;""),TEXT(MOD(B147-B146,1),"hh:mm"),"")</f>
        <v/>
      </c>
      <c r="C148" s="34" t="str">
        <f t="shared" si="21"/>
        <v/>
      </c>
      <c r="D148" s="34" t="str">
        <f t="shared" si="21"/>
        <v/>
      </c>
      <c r="E148" s="34" t="str">
        <f t="shared" si="21"/>
        <v/>
      </c>
      <c r="F148" s="34" t="str">
        <f t="shared" si="21"/>
        <v/>
      </c>
      <c r="G148" s="34" t="str">
        <f t="shared" si="21"/>
        <v/>
      </c>
      <c r="H148" s="34" t="str">
        <f t="shared" si="21"/>
        <v/>
      </c>
      <c r="I148" s="34" t="str">
        <f t="shared" si="21"/>
        <v/>
      </c>
      <c r="J148" s="34" t="str">
        <f t="shared" si="21"/>
        <v/>
      </c>
      <c r="K148" s="34" t="str">
        <f t="shared" si="21"/>
        <v/>
      </c>
      <c r="L148" s="34" t="str">
        <f t="shared" si="21"/>
        <v/>
      </c>
      <c r="M148" s="34" t="str">
        <f t="shared" si="21"/>
        <v/>
      </c>
      <c r="N148" s="34" t="str">
        <f t="shared" si="21"/>
        <v/>
      </c>
      <c r="O148" s="34" t="str">
        <f t="shared" si="21"/>
        <v/>
      </c>
      <c r="P148" s="34" t="str">
        <f t="shared" si="21"/>
        <v/>
      </c>
      <c r="Q148" s="34" t="str">
        <f t="shared" si="21"/>
        <v/>
      </c>
      <c r="R148" s="34" t="str">
        <f t="shared" si="21"/>
        <v/>
      </c>
      <c r="S148" s="34" t="str">
        <f t="shared" si="21"/>
        <v/>
      </c>
      <c r="T148" s="34" t="str">
        <f t="shared" si="21"/>
        <v/>
      </c>
      <c r="U148" s="34" t="str">
        <f t="shared" si="21"/>
        <v/>
      </c>
      <c r="V148" s="34" t="str">
        <f t="shared" si="21"/>
        <v/>
      </c>
      <c r="W148" s="34" t="str">
        <f t="shared" si="21"/>
        <v/>
      </c>
      <c r="X148" s="34" t="str">
        <f t="shared" si="21"/>
        <v/>
      </c>
      <c r="Y148" s="34" t="str">
        <f t="shared" si="21"/>
        <v/>
      </c>
      <c r="Z148" s="34" t="str">
        <f t="shared" si="21"/>
        <v/>
      </c>
      <c r="AA148" s="34" t="str">
        <f t="shared" si="21"/>
        <v/>
      </c>
      <c r="AB148" s="34" t="str">
        <f t="shared" si="21"/>
        <v/>
      </c>
      <c r="AC148" s="34" t="str">
        <f t="shared" si="21"/>
        <v/>
      </c>
      <c r="AD148" s="34" t="str">
        <f t="shared" si="21"/>
        <v/>
      </c>
      <c r="AE148" s="34" t="str">
        <f t="shared" si="21"/>
        <v/>
      </c>
      <c r="AF148" s="34" t="str">
        <f t="shared" si="21"/>
        <v/>
      </c>
    </row>
    <row r="149">
      <c r="A149" s="42" t="str">
        <f>IF($A144="", "", "STATUS")</f>
        <v/>
      </c>
      <c r="B149" s="43" t="str">
        <f>IFERROR(__xludf.DUMMYFUNCTION("IF($A144="""","""",IF(B$5="""","""",LET(logStatus,IFNA(INDEX(DATA_LOG!$E:$E,MATCH(1,(DATA_LOG!$A:$A=$A144)*(TEXT(DATA_LOG!$B:$B,""yyyy-MM-dd"")=TEXT(DATE($P$3,MONTH(1&amp;$N$3),VALUE(LEFT(B$5,2))),""yyyy-MM-dd"")),0)),""""),IF(logStatus&lt;&gt;"""",UPPER(logStatus)"&amp;",IF(B148&lt;&gt;"""",IF(VALUE(B148)&gt;=9/24,""FD"",""HD""),IF(REGEXMATCH(B$5,""SUN""),""WO"",""-""))))))"),"")</f>
        <v/>
      </c>
      <c r="C149" s="43" t="str">
        <f>IFERROR(__xludf.DUMMYFUNCTION("IF($A144="""","""",IF(C$5="""","""",LET(logStatus,IFNA(INDEX(DATA_LOG!$E:$E,MATCH(1,(DATA_LOG!$A:$A=$A144)*(TEXT(DATA_LOG!$B:$B,""yyyy-MM-dd"")=TEXT(DATE($P$3,MONTH(1&amp;$N$3),VALUE(LEFT(C$5,2))),""yyyy-MM-dd"")),0)),""""),IF(logStatus&lt;&gt;"""",UPPER(logStatus)"&amp;",IF(C148&lt;&gt;"""",IF(VALUE(C148)&gt;=9/24,""FD"",""HD""),IF(REGEXMATCH(C$5,""SUN""),""WO"",""-""))))))"),"")</f>
        <v/>
      </c>
      <c r="D149" s="43" t="str">
        <f>IFERROR(__xludf.DUMMYFUNCTION("IF($A144="""","""",IF(D$5="""","""",LET(logStatus,IFNA(INDEX(DATA_LOG!$E:$E,MATCH(1,(DATA_LOG!$A:$A=$A144)*(TEXT(DATA_LOG!$B:$B,""yyyy-MM-dd"")=TEXT(DATE($P$3,MONTH(1&amp;$N$3),VALUE(LEFT(D$5,2))),""yyyy-MM-dd"")),0)),""""),IF(logStatus&lt;&gt;"""",UPPER(logStatus)"&amp;",IF(D148&lt;&gt;"""",IF(VALUE(D148)&gt;=9/24,""FD"",""HD""),IF(REGEXMATCH(D$5,""SUN""),""WO"",""-""))))))"),"")</f>
        <v/>
      </c>
      <c r="E149" s="43" t="str">
        <f>IFERROR(__xludf.DUMMYFUNCTION("IF($A144="""","""",IF(E$5="""","""",LET(logStatus,IFNA(INDEX(DATA_LOG!$E:$E,MATCH(1,(DATA_LOG!$A:$A=$A144)*(TEXT(DATA_LOG!$B:$B,""yyyy-MM-dd"")=TEXT(DATE($P$3,MONTH(1&amp;$N$3),VALUE(LEFT(E$5,2))),""yyyy-MM-dd"")),0)),""""),IF(logStatus&lt;&gt;"""",UPPER(logStatus)"&amp;",IF(E148&lt;&gt;"""",IF(VALUE(E148)&gt;=9/24,""FD"",""HD""),IF(REGEXMATCH(E$5,""SUN""),""WO"",""-""))))))"),"")</f>
        <v/>
      </c>
      <c r="F149" s="43" t="str">
        <f>IFERROR(__xludf.DUMMYFUNCTION("IF($A144="""","""",IF(F$5="""","""",LET(logStatus,IFNA(INDEX(DATA_LOG!$E:$E,MATCH(1,(DATA_LOG!$A:$A=$A144)*(TEXT(DATA_LOG!$B:$B,""yyyy-MM-dd"")=TEXT(DATE($P$3,MONTH(1&amp;$N$3),VALUE(LEFT(F$5,2))),""yyyy-MM-dd"")),0)),""""),IF(logStatus&lt;&gt;"""",UPPER(logStatus)"&amp;",IF(F148&lt;&gt;"""",IF(VALUE(F148)&gt;=9/24,""FD"",""HD""),IF(REGEXMATCH(F$5,""SUN""),""WO"",""-""))))))"),"")</f>
        <v/>
      </c>
      <c r="G149" s="43" t="str">
        <f>IFERROR(__xludf.DUMMYFUNCTION("IF($A144="""","""",IF(G$5="""","""",LET(logStatus,IFNA(INDEX(DATA_LOG!$E:$E,MATCH(1,(DATA_LOG!$A:$A=$A144)*(TEXT(DATA_LOG!$B:$B,""yyyy-MM-dd"")=TEXT(DATE($P$3,MONTH(1&amp;$N$3),VALUE(LEFT(G$5,2))),""yyyy-MM-dd"")),0)),""""),IF(logStatus&lt;&gt;"""",UPPER(logStatus)"&amp;",IF(G148&lt;&gt;"""",IF(VALUE(G148)&gt;=9/24,""FD"",""HD""),IF(REGEXMATCH(G$5,""SUN""),""WO"",""-""))))))"),"")</f>
        <v/>
      </c>
      <c r="H149" s="43" t="str">
        <f>IFERROR(__xludf.DUMMYFUNCTION("IF($A144="""","""",IF(H$5="""","""",LET(logStatus,IFNA(INDEX(DATA_LOG!$E:$E,MATCH(1,(DATA_LOG!$A:$A=$A144)*(TEXT(DATA_LOG!$B:$B,""yyyy-MM-dd"")=TEXT(DATE($P$3,MONTH(1&amp;$N$3),VALUE(LEFT(H$5,2))),""yyyy-MM-dd"")),0)),""""),IF(logStatus&lt;&gt;"""",UPPER(logStatus)"&amp;",IF(H148&lt;&gt;"""",IF(VALUE(H148)&gt;=9/24,""FD"",""HD""),IF(REGEXMATCH(H$5,""SUN""),""WO"",""-""))))))"),"")</f>
        <v/>
      </c>
      <c r="I149" s="43" t="str">
        <f>IFERROR(__xludf.DUMMYFUNCTION("IF($A144="""","""",IF(I$5="""","""",LET(logStatus,IFNA(INDEX(DATA_LOG!$E:$E,MATCH(1,(DATA_LOG!$A:$A=$A144)*(TEXT(DATA_LOG!$B:$B,""yyyy-MM-dd"")=TEXT(DATE($P$3,MONTH(1&amp;$N$3),VALUE(LEFT(I$5,2))),""yyyy-MM-dd"")),0)),""""),IF(logStatus&lt;&gt;"""",UPPER(logStatus)"&amp;",IF(I148&lt;&gt;"""",IF(VALUE(I148)&gt;=9/24,""FD"",""HD""),IF(REGEXMATCH(I$5,""SUN""),""WO"",""-""))))))"),"")</f>
        <v/>
      </c>
      <c r="J149" s="43" t="str">
        <f>IFERROR(__xludf.DUMMYFUNCTION("IF($A144="""","""",IF(J$5="""","""",LET(logStatus,IFNA(INDEX(DATA_LOG!$E:$E,MATCH(1,(DATA_LOG!$A:$A=$A144)*(TEXT(DATA_LOG!$B:$B,""yyyy-MM-dd"")=TEXT(DATE($P$3,MONTH(1&amp;$N$3),VALUE(LEFT(J$5,2))),""yyyy-MM-dd"")),0)),""""),IF(logStatus&lt;&gt;"""",UPPER(logStatus)"&amp;",IF(J148&lt;&gt;"""",IF(VALUE(J148)&gt;=9/24,""FD"",""HD""),IF(REGEXMATCH(J$5,""SUN""),""WO"",""-""))))))"),"")</f>
        <v/>
      </c>
      <c r="K149" s="43" t="str">
        <f>IFERROR(__xludf.DUMMYFUNCTION("IF($A144="""","""",IF(K$5="""","""",LET(logStatus,IFNA(INDEX(DATA_LOG!$E:$E,MATCH(1,(DATA_LOG!$A:$A=$A144)*(TEXT(DATA_LOG!$B:$B,""yyyy-MM-dd"")=TEXT(DATE($P$3,MONTH(1&amp;$N$3),VALUE(LEFT(K$5,2))),""yyyy-MM-dd"")),0)),""""),IF(logStatus&lt;&gt;"""",UPPER(logStatus)"&amp;",IF(K148&lt;&gt;"""",IF(VALUE(K148)&gt;=9/24,""FD"",""HD""),IF(REGEXMATCH(K$5,""SUN""),""WO"",""-""))))))"),"")</f>
        <v/>
      </c>
      <c r="L149" s="43" t="str">
        <f>IFERROR(__xludf.DUMMYFUNCTION("IF($A144="""","""",IF(L$5="""","""",LET(logStatus,IFNA(INDEX(DATA_LOG!$E:$E,MATCH(1,(DATA_LOG!$A:$A=$A144)*(TEXT(DATA_LOG!$B:$B,""yyyy-MM-dd"")=TEXT(DATE($P$3,MONTH(1&amp;$N$3),VALUE(LEFT(L$5,2))),""yyyy-MM-dd"")),0)),""""),IF(logStatus&lt;&gt;"""",UPPER(logStatus)"&amp;",IF(L148&lt;&gt;"""",IF(VALUE(L148)&gt;=9/24,""FD"",""HD""),IF(REGEXMATCH(L$5,""SUN""),""WO"",""-""))))))"),"")</f>
        <v/>
      </c>
      <c r="M149" s="43" t="str">
        <f>IFERROR(__xludf.DUMMYFUNCTION("IF($A144="""","""",IF(M$5="""","""",LET(logStatus,IFNA(INDEX(DATA_LOG!$E:$E,MATCH(1,(DATA_LOG!$A:$A=$A144)*(TEXT(DATA_LOG!$B:$B,""yyyy-MM-dd"")=TEXT(DATE($P$3,MONTH(1&amp;$N$3),VALUE(LEFT(M$5,2))),""yyyy-MM-dd"")),0)),""""),IF(logStatus&lt;&gt;"""",UPPER(logStatus)"&amp;",IF(M148&lt;&gt;"""",IF(VALUE(M148)&gt;=9/24,""FD"",""HD""),IF(REGEXMATCH(M$5,""SUN""),""WO"",""-""))))))"),"")</f>
        <v/>
      </c>
      <c r="N149" s="43" t="str">
        <f>IFERROR(__xludf.DUMMYFUNCTION("IF($A144="""","""",IF(N$5="""","""",LET(logStatus,IFNA(INDEX(DATA_LOG!$E:$E,MATCH(1,(DATA_LOG!$A:$A=$A144)*(TEXT(DATA_LOG!$B:$B,""yyyy-MM-dd"")=TEXT(DATE($P$3,MONTH(1&amp;$N$3),VALUE(LEFT(N$5,2))),""yyyy-MM-dd"")),0)),""""),IF(logStatus&lt;&gt;"""",UPPER(logStatus)"&amp;",IF(N148&lt;&gt;"""",IF(VALUE(N148)&gt;=9/24,""FD"",""HD""),IF(REGEXMATCH(N$5,""SUN""),""WO"",""-""))))))"),"")</f>
        <v/>
      </c>
      <c r="O149" s="43" t="str">
        <f>IFERROR(__xludf.DUMMYFUNCTION("IF($A144="""","""",IF(O$5="""","""",LET(logStatus,IFNA(INDEX(DATA_LOG!$E:$E,MATCH(1,(DATA_LOG!$A:$A=$A144)*(TEXT(DATA_LOG!$B:$B,""yyyy-MM-dd"")=TEXT(DATE($P$3,MONTH(1&amp;$N$3),VALUE(LEFT(O$5,2))),""yyyy-MM-dd"")),0)),""""),IF(logStatus&lt;&gt;"""",UPPER(logStatus)"&amp;",IF(O148&lt;&gt;"""",IF(VALUE(O148)&gt;=9/24,""FD"",""HD""),IF(REGEXMATCH(O$5,""SUN""),""WO"",""-""))))))"),"")</f>
        <v/>
      </c>
      <c r="P149" s="43" t="str">
        <f>IFERROR(__xludf.DUMMYFUNCTION("IF($A144="""","""",IF(P$5="""","""",LET(logStatus,IFNA(INDEX(DATA_LOG!$E:$E,MATCH(1,(DATA_LOG!$A:$A=$A144)*(TEXT(DATA_LOG!$B:$B,""yyyy-MM-dd"")=TEXT(DATE($P$3,MONTH(1&amp;$N$3),VALUE(LEFT(P$5,2))),""yyyy-MM-dd"")),0)),""""),IF(logStatus&lt;&gt;"""",UPPER(logStatus)"&amp;",IF(P148&lt;&gt;"""",IF(VALUE(P148)&gt;=9/24,""FD"",""HD""),IF(REGEXMATCH(P$5,""SUN""),""WO"",""-""))))))"),"")</f>
        <v/>
      </c>
      <c r="Q149" s="43" t="str">
        <f>IFERROR(__xludf.DUMMYFUNCTION("IF($A144="""","""",IF(Q$5="""","""",LET(logStatus,IFNA(INDEX(DATA_LOG!$E:$E,MATCH(1,(DATA_LOG!$A:$A=$A144)*(TEXT(DATA_LOG!$B:$B,""yyyy-MM-dd"")=TEXT(DATE($P$3,MONTH(1&amp;$N$3),VALUE(LEFT(Q$5,2))),""yyyy-MM-dd"")),0)),""""),IF(logStatus&lt;&gt;"""",UPPER(logStatus)"&amp;",IF(Q148&lt;&gt;"""",IF(VALUE(Q148)&gt;=9/24,""FD"",""HD""),IF(REGEXMATCH(Q$5,""SUN""),""WO"",""-""))))))"),"")</f>
        <v/>
      </c>
      <c r="R149" s="43" t="str">
        <f>IFERROR(__xludf.DUMMYFUNCTION("IF($A144="""","""",IF(R$5="""","""",LET(logStatus,IFNA(INDEX(DATA_LOG!$E:$E,MATCH(1,(DATA_LOG!$A:$A=$A144)*(TEXT(DATA_LOG!$B:$B,""yyyy-MM-dd"")=TEXT(DATE($P$3,MONTH(1&amp;$N$3),VALUE(LEFT(R$5,2))),""yyyy-MM-dd"")),0)),""""),IF(logStatus&lt;&gt;"""",UPPER(logStatus)"&amp;",IF(R148&lt;&gt;"""",IF(VALUE(R148)&gt;=9/24,""FD"",""HD""),IF(REGEXMATCH(R$5,""SUN""),""WO"",""-""))))))"),"")</f>
        <v/>
      </c>
      <c r="S149" s="43" t="str">
        <f>IFERROR(__xludf.DUMMYFUNCTION("IF($A144="""","""",IF(S$5="""","""",LET(logStatus,IFNA(INDEX(DATA_LOG!$E:$E,MATCH(1,(DATA_LOG!$A:$A=$A144)*(TEXT(DATA_LOG!$B:$B,""yyyy-MM-dd"")=TEXT(DATE($P$3,MONTH(1&amp;$N$3),VALUE(LEFT(S$5,2))),""yyyy-MM-dd"")),0)),""""),IF(logStatus&lt;&gt;"""",UPPER(logStatus)"&amp;",IF(S148&lt;&gt;"""",IF(VALUE(S148)&gt;=9/24,""FD"",""HD""),IF(REGEXMATCH(S$5,""SUN""),""WO"",""-""))))))"),"")</f>
        <v/>
      </c>
      <c r="T149" s="43" t="str">
        <f>IFERROR(__xludf.DUMMYFUNCTION("IF($A144="""","""",IF(T$5="""","""",LET(logStatus,IFNA(INDEX(DATA_LOG!$E:$E,MATCH(1,(DATA_LOG!$A:$A=$A144)*(TEXT(DATA_LOG!$B:$B,""yyyy-MM-dd"")=TEXT(DATE($P$3,MONTH(1&amp;$N$3),VALUE(LEFT(T$5,2))),""yyyy-MM-dd"")),0)),""""),IF(logStatus&lt;&gt;"""",UPPER(logStatus)"&amp;",IF(T148&lt;&gt;"""",IF(VALUE(T148)&gt;=9/24,""FD"",""HD""),IF(REGEXMATCH(T$5,""SUN""),""WO"",""-""))))))"),"")</f>
        <v/>
      </c>
      <c r="U149" s="43" t="str">
        <f>IFERROR(__xludf.DUMMYFUNCTION("IF($A144="""","""",IF(U$5="""","""",LET(logStatus,IFNA(INDEX(DATA_LOG!$E:$E,MATCH(1,(DATA_LOG!$A:$A=$A144)*(TEXT(DATA_LOG!$B:$B,""yyyy-MM-dd"")=TEXT(DATE($P$3,MONTH(1&amp;$N$3),VALUE(LEFT(U$5,2))),""yyyy-MM-dd"")),0)),""""),IF(logStatus&lt;&gt;"""",UPPER(logStatus)"&amp;",IF(U148&lt;&gt;"""",IF(VALUE(U148)&gt;=9/24,""FD"",""HD""),IF(REGEXMATCH(U$5,""SUN""),""WO"",""-""))))))"),"")</f>
        <v/>
      </c>
      <c r="V149" s="43" t="str">
        <f>IFERROR(__xludf.DUMMYFUNCTION("IF($A144="""","""",IF(V$5="""","""",LET(logStatus,IFNA(INDEX(DATA_LOG!$E:$E,MATCH(1,(DATA_LOG!$A:$A=$A144)*(TEXT(DATA_LOG!$B:$B,""yyyy-MM-dd"")=TEXT(DATE($P$3,MONTH(1&amp;$N$3),VALUE(LEFT(V$5,2))),""yyyy-MM-dd"")),0)),""""),IF(logStatus&lt;&gt;"""",UPPER(logStatus)"&amp;",IF(V148&lt;&gt;"""",IF(VALUE(V148)&gt;=9/24,""FD"",""HD""),IF(REGEXMATCH(V$5,""SUN""),""WO"",""-""))))))"),"")</f>
        <v/>
      </c>
      <c r="W149" s="43" t="str">
        <f>IFERROR(__xludf.DUMMYFUNCTION("IF($A144="""","""",IF(W$5="""","""",LET(logStatus,IFNA(INDEX(DATA_LOG!$E:$E,MATCH(1,(DATA_LOG!$A:$A=$A144)*(TEXT(DATA_LOG!$B:$B,""yyyy-MM-dd"")=TEXT(DATE($P$3,MONTH(1&amp;$N$3),VALUE(LEFT(W$5,2))),""yyyy-MM-dd"")),0)),""""),IF(logStatus&lt;&gt;"""",UPPER(logStatus)"&amp;",IF(W148&lt;&gt;"""",IF(VALUE(W148)&gt;=9/24,""FD"",""HD""),IF(REGEXMATCH(W$5,""SUN""),""WO"",""-""))))))"),"")</f>
        <v/>
      </c>
      <c r="X149" s="43" t="str">
        <f>IFERROR(__xludf.DUMMYFUNCTION("IF($A144="""","""",IF(X$5="""","""",LET(logStatus,IFNA(INDEX(DATA_LOG!$E:$E,MATCH(1,(DATA_LOG!$A:$A=$A144)*(TEXT(DATA_LOG!$B:$B,""yyyy-MM-dd"")=TEXT(DATE($P$3,MONTH(1&amp;$N$3),VALUE(LEFT(X$5,2))),""yyyy-MM-dd"")),0)),""""),IF(logStatus&lt;&gt;"""",UPPER(logStatus)"&amp;",IF(X148&lt;&gt;"""",IF(VALUE(X148)&gt;=9/24,""FD"",""HD""),IF(REGEXMATCH(X$5,""SUN""),""WO"",""-""))))))"),"")</f>
        <v/>
      </c>
      <c r="Y149" s="43" t="str">
        <f>IFERROR(__xludf.DUMMYFUNCTION("IF($A144="""","""",IF(Y$5="""","""",LET(logStatus,IFNA(INDEX(DATA_LOG!$E:$E,MATCH(1,(DATA_LOG!$A:$A=$A144)*(TEXT(DATA_LOG!$B:$B,""yyyy-MM-dd"")=TEXT(DATE($P$3,MONTH(1&amp;$N$3),VALUE(LEFT(Y$5,2))),""yyyy-MM-dd"")),0)),""""),IF(logStatus&lt;&gt;"""",UPPER(logStatus)"&amp;",IF(Y148&lt;&gt;"""",IF(VALUE(Y148)&gt;=9/24,""FD"",""HD""),IF(REGEXMATCH(Y$5,""SUN""),""WO"",""-""))))))"),"")</f>
        <v/>
      </c>
      <c r="Z149" s="43" t="str">
        <f>IFERROR(__xludf.DUMMYFUNCTION("IF($A144="""","""",IF(Z$5="""","""",LET(logStatus,IFNA(INDEX(DATA_LOG!$E:$E,MATCH(1,(DATA_LOG!$A:$A=$A144)*(TEXT(DATA_LOG!$B:$B,""yyyy-MM-dd"")=TEXT(DATE($P$3,MONTH(1&amp;$N$3),VALUE(LEFT(Z$5,2))),""yyyy-MM-dd"")),0)),""""),IF(logStatus&lt;&gt;"""",UPPER(logStatus)"&amp;",IF(Z148&lt;&gt;"""",IF(VALUE(Z148)&gt;=9/24,""FD"",""HD""),IF(REGEXMATCH(Z$5,""SUN""),""WO"",""-""))))))"),"")</f>
        <v/>
      </c>
      <c r="AA149" s="43" t="str">
        <f>IFERROR(__xludf.DUMMYFUNCTION("IF($A144="""","""",IF(AA$5="""","""",LET(logStatus,IFNA(INDEX(DATA_LOG!$E:$E,MATCH(1,(DATA_LOG!$A:$A=$A144)*(TEXT(DATA_LOG!$B:$B,""yyyy-MM-dd"")=TEXT(DATE($P$3,MONTH(1&amp;$N$3),VALUE(LEFT(AA$5,2))),""yyyy-MM-dd"")),0)),""""),IF(logStatus&lt;&gt;"""",UPPER(logStatu"&amp;"s),IF(AA148&lt;&gt;"""",IF(VALUE(AA148)&gt;=9/24,""FD"",""HD""),IF(REGEXMATCH(AA$5,""SUN""),""WO"",""-""))))))"),"")</f>
        <v/>
      </c>
      <c r="AB149" s="43" t="str">
        <f>IFERROR(__xludf.DUMMYFUNCTION("IF($A144="""","""",IF(AB$5="""","""",LET(logStatus,IFNA(INDEX(DATA_LOG!$E:$E,MATCH(1,(DATA_LOG!$A:$A=$A144)*(TEXT(DATA_LOG!$B:$B,""yyyy-MM-dd"")=TEXT(DATE($P$3,MONTH(1&amp;$N$3),VALUE(LEFT(AB$5,2))),""yyyy-MM-dd"")),0)),""""),IF(logStatus&lt;&gt;"""",UPPER(logStatu"&amp;"s),IF(AB148&lt;&gt;"""",IF(VALUE(AB148)&gt;=9/24,""FD"",""HD""),IF(REGEXMATCH(AB$5,""SUN""),""WO"",""-""))))))"),"")</f>
        <v/>
      </c>
      <c r="AC149" s="43" t="str">
        <f>IFERROR(__xludf.DUMMYFUNCTION("IF($A144="""","""",IF(AC$5="""","""",LET(logStatus,IFNA(INDEX(DATA_LOG!$E:$E,MATCH(1,(DATA_LOG!$A:$A=$A144)*(TEXT(DATA_LOG!$B:$B,""yyyy-MM-dd"")=TEXT(DATE($P$3,MONTH(1&amp;$N$3),VALUE(LEFT(AC$5,2))),""yyyy-MM-dd"")),0)),""""),IF(logStatus&lt;&gt;"""",UPPER(logStatu"&amp;"s),IF(AC148&lt;&gt;"""",IF(VALUE(AC148)&gt;=9/24,""FD"",""HD""),IF(REGEXMATCH(AC$5,""SUN""),""WO"",""-""))))))"),"")</f>
        <v/>
      </c>
      <c r="AD149" s="43" t="str">
        <f>IFERROR(__xludf.DUMMYFUNCTION("IF($A144="""","""",IF(AD$5="""","""",LET(logStatus,IFNA(INDEX(DATA_LOG!$E:$E,MATCH(1,(DATA_LOG!$A:$A=$A144)*(TEXT(DATA_LOG!$B:$B,""yyyy-MM-dd"")=TEXT(DATE($P$3,MONTH(1&amp;$N$3),VALUE(LEFT(AD$5,2))),""yyyy-MM-dd"")),0)),""""),IF(logStatus&lt;&gt;"""",UPPER(logStatu"&amp;"s),IF(AD148&lt;&gt;"""",IF(VALUE(AD148)&gt;=9/24,""FD"",""HD""),IF(REGEXMATCH(AD$5,""SUN""),""WO"",""-""))))))"),"")</f>
        <v/>
      </c>
      <c r="AE149" s="43" t="str">
        <f>IFERROR(__xludf.DUMMYFUNCTION("IF($A144="""","""",IF(AE$5="""","""",LET(logStatus,IFNA(INDEX(DATA_LOG!$E:$E,MATCH(1,(DATA_LOG!$A:$A=$A144)*(TEXT(DATA_LOG!$B:$B,""yyyy-MM-dd"")=TEXT(DATE($P$3,MONTH(1&amp;$N$3),VALUE(LEFT(AE$5,2))),""yyyy-MM-dd"")),0)),""""),IF(logStatus&lt;&gt;"""",UPPER(logStatu"&amp;"s),IF(AE148&lt;&gt;"""",IF(VALUE(AE148)&gt;=9/24,""FD"",""HD""),IF(REGEXMATCH(AE$5,""SUN""),""WO"",""-""))))))"),"")</f>
        <v/>
      </c>
      <c r="AF149" s="43" t="str">
        <f>IFERROR(__xludf.DUMMYFUNCTION("IF($A144="""","""",IF(AF$5="""","""",LET(logStatus,IFNA(INDEX(DATA_LOG!$E:$E,MATCH(1,(DATA_LOG!$A:$A=$A144)*(TEXT(DATA_LOG!$B:$B,""yyyy-MM-dd"")=TEXT(DATE($P$3,MONTH(1&amp;$N$3),VALUE(LEFT(AF$5,2))),""yyyy-MM-dd"")),0)),""""),IF(logStatus&lt;&gt;"""",UPPER(logStatu"&amp;"s),IF(AF148&lt;&gt;"""",IF(VALUE(AF148)&gt;=9/24,""FD"",""HD""),IF(REGEXMATCH(AF$5,""SUN""),""WO"",""-""))))))"),"")</f>
        <v/>
      </c>
    </row>
    <row r="150">
      <c r="A150" s="44"/>
    </row>
    <row r="151">
      <c r="A151" s="25" t="str">
        <f t="array" ref="A151">INDEX(EMPLOYEE_LIST!$A:$A,INT((ROW()-4)/7)+2)</f>
        <v/>
      </c>
      <c r="B151" s="26"/>
      <c r="C151" s="27"/>
      <c r="D151" s="28" t="str">
        <f>IF(A151="", "", IFERROR(VLOOKUP(A151, EMPLOYEE_LIST!$A:$H, 2, FALSE), ""))</f>
        <v/>
      </c>
      <c r="E151" s="26"/>
      <c r="F151" s="26"/>
      <c r="G151" s="27"/>
      <c r="H151" s="29" t="str">
        <f>IF(A151="", "", IFERROR(VLOOKUP(A151, EMPLOYEE_LIST!$A:$H, 3, FALSE), ""))</f>
        <v/>
      </c>
      <c r="I151" s="26"/>
      <c r="J151" s="26"/>
      <c r="K151" s="27"/>
      <c r="L151" s="29" t="str">
        <f>IF(A151="", "", IFERROR(VLOOKUP(A151, EMPLOYEE_LIST!$A:$H, 4, FALSE), ""))</f>
        <v/>
      </c>
      <c r="M151" s="26"/>
      <c r="N151" s="26"/>
      <c r="O151" s="27"/>
      <c r="P151" s="30" t="str">
        <f>IF($A151="", "", "Full Day: " &amp; COUNTIF(B156:AF156, "FD"))</f>
        <v/>
      </c>
      <c r="Q151" s="26"/>
      <c r="R151" s="27"/>
      <c r="S151" s="31" t="str">
        <f>IF($A151="", "", "HALF Day: " &amp; COUNTIF(B156:AF156, "HD"))</f>
        <v/>
      </c>
      <c r="T151" s="26"/>
      <c r="U151" s="27"/>
      <c r="V151" s="31" t="str">
        <f>IF($A151="", "", "ABSENT: " &amp; COUNTIF(B156:AF156, "A"))</f>
        <v/>
      </c>
      <c r="W151" s="26"/>
      <c r="X151" s="27"/>
      <c r="Y151" s="31" t="str">
        <f>IF($A151="", "", "WEEK OFF: " &amp; COUNTIF(B156:AF156, "WO"))</f>
        <v/>
      </c>
      <c r="Z151" s="26"/>
      <c r="AA151" s="27"/>
      <c r="AB151" s="31" t="str">
        <f>IF($A151="", "", "LEAVE: " &amp; COUNTIF(B156:AF156, "L"))</f>
        <v/>
      </c>
      <c r="AC151" s="27"/>
      <c r="AD151" s="31" t="str">
        <f>IF($A151="", "", "HOLIDAY: " &amp; COUNTIF(B156:AF156, "HL"))</f>
        <v/>
      </c>
      <c r="AE151" s="26"/>
      <c r="AF151" s="27"/>
    </row>
    <row r="152">
      <c r="A152" s="32" t="str">
        <f>IF($A151="", "", "DATE")</f>
        <v/>
      </c>
      <c r="B152" s="33" t="str">
        <f t="array" ref="B152">IF($A151="","",LET(mNum,MONTH(1&amp;$N$3),start,DATE($P$3,mNum,1),days,DAY(EOMONTH(start,0)),MAP(SEQUENCE(1,days,0),LAMBDA(n,UPPER(TEXT(start+n,"dd (ddd)"))))))</f>
        <v/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>
      <c r="A153" s="37" t="str">
        <f>IF($A151="", "", "IN")</f>
        <v/>
      </c>
      <c r="B153" s="39" t="str">
        <f t="array" ref="B153">IF(OR($A151="",B$5=""),"",IFNA(INDEX(DATA_LOG!$C:$C,MATCH(1,(DATA_LOG!$A:$A=$A151)*(TEXT(DATA_LOG!$B:$B,"yyyy-MM-dd")=TEXT(DATE($P$3,MONTH(1&amp;$N$3),VALUE(LEFT(B$5,2))),"yyyy-MM-dd")),0)),""))</f>
        <v/>
      </c>
      <c r="C153" s="39" t="str">
        <f t="array" ref="C153">IF(OR($A151="",C$5=""),"",IFNA(INDEX(DATA_LOG!$C:$C,MATCH(1,(DATA_LOG!$A:$A=$A151)*(TEXT(DATA_LOG!$B:$B,"yyyy-MM-dd")=TEXT(DATE($P$3,MONTH(1&amp;$N$3),VALUE(LEFT(C$5,2))),"yyyy-MM-dd")),0)),""))</f>
        <v/>
      </c>
      <c r="D153" s="39" t="str">
        <f t="array" ref="D153">IF(OR($A151="",D$5=""),"",IFNA(INDEX(DATA_LOG!$C:$C,MATCH(1,(DATA_LOG!$A:$A=$A151)*(TEXT(DATA_LOG!$B:$B,"yyyy-MM-dd")=TEXT(DATE($P$3,MONTH(1&amp;$N$3),VALUE(LEFT(D$5,2))),"yyyy-MM-dd")),0)),""))</f>
        <v/>
      </c>
      <c r="E153" s="39" t="str">
        <f t="array" ref="E153">IF(OR($A151="",E$5=""),"",IFNA(INDEX(DATA_LOG!$C:$C,MATCH(1,(DATA_LOG!$A:$A=$A151)*(TEXT(DATA_LOG!$B:$B,"yyyy-MM-dd")=TEXT(DATE($P$3,MONTH(1&amp;$N$3),VALUE(LEFT(E$5,2))),"yyyy-MM-dd")),0)),""))</f>
        <v/>
      </c>
      <c r="F153" s="39" t="str">
        <f t="array" ref="F153">IF(OR($A151="",F$5=""),"",IFNA(INDEX(DATA_LOG!$C:$C,MATCH(1,(DATA_LOG!$A:$A=$A151)*(TEXT(DATA_LOG!$B:$B,"yyyy-MM-dd")=TEXT(DATE($P$3,MONTH(1&amp;$N$3),VALUE(LEFT(F$5,2))),"yyyy-MM-dd")),0)),""))</f>
        <v/>
      </c>
      <c r="G153" s="39" t="str">
        <f t="array" ref="G153">IF(OR($A151="",G$5=""),"",IFNA(INDEX(DATA_LOG!$C:$C,MATCH(1,(DATA_LOG!$A:$A=$A151)*(TEXT(DATA_LOG!$B:$B,"yyyy-MM-dd")=TEXT(DATE($P$3,MONTH(1&amp;$N$3),VALUE(LEFT(G$5,2))),"yyyy-MM-dd")),0)),""))</f>
        <v/>
      </c>
      <c r="H153" s="39" t="str">
        <f t="array" ref="H153">IF(OR($A151="",H$5=""),"",IFNA(INDEX(DATA_LOG!$C:$C,MATCH(1,(DATA_LOG!$A:$A=$A151)*(TEXT(DATA_LOG!$B:$B,"yyyy-MM-dd")=TEXT(DATE($P$3,MONTH(1&amp;$N$3),VALUE(LEFT(H$5,2))),"yyyy-MM-dd")),0)),""))</f>
        <v/>
      </c>
      <c r="I153" s="39" t="str">
        <f t="array" ref="I153">IF(OR($A151="",I$5=""),"",IFNA(INDEX(DATA_LOG!$C:$C,MATCH(1,(DATA_LOG!$A:$A=$A151)*(TEXT(DATA_LOG!$B:$B,"yyyy-MM-dd")=TEXT(DATE($P$3,MONTH(1&amp;$N$3),VALUE(LEFT(I$5,2))),"yyyy-MM-dd")),0)),""))</f>
        <v/>
      </c>
      <c r="J153" s="39" t="str">
        <f t="array" ref="J153">IF(OR($A151="",J$5=""),"",IFNA(INDEX(DATA_LOG!$C:$C,MATCH(1,(DATA_LOG!$A:$A=$A151)*(TEXT(DATA_LOG!$B:$B,"yyyy-MM-dd")=TEXT(DATE($P$3,MONTH(1&amp;$N$3),VALUE(LEFT(J$5,2))),"yyyy-MM-dd")),0)),""))</f>
        <v/>
      </c>
      <c r="K153" s="39" t="str">
        <f t="array" ref="K153">IF(OR($A151="",K$5=""),"",IFNA(INDEX(DATA_LOG!$C:$C,MATCH(1,(DATA_LOG!$A:$A=$A151)*(TEXT(DATA_LOG!$B:$B,"yyyy-MM-dd")=TEXT(DATE($P$3,MONTH(1&amp;$N$3),VALUE(LEFT(K$5,2))),"yyyy-MM-dd")),0)),""))</f>
        <v/>
      </c>
      <c r="L153" s="39" t="str">
        <f t="array" ref="L153">IF(OR($A151="",L$5=""),"",IFNA(INDEX(DATA_LOG!$C:$C,MATCH(1,(DATA_LOG!$A:$A=$A151)*(TEXT(DATA_LOG!$B:$B,"yyyy-MM-dd")=TEXT(DATE($P$3,MONTH(1&amp;$N$3),VALUE(LEFT(L$5,2))),"yyyy-MM-dd")),0)),""))</f>
        <v/>
      </c>
      <c r="M153" s="39" t="str">
        <f t="array" ref="M153">IF(OR($A151="",M$5=""),"",IFNA(INDEX(DATA_LOG!$C:$C,MATCH(1,(DATA_LOG!$A:$A=$A151)*(TEXT(DATA_LOG!$B:$B,"yyyy-MM-dd")=TEXT(DATE($P$3,MONTH(1&amp;$N$3),VALUE(LEFT(M$5,2))),"yyyy-MM-dd")),0)),""))</f>
        <v/>
      </c>
      <c r="N153" s="39" t="str">
        <f t="array" ref="N153">IF(OR($A151="",N$5=""),"",IFNA(INDEX(DATA_LOG!$C:$C,MATCH(1,(DATA_LOG!$A:$A=$A151)*(TEXT(DATA_LOG!$B:$B,"yyyy-MM-dd")=TEXT(DATE($P$3,MONTH(1&amp;$N$3),VALUE(LEFT(N$5,2))),"yyyy-MM-dd")),0)),""))</f>
        <v/>
      </c>
      <c r="O153" s="39" t="str">
        <f t="array" ref="O153">IF(OR($A151="",O$5=""),"",IFNA(INDEX(DATA_LOG!$C:$C,MATCH(1,(DATA_LOG!$A:$A=$A151)*(TEXT(DATA_LOG!$B:$B,"yyyy-MM-dd")=TEXT(DATE($P$3,MONTH(1&amp;$N$3),VALUE(LEFT(O$5,2))),"yyyy-MM-dd")),0)),""))</f>
        <v/>
      </c>
      <c r="P153" s="39" t="str">
        <f t="array" ref="P153">IF(OR($A151="",P$5=""),"",IFNA(INDEX(DATA_LOG!$C:$C,MATCH(1,(DATA_LOG!$A:$A=$A151)*(TEXT(DATA_LOG!$B:$B,"yyyy-MM-dd")=TEXT(DATE($P$3,MONTH(1&amp;$N$3),VALUE(LEFT(P$5,2))),"yyyy-MM-dd")),0)),""))</f>
        <v/>
      </c>
      <c r="Q153" s="39" t="str">
        <f t="array" ref="Q153">IF(OR($A151="",Q$5=""),"",IFNA(INDEX(DATA_LOG!$C:$C,MATCH(1,(DATA_LOG!$A:$A=$A151)*(TEXT(DATA_LOG!$B:$B,"yyyy-MM-dd")=TEXT(DATE($P$3,MONTH(1&amp;$N$3),VALUE(LEFT(Q$5,2))),"yyyy-MM-dd")),0)),""))</f>
        <v/>
      </c>
      <c r="R153" s="39" t="str">
        <f t="array" ref="R153">IF(OR($A151="",R$5=""),"",IFNA(INDEX(DATA_LOG!$C:$C,MATCH(1,(DATA_LOG!$A:$A=$A151)*(TEXT(DATA_LOG!$B:$B,"yyyy-MM-dd")=TEXT(DATE($P$3,MONTH(1&amp;$N$3),VALUE(LEFT(R$5,2))),"yyyy-MM-dd")),0)),""))</f>
        <v/>
      </c>
      <c r="S153" s="39" t="str">
        <f t="array" ref="S153">IF(OR($A151="",S$5=""),"",IFNA(INDEX(DATA_LOG!$C:$C,MATCH(1,(DATA_LOG!$A:$A=$A151)*(TEXT(DATA_LOG!$B:$B,"yyyy-MM-dd")=TEXT(DATE($P$3,MONTH(1&amp;$N$3),VALUE(LEFT(S$5,2))),"yyyy-MM-dd")),0)),""))</f>
        <v/>
      </c>
      <c r="T153" s="39" t="str">
        <f t="array" ref="T153">IF(OR($A151="",T$5=""),"",IFNA(INDEX(DATA_LOG!$C:$C,MATCH(1,(DATA_LOG!$A:$A=$A151)*(TEXT(DATA_LOG!$B:$B,"yyyy-MM-dd")=TEXT(DATE($P$3,MONTH(1&amp;$N$3),VALUE(LEFT(T$5,2))),"yyyy-MM-dd")),0)),""))</f>
        <v/>
      </c>
      <c r="U153" s="39" t="str">
        <f t="array" ref="U153">IF(OR($A151="",U$5=""),"",IFNA(INDEX(DATA_LOG!$C:$C,MATCH(1,(DATA_LOG!$A:$A=$A151)*(TEXT(DATA_LOG!$B:$B,"yyyy-MM-dd")=TEXT(DATE($P$3,MONTH(1&amp;$N$3),VALUE(LEFT(U$5,2))),"yyyy-MM-dd")),0)),""))</f>
        <v/>
      </c>
      <c r="V153" s="39" t="str">
        <f t="array" ref="V153">IF(OR($A151="",V$5=""),"",IFNA(INDEX(DATA_LOG!$C:$C,MATCH(1,(DATA_LOG!$A:$A=$A151)*(TEXT(DATA_LOG!$B:$B,"yyyy-MM-dd")=TEXT(DATE($P$3,MONTH(1&amp;$N$3),VALUE(LEFT(V$5,2))),"yyyy-MM-dd")),0)),""))</f>
        <v/>
      </c>
      <c r="W153" s="39" t="str">
        <f t="array" ref="W153">IF(OR($A151="",W$5=""),"",IFNA(INDEX(DATA_LOG!$C:$C,MATCH(1,(DATA_LOG!$A:$A=$A151)*(TEXT(DATA_LOG!$B:$B,"yyyy-MM-dd")=TEXT(DATE($P$3,MONTH(1&amp;$N$3),VALUE(LEFT(W$5,2))),"yyyy-MM-dd")),0)),""))</f>
        <v/>
      </c>
      <c r="X153" s="39" t="str">
        <f t="array" ref="X153">IF(OR($A151="",X$5=""),"",IFNA(INDEX(DATA_LOG!$C:$C,MATCH(1,(DATA_LOG!$A:$A=$A151)*(TEXT(DATA_LOG!$B:$B,"yyyy-MM-dd")=TEXT(DATE($P$3,MONTH(1&amp;$N$3),VALUE(LEFT(X$5,2))),"yyyy-MM-dd")),0)),""))</f>
        <v/>
      </c>
      <c r="Y153" s="39" t="str">
        <f t="array" ref="Y153">IF(OR($A151="",Y$5=""),"",IFNA(INDEX(DATA_LOG!$C:$C,MATCH(1,(DATA_LOG!$A:$A=$A151)*(TEXT(DATA_LOG!$B:$B,"yyyy-MM-dd")=TEXT(DATE($P$3,MONTH(1&amp;$N$3),VALUE(LEFT(Y$5,2))),"yyyy-MM-dd")),0)),""))</f>
        <v/>
      </c>
      <c r="Z153" s="39" t="str">
        <f t="array" ref="Z153">IF(OR($A151="",Z$5=""),"",IFNA(INDEX(DATA_LOG!$C:$C,MATCH(1,(DATA_LOG!$A:$A=$A151)*(TEXT(DATA_LOG!$B:$B,"yyyy-MM-dd")=TEXT(DATE($P$3,MONTH(1&amp;$N$3),VALUE(LEFT(Z$5,2))),"yyyy-MM-dd")),0)),""))</f>
        <v/>
      </c>
      <c r="AA153" s="39" t="str">
        <f t="array" ref="AA153">IF(OR($A151="",AA$5=""),"",IFNA(INDEX(DATA_LOG!$C:$C,MATCH(1,(DATA_LOG!$A:$A=$A151)*(TEXT(DATA_LOG!$B:$B,"yyyy-MM-dd")=TEXT(DATE($P$3,MONTH(1&amp;$N$3),VALUE(LEFT(AA$5,2))),"yyyy-MM-dd")),0)),""))</f>
        <v/>
      </c>
      <c r="AB153" s="39" t="str">
        <f t="array" ref="AB153">IF(OR($A151="",AB$5=""),"",IFNA(INDEX(DATA_LOG!$C:$C,MATCH(1,(DATA_LOG!$A:$A=$A151)*(TEXT(DATA_LOG!$B:$B,"yyyy-MM-dd")=TEXT(DATE($P$3,MONTH(1&amp;$N$3),VALUE(LEFT(AB$5,2))),"yyyy-MM-dd")),0)),""))</f>
        <v/>
      </c>
      <c r="AC153" s="39" t="str">
        <f t="array" ref="AC153">IF(OR($A151="",AC$5=""),"",IFNA(INDEX(DATA_LOG!$C:$C,MATCH(1,(DATA_LOG!$A:$A=$A151)*(TEXT(DATA_LOG!$B:$B,"yyyy-MM-dd")=TEXT(DATE($P$3,MONTH(1&amp;$N$3),VALUE(LEFT(AC$5,2))),"yyyy-MM-dd")),0)),""))</f>
        <v/>
      </c>
      <c r="AD153" s="39" t="str">
        <f t="array" ref="AD153">IF(OR($A151="",AD$5=""),"",IFNA(INDEX(DATA_LOG!$C:$C,MATCH(1,(DATA_LOG!$A:$A=$A151)*(TEXT(DATA_LOG!$B:$B,"yyyy-MM-dd")=TEXT(DATE($P$3,MONTH(1&amp;$N$3),VALUE(LEFT(AD$5,2))),"yyyy-MM-dd")),0)),""))</f>
        <v/>
      </c>
      <c r="AE153" s="39" t="str">
        <f t="array" ref="AE153">IF(OR($A151="",AE$5=""),"",IFNA(INDEX(DATA_LOG!$C:$C,MATCH(1,(DATA_LOG!$A:$A=$A151)*(TEXT(DATA_LOG!$B:$B,"yyyy-MM-dd")=TEXT(DATE($P$3,MONTH(1&amp;$N$3),VALUE(LEFT(AE$5,2))),"yyyy-MM-dd")),0)),""))</f>
        <v/>
      </c>
      <c r="AF153" s="39" t="str">
        <f t="array" ref="AF153">IF(OR($A151="",AF$5=""),"",IFNA(INDEX(DATA_LOG!$C:$C,MATCH(1,(DATA_LOG!$A:$A=$A151)*(TEXT(DATA_LOG!$B:$B,"yyyy-MM-dd")=TEXT(DATE($P$3,MONTH(1&amp;$N$3),VALUE(LEFT(AF$5,2))),"yyyy-MM-dd")),0)),""))</f>
        <v/>
      </c>
    </row>
    <row r="154">
      <c r="A154" s="37" t="str">
        <f>IF($A151="", "", "OUT")</f>
        <v/>
      </c>
      <c r="B154" s="39" t="str">
        <f t="array" ref="B154">IF(OR($A151="",B$5=""),"",IFNA(INDEX(DATA_LOG!$D:$D,MATCH(1,(DATA_LOG!$A:$A=$A151)*(TEXT(DATA_LOG!$B:$B,"yyyy-MM-dd")=TEXT(DATE($P$3,MONTH(1&amp;$N$3),VALUE(LEFT(B$5,2))),"yyyy-MM-dd")),0)),""))</f>
        <v/>
      </c>
      <c r="C154" s="39" t="str">
        <f t="array" ref="C154">IF(OR($A151="",C$5=""),"",IFNA(INDEX(DATA_LOG!$D:$D,MATCH(1,(DATA_LOG!$A:$A=$A151)*(TEXT(DATA_LOG!$B:$B,"yyyy-MM-dd")=TEXT(DATE($P$3,MONTH(1&amp;$N$3),VALUE(LEFT(C$5,2))),"yyyy-MM-dd")),0)),""))</f>
        <v/>
      </c>
      <c r="D154" s="39" t="str">
        <f t="array" ref="D154">IF(OR($A151="",D$5=""),"",IFNA(INDEX(DATA_LOG!$D:$D,MATCH(1,(DATA_LOG!$A:$A=$A151)*(TEXT(DATA_LOG!$B:$B,"yyyy-MM-dd")=TEXT(DATE($P$3,MONTH(1&amp;$N$3),VALUE(LEFT(D$5,2))),"yyyy-MM-dd")),0)),""))</f>
        <v/>
      </c>
      <c r="E154" s="39" t="str">
        <f t="array" ref="E154">IF(OR($A151="",E$5=""),"",IFNA(INDEX(DATA_LOG!$D:$D,MATCH(1,(DATA_LOG!$A:$A=$A151)*(TEXT(DATA_LOG!$B:$B,"yyyy-MM-dd")=TEXT(DATE($P$3,MONTH(1&amp;$N$3),VALUE(LEFT(E$5,2))),"yyyy-MM-dd")),0)),""))</f>
        <v/>
      </c>
      <c r="F154" s="39" t="str">
        <f t="array" ref="F154">IF(OR($A151="",F$5=""),"",IFNA(INDEX(DATA_LOG!$D:$D,MATCH(1,(DATA_LOG!$A:$A=$A151)*(TEXT(DATA_LOG!$B:$B,"yyyy-MM-dd")=TEXT(DATE($P$3,MONTH(1&amp;$N$3),VALUE(LEFT(F$5,2))),"yyyy-MM-dd")),0)),""))</f>
        <v/>
      </c>
      <c r="G154" s="39" t="str">
        <f t="array" ref="G154">IF(OR($A151="",G$5=""),"",IFNA(INDEX(DATA_LOG!$D:$D,MATCH(1,(DATA_LOG!$A:$A=$A151)*(TEXT(DATA_LOG!$B:$B,"yyyy-MM-dd")=TEXT(DATE($P$3,MONTH(1&amp;$N$3),VALUE(LEFT(G$5,2))),"yyyy-MM-dd")),0)),""))</f>
        <v/>
      </c>
      <c r="H154" s="39" t="str">
        <f t="array" ref="H154">IF(OR($A151="",H$5=""),"",IFNA(INDEX(DATA_LOG!$D:$D,MATCH(1,(DATA_LOG!$A:$A=$A151)*(TEXT(DATA_LOG!$B:$B,"yyyy-MM-dd")=TEXT(DATE($P$3,MONTH(1&amp;$N$3),VALUE(LEFT(H$5,2))),"yyyy-MM-dd")),0)),""))</f>
        <v/>
      </c>
      <c r="I154" s="39" t="str">
        <f t="array" ref="I154">IF(OR($A151="",I$5=""),"",IFNA(INDEX(DATA_LOG!$D:$D,MATCH(1,(DATA_LOG!$A:$A=$A151)*(TEXT(DATA_LOG!$B:$B,"yyyy-MM-dd")=TEXT(DATE($P$3,MONTH(1&amp;$N$3),VALUE(LEFT(I$5,2))),"yyyy-MM-dd")),0)),""))</f>
        <v/>
      </c>
      <c r="J154" s="39" t="str">
        <f t="array" ref="J154">IF(OR($A151="",J$5=""),"",IFNA(INDEX(DATA_LOG!$D:$D,MATCH(1,(DATA_LOG!$A:$A=$A151)*(TEXT(DATA_LOG!$B:$B,"yyyy-MM-dd")=TEXT(DATE($P$3,MONTH(1&amp;$N$3),VALUE(LEFT(J$5,2))),"yyyy-MM-dd")),0)),""))</f>
        <v/>
      </c>
      <c r="K154" s="39" t="str">
        <f t="array" ref="K154">IF(OR($A151="",K$5=""),"",IFNA(INDEX(DATA_LOG!$D:$D,MATCH(1,(DATA_LOG!$A:$A=$A151)*(TEXT(DATA_LOG!$B:$B,"yyyy-MM-dd")=TEXT(DATE($P$3,MONTH(1&amp;$N$3),VALUE(LEFT(K$5,2))),"yyyy-MM-dd")),0)),""))</f>
        <v/>
      </c>
      <c r="L154" s="39" t="str">
        <f t="array" ref="L154">IF(OR($A151="",L$5=""),"",IFNA(INDEX(DATA_LOG!$D:$D,MATCH(1,(DATA_LOG!$A:$A=$A151)*(TEXT(DATA_LOG!$B:$B,"yyyy-MM-dd")=TEXT(DATE($P$3,MONTH(1&amp;$N$3),VALUE(LEFT(L$5,2))),"yyyy-MM-dd")),0)),""))</f>
        <v/>
      </c>
      <c r="M154" s="39" t="str">
        <f t="array" ref="M154">IF(OR($A151="",M$5=""),"",IFNA(INDEX(DATA_LOG!$D:$D,MATCH(1,(DATA_LOG!$A:$A=$A151)*(TEXT(DATA_LOG!$B:$B,"yyyy-MM-dd")=TEXT(DATE($P$3,MONTH(1&amp;$N$3),VALUE(LEFT(M$5,2))),"yyyy-MM-dd")),0)),""))</f>
        <v/>
      </c>
      <c r="N154" s="39" t="str">
        <f t="array" ref="N154">IF(OR($A151="",N$5=""),"",IFNA(INDEX(DATA_LOG!$D:$D,MATCH(1,(DATA_LOG!$A:$A=$A151)*(TEXT(DATA_LOG!$B:$B,"yyyy-MM-dd")=TEXT(DATE($P$3,MONTH(1&amp;$N$3),VALUE(LEFT(N$5,2))),"yyyy-MM-dd")),0)),""))</f>
        <v/>
      </c>
      <c r="O154" s="39" t="str">
        <f t="array" ref="O154">IF(OR($A151="",O$5=""),"",IFNA(INDEX(DATA_LOG!$D:$D,MATCH(1,(DATA_LOG!$A:$A=$A151)*(TEXT(DATA_LOG!$B:$B,"yyyy-MM-dd")=TEXT(DATE($P$3,MONTH(1&amp;$N$3),VALUE(LEFT(O$5,2))),"yyyy-MM-dd")),0)),""))</f>
        <v/>
      </c>
      <c r="P154" s="39" t="str">
        <f t="array" ref="P154">IF(OR($A151="",P$5=""),"",IFNA(INDEX(DATA_LOG!$D:$D,MATCH(1,(DATA_LOG!$A:$A=$A151)*(TEXT(DATA_LOG!$B:$B,"yyyy-MM-dd")=TEXT(DATE($P$3,MONTH(1&amp;$N$3),VALUE(LEFT(P$5,2))),"yyyy-MM-dd")),0)),""))</f>
        <v/>
      </c>
      <c r="Q154" s="39" t="str">
        <f t="array" ref="Q154">IF(OR($A151="",Q$5=""),"",IFNA(INDEX(DATA_LOG!$D:$D,MATCH(1,(DATA_LOG!$A:$A=$A151)*(TEXT(DATA_LOG!$B:$B,"yyyy-MM-dd")=TEXT(DATE($P$3,MONTH(1&amp;$N$3),VALUE(LEFT(Q$5,2))),"yyyy-MM-dd")),0)),""))</f>
        <v/>
      </c>
      <c r="R154" s="39" t="str">
        <f t="array" ref="R154">IF(OR($A151="",R$5=""),"",IFNA(INDEX(DATA_LOG!$D:$D,MATCH(1,(DATA_LOG!$A:$A=$A151)*(TEXT(DATA_LOG!$B:$B,"yyyy-MM-dd")=TEXT(DATE($P$3,MONTH(1&amp;$N$3),VALUE(LEFT(R$5,2))),"yyyy-MM-dd")),0)),""))</f>
        <v/>
      </c>
      <c r="S154" s="39" t="str">
        <f t="array" ref="S154">IF(OR($A151="",S$5=""),"",IFNA(INDEX(DATA_LOG!$D:$D,MATCH(1,(DATA_LOG!$A:$A=$A151)*(TEXT(DATA_LOG!$B:$B,"yyyy-MM-dd")=TEXT(DATE($P$3,MONTH(1&amp;$N$3),VALUE(LEFT(S$5,2))),"yyyy-MM-dd")),0)),""))</f>
        <v/>
      </c>
      <c r="T154" s="39" t="str">
        <f t="array" ref="T154">IF(OR($A151="",T$5=""),"",IFNA(INDEX(DATA_LOG!$D:$D,MATCH(1,(DATA_LOG!$A:$A=$A151)*(TEXT(DATA_LOG!$B:$B,"yyyy-MM-dd")=TEXT(DATE($P$3,MONTH(1&amp;$N$3),VALUE(LEFT(T$5,2))),"yyyy-MM-dd")),0)),""))</f>
        <v/>
      </c>
      <c r="U154" s="39" t="str">
        <f t="array" ref="U154">IF(OR($A151="",U$5=""),"",IFNA(INDEX(DATA_LOG!$D:$D,MATCH(1,(DATA_LOG!$A:$A=$A151)*(TEXT(DATA_LOG!$B:$B,"yyyy-MM-dd")=TEXT(DATE($P$3,MONTH(1&amp;$N$3),VALUE(LEFT(U$5,2))),"yyyy-MM-dd")),0)),""))</f>
        <v/>
      </c>
      <c r="V154" s="39" t="str">
        <f t="array" ref="V154">IF(OR($A151="",V$5=""),"",IFNA(INDEX(DATA_LOG!$D:$D,MATCH(1,(DATA_LOG!$A:$A=$A151)*(TEXT(DATA_LOG!$B:$B,"yyyy-MM-dd")=TEXT(DATE($P$3,MONTH(1&amp;$N$3),VALUE(LEFT(V$5,2))),"yyyy-MM-dd")),0)),""))</f>
        <v/>
      </c>
      <c r="W154" s="39" t="str">
        <f t="array" ref="W154">IF(OR($A151="",W$5=""),"",IFNA(INDEX(DATA_LOG!$D:$D,MATCH(1,(DATA_LOG!$A:$A=$A151)*(TEXT(DATA_LOG!$B:$B,"yyyy-MM-dd")=TEXT(DATE($P$3,MONTH(1&amp;$N$3),VALUE(LEFT(W$5,2))),"yyyy-MM-dd")),0)),""))</f>
        <v/>
      </c>
      <c r="X154" s="39" t="str">
        <f t="array" ref="X154">IF(OR($A151="",X$5=""),"",IFNA(INDEX(DATA_LOG!$D:$D,MATCH(1,(DATA_LOG!$A:$A=$A151)*(TEXT(DATA_LOG!$B:$B,"yyyy-MM-dd")=TEXT(DATE($P$3,MONTH(1&amp;$N$3),VALUE(LEFT(X$5,2))),"yyyy-MM-dd")),0)),""))</f>
        <v/>
      </c>
      <c r="Y154" s="39" t="str">
        <f t="array" ref="Y154">IF(OR($A151="",Y$5=""),"",IFNA(INDEX(DATA_LOG!$D:$D,MATCH(1,(DATA_LOG!$A:$A=$A151)*(TEXT(DATA_LOG!$B:$B,"yyyy-MM-dd")=TEXT(DATE($P$3,MONTH(1&amp;$N$3),VALUE(LEFT(Y$5,2))),"yyyy-MM-dd")),0)),""))</f>
        <v/>
      </c>
      <c r="Z154" s="39" t="str">
        <f t="array" ref="Z154">IF(OR($A151="",Z$5=""),"",IFNA(INDEX(DATA_LOG!$D:$D,MATCH(1,(DATA_LOG!$A:$A=$A151)*(TEXT(DATA_LOG!$B:$B,"yyyy-MM-dd")=TEXT(DATE($P$3,MONTH(1&amp;$N$3),VALUE(LEFT(Z$5,2))),"yyyy-MM-dd")),0)),""))</f>
        <v/>
      </c>
      <c r="AA154" s="39" t="str">
        <f t="array" ref="AA154">IF(OR($A151="",AA$5=""),"",IFNA(INDEX(DATA_LOG!$D:$D,MATCH(1,(DATA_LOG!$A:$A=$A151)*(TEXT(DATA_LOG!$B:$B,"yyyy-MM-dd")=TEXT(DATE($P$3,MONTH(1&amp;$N$3),VALUE(LEFT(AA$5,2))),"yyyy-MM-dd")),0)),""))</f>
        <v/>
      </c>
      <c r="AB154" s="39" t="str">
        <f t="array" ref="AB154">IF(OR($A151="",AB$5=""),"",IFNA(INDEX(DATA_LOG!$D:$D,MATCH(1,(DATA_LOG!$A:$A=$A151)*(TEXT(DATA_LOG!$B:$B,"yyyy-MM-dd")=TEXT(DATE($P$3,MONTH(1&amp;$N$3),VALUE(LEFT(AB$5,2))),"yyyy-MM-dd")),0)),""))</f>
        <v/>
      </c>
      <c r="AC154" s="39" t="str">
        <f t="array" ref="AC154">IF(OR($A151="",AC$5=""),"",IFNA(INDEX(DATA_LOG!$D:$D,MATCH(1,(DATA_LOG!$A:$A=$A151)*(TEXT(DATA_LOG!$B:$B,"yyyy-MM-dd")=TEXT(DATE($P$3,MONTH(1&amp;$N$3),VALUE(LEFT(AC$5,2))),"yyyy-MM-dd")),0)),""))</f>
        <v/>
      </c>
      <c r="AD154" s="39" t="str">
        <f t="array" ref="AD154">IF(OR($A151="",AD$5=""),"",IFNA(INDEX(DATA_LOG!$D:$D,MATCH(1,(DATA_LOG!$A:$A=$A151)*(TEXT(DATA_LOG!$B:$B,"yyyy-MM-dd")=TEXT(DATE($P$3,MONTH(1&amp;$N$3),VALUE(LEFT(AD$5,2))),"yyyy-MM-dd")),0)),""))</f>
        <v/>
      </c>
      <c r="AE154" s="39" t="str">
        <f t="array" ref="AE154">IF(OR($A151="",AE$5=""),"",IFNA(INDEX(DATA_LOG!$D:$D,MATCH(1,(DATA_LOG!$A:$A=$A151)*(TEXT(DATA_LOG!$B:$B,"yyyy-MM-dd")=TEXT(DATE($P$3,MONTH(1&amp;$N$3),VALUE(LEFT(AE$5,2))),"yyyy-MM-dd")),0)),""))</f>
        <v/>
      </c>
      <c r="AF154" s="39" t="str">
        <f t="array" ref="AF154">IF(OR($A151="",AF$5=""),"",IFNA(INDEX(DATA_LOG!$D:$D,MATCH(1,(DATA_LOG!$A:$A=$A151)*(TEXT(DATA_LOG!$B:$B,"yyyy-MM-dd")=TEXT(DATE($P$3,MONTH(1&amp;$N$3),VALUE(LEFT(AF$5,2))),"yyyy-MM-dd")),0)),""))</f>
        <v/>
      </c>
    </row>
    <row r="155">
      <c r="A155" s="40" t="str">
        <f>IF($A151="", "", "TOTAL")</f>
        <v/>
      </c>
      <c r="B155" s="41" t="str">
        <f t="shared" ref="B155:AF155" si="22">IF(AND(B153&lt;&gt;"",B154&lt;&gt;""),TEXT(MOD(B154-B153,1),"hh:mm"),"")</f>
        <v/>
      </c>
      <c r="C155" s="34" t="str">
        <f t="shared" si="22"/>
        <v/>
      </c>
      <c r="D155" s="34" t="str">
        <f t="shared" si="22"/>
        <v/>
      </c>
      <c r="E155" s="34" t="str">
        <f t="shared" si="22"/>
        <v/>
      </c>
      <c r="F155" s="34" t="str">
        <f t="shared" si="22"/>
        <v/>
      </c>
      <c r="G155" s="34" t="str">
        <f t="shared" si="22"/>
        <v/>
      </c>
      <c r="H155" s="34" t="str">
        <f t="shared" si="22"/>
        <v/>
      </c>
      <c r="I155" s="34" t="str">
        <f t="shared" si="22"/>
        <v/>
      </c>
      <c r="J155" s="34" t="str">
        <f t="shared" si="22"/>
        <v/>
      </c>
      <c r="K155" s="34" t="str">
        <f t="shared" si="22"/>
        <v/>
      </c>
      <c r="L155" s="34" t="str">
        <f t="shared" si="22"/>
        <v/>
      </c>
      <c r="M155" s="34" t="str">
        <f t="shared" si="22"/>
        <v/>
      </c>
      <c r="N155" s="34" t="str">
        <f t="shared" si="22"/>
        <v/>
      </c>
      <c r="O155" s="34" t="str">
        <f t="shared" si="22"/>
        <v/>
      </c>
      <c r="P155" s="34" t="str">
        <f t="shared" si="22"/>
        <v/>
      </c>
      <c r="Q155" s="34" t="str">
        <f t="shared" si="22"/>
        <v/>
      </c>
      <c r="R155" s="34" t="str">
        <f t="shared" si="22"/>
        <v/>
      </c>
      <c r="S155" s="34" t="str">
        <f t="shared" si="22"/>
        <v/>
      </c>
      <c r="T155" s="34" t="str">
        <f t="shared" si="22"/>
        <v/>
      </c>
      <c r="U155" s="34" t="str">
        <f t="shared" si="22"/>
        <v/>
      </c>
      <c r="V155" s="34" t="str">
        <f t="shared" si="22"/>
        <v/>
      </c>
      <c r="W155" s="34" t="str">
        <f t="shared" si="22"/>
        <v/>
      </c>
      <c r="X155" s="34" t="str">
        <f t="shared" si="22"/>
        <v/>
      </c>
      <c r="Y155" s="34" t="str">
        <f t="shared" si="22"/>
        <v/>
      </c>
      <c r="Z155" s="34" t="str">
        <f t="shared" si="22"/>
        <v/>
      </c>
      <c r="AA155" s="34" t="str">
        <f t="shared" si="22"/>
        <v/>
      </c>
      <c r="AB155" s="34" t="str">
        <f t="shared" si="22"/>
        <v/>
      </c>
      <c r="AC155" s="34" t="str">
        <f t="shared" si="22"/>
        <v/>
      </c>
      <c r="AD155" s="34" t="str">
        <f t="shared" si="22"/>
        <v/>
      </c>
      <c r="AE155" s="34" t="str">
        <f t="shared" si="22"/>
        <v/>
      </c>
      <c r="AF155" s="34" t="str">
        <f t="shared" si="22"/>
        <v/>
      </c>
    </row>
    <row r="156">
      <c r="A156" s="42" t="str">
        <f>IF($A151="", "", "STATUS")</f>
        <v/>
      </c>
      <c r="B156" s="43" t="str">
        <f>IFERROR(__xludf.DUMMYFUNCTION("IF($A151="""","""",IF(B$5="""","""",LET(logStatus,IFNA(INDEX(DATA_LOG!$E:$E,MATCH(1,(DATA_LOG!$A:$A=$A151)*(TEXT(DATA_LOG!$B:$B,""yyyy-MM-dd"")=TEXT(DATE($P$3,MONTH(1&amp;$N$3),VALUE(LEFT(B$5,2))),""yyyy-MM-dd"")),0)),""""),IF(logStatus&lt;&gt;"""",UPPER(logStatus)"&amp;",IF(B155&lt;&gt;"""",IF(VALUE(B155)&gt;=9/24,""FD"",""HD""),IF(REGEXMATCH(B$5,""SUN""),""WO"",""-""))))))"),"")</f>
        <v/>
      </c>
      <c r="C156" s="43" t="str">
        <f>IFERROR(__xludf.DUMMYFUNCTION("IF($A151="""","""",IF(C$5="""","""",LET(logStatus,IFNA(INDEX(DATA_LOG!$E:$E,MATCH(1,(DATA_LOG!$A:$A=$A151)*(TEXT(DATA_LOG!$B:$B,""yyyy-MM-dd"")=TEXT(DATE($P$3,MONTH(1&amp;$N$3),VALUE(LEFT(C$5,2))),""yyyy-MM-dd"")),0)),""""),IF(logStatus&lt;&gt;"""",UPPER(logStatus)"&amp;",IF(C155&lt;&gt;"""",IF(VALUE(C155)&gt;=9/24,""FD"",""HD""),IF(REGEXMATCH(C$5,""SUN""),""WO"",""-""))))))"),"")</f>
        <v/>
      </c>
      <c r="D156" s="43" t="str">
        <f>IFERROR(__xludf.DUMMYFUNCTION("IF($A151="""","""",IF(D$5="""","""",LET(logStatus,IFNA(INDEX(DATA_LOG!$E:$E,MATCH(1,(DATA_LOG!$A:$A=$A151)*(TEXT(DATA_LOG!$B:$B,""yyyy-MM-dd"")=TEXT(DATE($P$3,MONTH(1&amp;$N$3),VALUE(LEFT(D$5,2))),""yyyy-MM-dd"")),0)),""""),IF(logStatus&lt;&gt;"""",UPPER(logStatus)"&amp;",IF(D155&lt;&gt;"""",IF(VALUE(D155)&gt;=9/24,""FD"",""HD""),IF(REGEXMATCH(D$5,""SUN""),""WO"",""-""))))))"),"")</f>
        <v/>
      </c>
      <c r="E156" s="43" t="str">
        <f>IFERROR(__xludf.DUMMYFUNCTION("IF($A151="""","""",IF(E$5="""","""",LET(logStatus,IFNA(INDEX(DATA_LOG!$E:$E,MATCH(1,(DATA_LOG!$A:$A=$A151)*(TEXT(DATA_LOG!$B:$B,""yyyy-MM-dd"")=TEXT(DATE($P$3,MONTH(1&amp;$N$3),VALUE(LEFT(E$5,2))),""yyyy-MM-dd"")),0)),""""),IF(logStatus&lt;&gt;"""",UPPER(logStatus)"&amp;",IF(E155&lt;&gt;"""",IF(VALUE(E155)&gt;=9/24,""FD"",""HD""),IF(REGEXMATCH(E$5,""SUN""),""WO"",""-""))))))"),"")</f>
        <v/>
      </c>
      <c r="F156" s="43" t="str">
        <f>IFERROR(__xludf.DUMMYFUNCTION("IF($A151="""","""",IF(F$5="""","""",LET(logStatus,IFNA(INDEX(DATA_LOG!$E:$E,MATCH(1,(DATA_LOG!$A:$A=$A151)*(TEXT(DATA_LOG!$B:$B,""yyyy-MM-dd"")=TEXT(DATE($P$3,MONTH(1&amp;$N$3),VALUE(LEFT(F$5,2))),""yyyy-MM-dd"")),0)),""""),IF(logStatus&lt;&gt;"""",UPPER(logStatus)"&amp;",IF(F155&lt;&gt;"""",IF(VALUE(F155)&gt;=9/24,""FD"",""HD""),IF(REGEXMATCH(F$5,""SUN""),""WO"",""-""))))))"),"")</f>
        <v/>
      </c>
      <c r="G156" s="43" t="str">
        <f>IFERROR(__xludf.DUMMYFUNCTION("IF($A151="""","""",IF(G$5="""","""",LET(logStatus,IFNA(INDEX(DATA_LOG!$E:$E,MATCH(1,(DATA_LOG!$A:$A=$A151)*(TEXT(DATA_LOG!$B:$B,""yyyy-MM-dd"")=TEXT(DATE($P$3,MONTH(1&amp;$N$3),VALUE(LEFT(G$5,2))),""yyyy-MM-dd"")),0)),""""),IF(logStatus&lt;&gt;"""",UPPER(logStatus)"&amp;",IF(G155&lt;&gt;"""",IF(VALUE(G155)&gt;=9/24,""FD"",""HD""),IF(REGEXMATCH(G$5,""SUN""),""WO"",""-""))))))"),"")</f>
        <v/>
      </c>
      <c r="H156" s="43" t="str">
        <f>IFERROR(__xludf.DUMMYFUNCTION("IF($A151="""","""",IF(H$5="""","""",LET(logStatus,IFNA(INDEX(DATA_LOG!$E:$E,MATCH(1,(DATA_LOG!$A:$A=$A151)*(TEXT(DATA_LOG!$B:$B,""yyyy-MM-dd"")=TEXT(DATE($P$3,MONTH(1&amp;$N$3),VALUE(LEFT(H$5,2))),""yyyy-MM-dd"")),0)),""""),IF(logStatus&lt;&gt;"""",UPPER(logStatus)"&amp;",IF(H155&lt;&gt;"""",IF(VALUE(H155)&gt;=9/24,""FD"",""HD""),IF(REGEXMATCH(H$5,""SUN""),""WO"",""-""))))))"),"")</f>
        <v/>
      </c>
      <c r="I156" s="43" t="str">
        <f>IFERROR(__xludf.DUMMYFUNCTION("IF($A151="""","""",IF(I$5="""","""",LET(logStatus,IFNA(INDEX(DATA_LOG!$E:$E,MATCH(1,(DATA_LOG!$A:$A=$A151)*(TEXT(DATA_LOG!$B:$B,""yyyy-MM-dd"")=TEXT(DATE($P$3,MONTH(1&amp;$N$3),VALUE(LEFT(I$5,2))),""yyyy-MM-dd"")),0)),""""),IF(logStatus&lt;&gt;"""",UPPER(logStatus)"&amp;",IF(I155&lt;&gt;"""",IF(VALUE(I155)&gt;=9/24,""FD"",""HD""),IF(REGEXMATCH(I$5,""SUN""),""WO"",""-""))))))"),"")</f>
        <v/>
      </c>
      <c r="J156" s="43" t="str">
        <f>IFERROR(__xludf.DUMMYFUNCTION("IF($A151="""","""",IF(J$5="""","""",LET(logStatus,IFNA(INDEX(DATA_LOG!$E:$E,MATCH(1,(DATA_LOG!$A:$A=$A151)*(TEXT(DATA_LOG!$B:$B,""yyyy-MM-dd"")=TEXT(DATE($P$3,MONTH(1&amp;$N$3),VALUE(LEFT(J$5,2))),""yyyy-MM-dd"")),0)),""""),IF(logStatus&lt;&gt;"""",UPPER(logStatus)"&amp;",IF(J155&lt;&gt;"""",IF(VALUE(J155)&gt;=9/24,""FD"",""HD""),IF(REGEXMATCH(J$5,""SUN""),""WO"",""-""))))))"),"")</f>
        <v/>
      </c>
      <c r="K156" s="43" t="str">
        <f>IFERROR(__xludf.DUMMYFUNCTION("IF($A151="""","""",IF(K$5="""","""",LET(logStatus,IFNA(INDEX(DATA_LOG!$E:$E,MATCH(1,(DATA_LOG!$A:$A=$A151)*(TEXT(DATA_LOG!$B:$B,""yyyy-MM-dd"")=TEXT(DATE($P$3,MONTH(1&amp;$N$3),VALUE(LEFT(K$5,2))),""yyyy-MM-dd"")),0)),""""),IF(logStatus&lt;&gt;"""",UPPER(logStatus)"&amp;",IF(K155&lt;&gt;"""",IF(VALUE(K155)&gt;=9/24,""FD"",""HD""),IF(REGEXMATCH(K$5,""SUN""),""WO"",""-""))))))"),"")</f>
        <v/>
      </c>
      <c r="L156" s="43" t="str">
        <f>IFERROR(__xludf.DUMMYFUNCTION("IF($A151="""","""",IF(L$5="""","""",LET(logStatus,IFNA(INDEX(DATA_LOG!$E:$E,MATCH(1,(DATA_LOG!$A:$A=$A151)*(TEXT(DATA_LOG!$B:$B,""yyyy-MM-dd"")=TEXT(DATE($P$3,MONTH(1&amp;$N$3),VALUE(LEFT(L$5,2))),""yyyy-MM-dd"")),0)),""""),IF(logStatus&lt;&gt;"""",UPPER(logStatus)"&amp;",IF(L155&lt;&gt;"""",IF(VALUE(L155)&gt;=9/24,""FD"",""HD""),IF(REGEXMATCH(L$5,""SUN""),""WO"",""-""))))))"),"")</f>
        <v/>
      </c>
      <c r="M156" s="43" t="str">
        <f>IFERROR(__xludf.DUMMYFUNCTION("IF($A151="""","""",IF(M$5="""","""",LET(logStatus,IFNA(INDEX(DATA_LOG!$E:$E,MATCH(1,(DATA_LOG!$A:$A=$A151)*(TEXT(DATA_LOG!$B:$B,""yyyy-MM-dd"")=TEXT(DATE($P$3,MONTH(1&amp;$N$3),VALUE(LEFT(M$5,2))),""yyyy-MM-dd"")),0)),""""),IF(logStatus&lt;&gt;"""",UPPER(logStatus)"&amp;",IF(M155&lt;&gt;"""",IF(VALUE(M155)&gt;=9/24,""FD"",""HD""),IF(REGEXMATCH(M$5,""SUN""),""WO"",""-""))))))"),"")</f>
        <v/>
      </c>
      <c r="N156" s="43" t="str">
        <f>IFERROR(__xludf.DUMMYFUNCTION("IF($A151="""","""",IF(N$5="""","""",LET(logStatus,IFNA(INDEX(DATA_LOG!$E:$E,MATCH(1,(DATA_LOG!$A:$A=$A151)*(TEXT(DATA_LOG!$B:$B,""yyyy-MM-dd"")=TEXT(DATE($P$3,MONTH(1&amp;$N$3),VALUE(LEFT(N$5,2))),""yyyy-MM-dd"")),0)),""""),IF(logStatus&lt;&gt;"""",UPPER(logStatus)"&amp;",IF(N155&lt;&gt;"""",IF(VALUE(N155)&gt;=9/24,""FD"",""HD""),IF(REGEXMATCH(N$5,""SUN""),""WO"",""-""))))))"),"")</f>
        <v/>
      </c>
      <c r="O156" s="43" t="str">
        <f>IFERROR(__xludf.DUMMYFUNCTION("IF($A151="""","""",IF(O$5="""","""",LET(logStatus,IFNA(INDEX(DATA_LOG!$E:$E,MATCH(1,(DATA_LOG!$A:$A=$A151)*(TEXT(DATA_LOG!$B:$B,""yyyy-MM-dd"")=TEXT(DATE($P$3,MONTH(1&amp;$N$3),VALUE(LEFT(O$5,2))),""yyyy-MM-dd"")),0)),""""),IF(logStatus&lt;&gt;"""",UPPER(logStatus)"&amp;",IF(O155&lt;&gt;"""",IF(VALUE(O155)&gt;=9/24,""FD"",""HD""),IF(REGEXMATCH(O$5,""SUN""),""WO"",""-""))))))"),"")</f>
        <v/>
      </c>
      <c r="P156" s="43" t="str">
        <f>IFERROR(__xludf.DUMMYFUNCTION("IF($A151="""","""",IF(P$5="""","""",LET(logStatus,IFNA(INDEX(DATA_LOG!$E:$E,MATCH(1,(DATA_LOG!$A:$A=$A151)*(TEXT(DATA_LOG!$B:$B,""yyyy-MM-dd"")=TEXT(DATE($P$3,MONTH(1&amp;$N$3),VALUE(LEFT(P$5,2))),""yyyy-MM-dd"")),0)),""""),IF(logStatus&lt;&gt;"""",UPPER(logStatus)"&amp;",IF(P155&lt;&gt;"""",IF(VALUE(P155)&gt;=9/24,""FD"",""HD""),IF(REGEXMATCH(P$5,""SUN""),""WO"",""-""))))))"),"")</f>
        <v/>
      </c>
      <c r="Q156" s="43" t="str">
        <f>IFERROR(__xludf.DUMMYFUNCTION("IF($A151="""","""",IF(Q$5="""","""",LET(logStatus,IFNA(INDEX(DATA_LOG!$E:$E,MATCH(1,(DATA_LOG!$A:$A=$A151)*(TEXT(DATA_LOG!$B:$B,""yyyy-MM-dd"")=TEXT(DATE($P$3,MONTH(1&amp;$N$3),VALUE(LEFT(Q$5,2))),""yyyy-MM-dd"")),0)),""""),IF(logStatus&lt;&gt;"""",UPPER(logStatus)"&amp;",IF(Q155&lt;&gt;"""",IF(VALUE(Q155)&gt;=9/24,""FD"",""HD""),IF(REGEXMATCH(Q$5,""SUN""),""WO"",""-""))))))"),"")</f>
        <v/>
      </c>
      <c r="R156" s="43" t="str">
        <f>IFERROR(__xludf.DUMMYFUNCTION("IF($A151="""","""",IF(R$5="""","""",LET(logStatus,IFNA(INDEX(DATA_LOG!$E:$E,MATCH(1,(DATA_LOG!$A:$A=$A151)*(TEXT(DATA_LOG!$B:$B,""yyyy-MM-dd"")=TEXT(DATE($P$3,MONTH(1&amp;$N$3),VALUE(LEFT(R$5,2))),""yyyy-MM-dd"")),0)),""""),IF(logStatus&lt;&gt;"""",UPPER(logStatus)"&amp;",IF(R155&lt;&gt;"""",IF(VALUE(R155)&gt;=9/24,""FD"",""HD""),IF(REGEXMATCH(R$5,""SUN""),""WO"",""-""))))))"),"")</f>
        <v/>
      </c>
      <c r="S156" s="43" t="str">
        <f>IFERROR(__xludf.DUMMYFUNCTION("IF($A151="""","""",IF(S$5="""","""",LET(logStatus,IFNA(INDEX(DATA_LOG!$E:$E,MATCH(1,(DATA_LOG!$A:$A=$A151)*(TEXT(DATA_LOG!$B:$B,""yyyy-MM-dd"")=TEXT(DATE($P$3,MONTH(1&amp;$N$3),VALUE(LEFT(S$5,2))),""yyyy-MM-dd"")),0)),""""),IF(logStatus&lt;&gt;"""",UPPER(logStatus)"&amp;",IF(S155&lt;&gt;"""",IF(VALUE(S155)&gt;=9/24,""FD"",""HD""),IF(REGEXMATCH(S$5,""SUN""),""WO"",""-""))))))"),"")</f>
        <v/>
      </c>
      <c r="T156" s="43" t="str">
        <f>IFERROR(__xludf.DUMMYFUNCTION("IF($A151="""","""",IF(T$5="""","""",LET(logStatus,IFNA(INDEX(DATA_LOG!$E:$E,MATCH(1,(DATA_LOG!$A:$A=$A151)*(TEXT(DATA_LOG!$B:$B,""yyyy-MM-dd"")=TEXT(DATE($P$3,MONTH(1&amp;$N$3),VALUE(LEFT(T$5,2))),""yyyy-MM-dd"")),0)),""""),IF(logStatus&lt;&gt;"""",UPPER(logStatus)"&amp;",IF(T155&lt;&gt;"""",IF(VALUE(T155)&gt;=9/24,""FD"",""HD""),IF(REGEXMATCH(T$5,""SUN""),""WO"",""-""))))))"),"")</f>
        <v/>
      </c>
      <c r="U156" s="43" t="str">
        <f>IFERROR(__xludf.DUMMYFUNCTION("IF($A151="""","""",IF(U$5="""","""",LET(logStatus,IFNA(INDEX(DATA_LOG!$E:$E,MATCH(1,(DATA_LOG!$A:$A=$A151)*(TEXT(DATA_LOG!$B:$B,""yyyy-MM-dd"")=TEXT(DATE($P$3,MONTH(1&amp;$N$3),VALUE(LEFT(U$5,2))),""yyyy-MM-dd"")),0)),""""),IF(logStatus&lt;&gt;"""",UPPER(logStatus)"&amp;",IF(U155&lt;&gt;"""",IF(VALUE(U155)&gt;=9/24,""FD"",""HD""),IF(REGEXMATCH(U$5,""SUN""),""WO"",""-""))))))"),"")</f>
        <v/>
      </c>
      <c r="V156" s="43" t="str">
        <f>IFERROR(__xludf.DUMMYFUNCTION("IF($A151="""","""",IF(V$5="""","""",LET(logStatus,IFNA(INDEX(DATA_LOG!$E:$E,MATCH(1,(DATA_LOG!$A:$A=$A151)*(TEXT(DATA_LOG!$B:$B,""yyyy-MM-dd"")=TEXT(DATE($P$3,MONTH(1&amp;$N$3),VALUE(LEFT(V$5,2))),""yyyy-MM-dd"")),0)),""""),IF(logStatus&lt;&gt;"""",UPPER(logStatus)"&amp;",IF(V155&lt;&gt;"""",IF(VALUE(V155)&gt;=9/24,""FD"",""HD""),IF(REGEXMATCH(V$5,""SUN""),""WO"",""-""))))))"),"")</f>
        <v/>
      </c>
      <c r="W156" s="43" t="str">
        <f>IFERROR(__xludf.DUMMYFUNCTION("IF($A151="""","""",IF(W$5="""","""",LET(logStatus,IFNA(INDEX(DATA_LOG!$E:$E,MATCH(1,(DATA_LOG!$A:$A=$A151)*(TEXT(DATA_LOG!$B:$B,""yyyy-MM-dd"")=TEXT(DATE($P$3,MONTH(1&amp;$N$3),VALUE(LEFT(W$5,2))),""yyyy-MM-dd"")),0)),""""),IF(logStatus&lt;&gt;"""",UPPER(logStatus)"&amp;",IF(W155&lt;&gt;"""",IF(VALUE(W155)&gt;=9/24,""FD"",""HD""),IF(REGEXMATCH(W$5,""SUN""),""WO"",""-""))))))"),"")</f>
        <v/>
      </c>
      <c r="X156" s="43" t="str">
        <f>IFERROR(__xludf.DUMMYFUNCTION("IF($A151="""","""",IF(X$5="""","""",LET(logStatus,IFNA(INDEX(DATA_LOG!$E:$E,MATCH(1,(DATA_LOG!$A:$A=$A151)*(TEXT(DATA_LOG!$B:$B,""yyyy-MM-dd"")=TEXT(DATE($P$3,MONTH(1&amp;$N$3),VALUE(LEFT(X$5,2))),""yyyy-MM-dd"")),0)),""""),IF(logStatus&lt;&gt;"""",UPPER(logStatus)"&amp;",IF(X155&lt;&gt;"""",IF(VALUE(X155)&gt;=9/24,""FD"",""HD""),IF(REGEXMATCH(X$5,""SUN""),""WO"",""-""))))))"),"")</f>
        <v/>
      </c>
      <c r="Y156" s="43" t="str">
        <f>IFERROR(__xludf.DUMMYFUNCTION("IF($A151="""","""",IF(Y$5="""","""",LET(logStatus,IFNA(INDEX(DATA_LOG!$E:$E,MATCH(1,(DATA_LOG!$A:$A=$A151)*(TEXT(DATA_LOG!$B:$B,""yyyy-MM-dd"")=TEXT(DATE($P$3,MONTH(1&amp;$N$3),VALUE(LEFT(Y$5,2))),""yyyy-MM-dd"")),0)),""""),IF(logStatus&lt;&gt;"""",UPPER(logStatus)"&amp;",IF(Y155&lt;&gt;"""",IF(VALUE(Y155)&gt;=9/24,""FD"",""HD""),IF(REGEXMATCH(Y$5,""SUN""),""WO"",""-""))))))"),"")</f>
        <v/>
      </c>
      <c r="Z156" s="43" t="str">
        <f>IFERROR(__xludf.DUMMYFUNCTION("IF($A151="""","""",IF(Z$5="""","""",LET(logStatus,IFNA(INDEX(DATA_LOG!$E:$E,MATCH(1,(DATA_LOG!$A:$A=$A151)*(TEXT(DATA_LOG!$B:$B,""yyyy-MM-dd"")=TEXT(DATE($P$3,MONTH(1&amp;$N$3),VALUE(LEFT(Z$5,2))),""yyyy-MM-dd"")),0)),""""),IF(logStatus&lt;&gt;"""",UPPER(logStatus)"&amp;",IF(Z155&lt;&gt;"""",IF(VALUE(Z155)&gt;=9/24,""FD"",""HD""),IF(REGEXMATCH(Z$5,""SUN""),""WO"",""-""))))))"),"")</f>
        <v/>
      </c>
      <c r="AA156" s="43" t="str">
        <f>IFERROR(__xludf.DUMMYFUNCTION("IF($A151="""","""",IF(AA$5="""","""",LET(logStatus,IFNA(INDEX(DATA_LOG!$E:$E,MATCH(1,(DATA_LOG!$A:$A=$A151)*(TEXT(DATA_LOG!$B:$B,""yyyy-MM-dd"")=TEXT(DATE($P$3,MONTH(1&amp;$N$3),VALUE(LEFT(AA$5,2))),""yyyy-MM-dd"")),0)),""""),IF(logStatus&lt;&gt;"""",UPPER(logStatu"&amp;"s),IF(AA155&lt;&gt;"""",IF(VALUE(AA155)&gt;=9/24,""FD"",""HD""),IF(REGEXMATCH(AA$5,""SUN""),""WO"",""-""))))))"),"")</f>
        <v/>
      </c>
      <c r="AB156" s="43" t="str">
        <f>IFERROR(__xludf.DUMMYFUNCTION("IF($A151="""","""",IF(AB$5="""","""",LET(logStatus,IFNA(INDEX(DATA_LOG!$E:$E,MATCH(1,(DATA_LOG!$A:$A=$A151)*(TEXT(DATA_LOG!$B:$B,""yyyy-MM-dd"")=TEXT(DATE($P$3,MONTH(1&amp;$N$3),VALUE(LEFT(AB$5,2))),""yyyy-MM-dd"")),0)),""""),IF(logStatus&lt;&gt;"""",UPPER(logStatu"&amp;"s),IF(AB155&lt;&gt;"""",IF(VALUE(AB155)&gt;=9/24,""FD"",""HD""),IF(REGEXMATCH(AB$5,""SUN""),""WO"",""-""))))))"),"")</f>
        <v/>
      </c>
      <c r="AC156" s="43" t="str">
        <f>IFERROR(__xludf.DUMMYFUNCTION("IF($A151="""","""",IF(AC$5="""","""",LET(logStatus,IFNA(INDEX(DATA_LOG!$E:$E,MATCH(1,(DATA_LOG!$A:$A=$A151)*(TEXT(DATA_LOG!$B:$B,""yyyy-MM-dd"")=TEXT(DATE($P$3,MONTH(1&amp;$N$3),VALUE(LEFT(AC$5,2))),""yyyy-MM-dd"")),0)),""""),IF(logStatus&lt;&gt;"""",UPPER(logStatu"&amp;"s),IF(AC155&lt;&gt;"""",IF(VALUE(AC155)&gt;=9/24,""FD"",""HD""),IF(REGEXMATCH(AC$5,""SUN""),""WO"",""-""))))))"),"")</f>
        <v/>
      </c>
      <c r="AD156" s="43" t="str">
        <f>IFERROR(__xludf.DUMMYFUNCTION("IF($A151="""","""",IF(AD$5="""","""",LET(logStatus,IFNA(INDEX(DATA_LOG!$E:$E,MATCH(1,(DATA_LOG!$A:$A=$A151)*(TEXT(DATA_LOG!$B:$B,""yyyy-MM-dd"")=TEXT(DATE($P$3,MONTH(1&amp;$N$3),VALUE(LEFT(AD$5,2))),""yyyy-MM-dd"")),0)),""""),IF(logStatus&lt;&gt;"""",UPPER(logStatu"&amp;"s),IF(AD155&lt;&gt;"""",IF(VALUE(AD155)&gt;=9/24,""FD"",""HD""),IF(REGEXMATCH(AD$5,""SUN""),""WO"",""-""))))))"),"")</f>
        <v/>
      </c>
      <c r="AE156" s="43" t="str">
        <f>IFERROR(__xludf.DUMMYFUNCTION("IF($A151="""","""",IF(AE$5="""","""",LET(logStatus,IFNA(INDEX(DATA_LOG!$E:$E,MATCH(1,(DATA_LOG!$A:$A=$A151)*(TEXT(DATA_LOG!$B:$B,""yyyy-MM-dd"")=TEXT(DATE($P$3,MONTH(1&amp;$N$3),VALUE(LEFT(AE$5,2))),""yyyy-MM-dd"")),0)),""""),IF(logStatus&lt;&gt;"""",UPPER(logStatu"&amp;"s),IF(AE155&lt;&gt;"""",IF(VALUE(AE155)&gt;=9/24,""FD"",""HD""),IF(REGEXMATCH(AE$5,""SUN""),""WO"",""-""))))))"),"")</f>
        <v/>
      </c>
      <c r="AF156" s="43" t="str">
        <f>IFERROR(__xludf.DUMMYFUNCTION("IF($A151="""","""",IF(AF$5="""","""",LET(logStatus,IFNA(INDEX(DATA_LOG!$E:$E,MATCH(1,(DATA_LOG!$A:$A=$A151)*(TEXT(DATA_LOG!$B:$B,""yyyy-MM-dd"")=TEXT(DATE($P$3,MONTH(1&amp;$N$3),VALUE(LEFT(AF$5,2))),""yyyy-MM-dd"")),0)),""""),IF(logStatus&lt;&gt;"""",UPPER(logStatu"&amp;"s),IF(AF155&lt;&gt;"""",IF(VALUE(AF155)&gt;=9/24,""FD"",""HD""),IF(REGEXMATCH(AF$5,""SUN""),""WO"",""-""))))))"),"")</f>
        <v/>
      </c>
    </row>
    <row r="157">
      <c r="A157" s="44"/>
    </row>
    <row r="158">
      <c r="A158" s="25" t="str">
        <f t="array" ref="A158">INDEX(EMPLOYEE_LIST!$A:$A,INT((ROW()-4)/7)+2)</f>
        <v/>
      </c>
      <c r="B158" s="26"/>
      <c r="C158" s="27"/>
      <c r="D158" s="28" t="str">
        <f>IF(A158="", "", IFERROR(VLOOKUP(A158, EMPLOYEE_LIST!$A:$H, 2, FALSE), ""))</f>
        <v/>
      </c>
      <c r="E158" s="26"/>
      <c r="F158" s="26"/>
      <c r="G158" s="27"/>
      <c r="H158" s="29" t="str">
        <f>IF(A158="", "", IFERROR(VLOOKUP(A158, EMPLOYEE_LIST!$A:$H, 3, FALSE), ""))</f>
        <v/>
      </c>
      <c r="I158" s="26"/>
      <c r="J158" s="26"/>
      <c r="K158" s="27"/>
      <c r="L158" s="29" t="str">
        <f>IF(A158="", "", IFERROR(VLOOKUP(A158, EMPLOYEE_LIST!$A:$H, 4, FALSE), ""))</f>
        <v/>
      </c>
      <c r="M158" s="26"/>
      <c r="N158" s="26"/>
      <c r="O158" s="27"/>
      <c r="P158" s="30" t="str">
        <f>IF($A158="", "", "Full Day: " &amp; COUNTIF(B163:AF163, "FD"))</f>
        <v/>
      </c>
      <c r="Q158" s="26"/>
      <c r="R158" s="27"/>
      <c r="S158" s="31" t="str">
        <f>IF($A158="", "", "HALF Day: " &amp; COUNTIF(B163:AF163, "HD"))</f>
        <v/>
      </c>
      <c r="T158" s="26"/>
      <c r="U158" s="27"/>
      <c r="V158" s="31" t="str">
        <f>IF($A158="", "", "ABSENT: " &amp; COUNTIF(B163:AF163, "A"))</f>
        <v/>
      </c>
      <c r="W158" s="26"/>
      <c r="X158" s="27"/>
      <c r="Y158" s="31" t="str">
        <f>IF($A158="", "", "WEEK OFF: " &amp; COUNTIF(B163:AF163, "WO"))</f>
        <v/>
      </c>
      <c r="Z158" s="26"/>
      <c r="AA158" s="27"/>
      <c r="AB158" s="31" t="str">
        <f>IF($A158="", "", "LEAVE: " &amp; COUNTIF(B163:AF163, "L"))</f>
        <v/>
      </c>
      <c r="AC158" s="27"/>
      <c r="AD158" s="31" t="str">
        <f>IF($A158="", "", "HOLIDAY: " &amp; COUNTIF(B163:AF163, "HL"))</f>
        <v/>
      </c>
      <c r="AE158" s="26"/>
      <c r="AF158" s="27"/>
    </row>
    <row r="159">
      <c r="A159" s="32" t="str">
        <f>IF($A158="", "", "DATE")</f>
        <v/>
      </c>
      <c r="B159" s="33" t="str">
        <f t="array" ref="B159">IF($A158="","",LET(mNum,MONTH(1&amp;$N$3),start,DATE($P$3,mNum,1),days,DAY(EOMONTH(start,0)),MAP(SEQUENCE(1,days,0),LAMBDA(n,UPPER(TEXT(start+n,"dd (ddd)"))))))</f>
        <v/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>
      <c r="A160" s="37" t="str">
        <f>IF($A158="", "", "IN")</f>
        <v/>
      </c>
      <c r="B160" s="39" t="str">
        <f t="array" ref="B160">IF(OR($A158="",B$5=""),"",IFNA(INDEX(DATA_LOG!$C:$C,MATCH(1,(DATA_LOG!$A:$A=$A158)*(TEXT(DATA_LOG!$B:$B,"yyyy-MM-dd")=TEXT(DATE($P$3,MONTH(1&amp;$N$3),VALUE(LEFT(B$5,2))),"yyyy-MM-dd")),0)),""))</f>
        <v/>
      </c>
      <c r="C160" s="39" t="str">
        <f t="array" ref="C160">IF(OR($A158="",C$5=""),"",IFNA(INDEX(DATA_LOG!$C:$C,MATCH(1,(DATA_LOG!$A:$A=$A158)*(TEXT(DATA_LOG!$B:$B,"yyyy-MM-dd")=TEXT(DATE($P$3,MONTH(1&amp;$N$3),VALUE(LEFT(C$5,2))),"yyyy-MM-dd")),0)),""))</f>
        <v/>
      </c>
      <c r="D160" s="39" t="str">
        <f t="array" ref="D160">IF(OR($A158="",D$5=""),"",IFNA(INDEX(DATA_LOG!$C:$C,MATCH(1,(DATA_LOG!$A:$A=$A158)*(TEXT(DATA_LOG!$B:$B,"yyyy-MM-dd")=TEXT(DATE($P$3,MONTH(1&amp;$N$3),VALUE(LEFT(D$5,2))),"yyyy-MM-dd")),0)),""))</f>
        <v/>
      </c>
      <c r="E160" s="39" t="str">
        <f t="array" ref="E160">IF(OR($A158="",E$5=""),"",IFNA(INDEX(DATA_LOG!$C:$C,MATCH(1,(DATA_LOG!$A:$A=$A158)*(TEXT(DATA_LOG!$B:$B,"yyyy-MM-dd")=TEXT(DATE($P$3,MONTH(1&amp;$N$3),VALUE(LEFT(E$5,2))),"yyyy-MM-dd")),0)),""))</f>
        <v/>
      </c>
      <c r="F160" s="39" t="str">
        <f t="array" ref="F160">IF(OR($A158="",F$5=""),"",IFNA(INDEX(DATA_LOG!$C:$C,MATCH(1,(DATA_LOG!$A:$A=$A158)*(TEXT(DATA_LOG!$B:$B,"yyyy-MM-dd")=TEXT(DATE($P$3,MONTH(1&amp;$N$3),VALUE(LEFT(F$5,2))),"yyyy-MM-dd")),0)),""))</f>
        <v/>
      </c>
      <c r="G160" s="39" t="str">
        <f t="array" ref="G160">IF(OR($A158="",G$5=""),"",IFNA(INDEX(DATA_LOG!$C:$C,MATCH(1,(DATA_LOG!$A:$A=$A158)*(TEXT(DATA_LOG!$B:$B,"yyyy-MM-dd")=TEXT(DATE($P$3,MONTH(1&amp;$N$3),VALUE(LEFT(G$5,2))),"yyyy-MM-dd")),0)),""))</f>
        <v/>
      </c>
      <c r="H160" s="39" t="str">
        <f t="array" ref="H160">IF(OR($A158="",H$5=""),"",IFNA(INDEX(DATA_LOG!$C:$C,MATCH(1,(DATA_LOG!$A:$A=$A158)*(TEXT(DATA_LOG!$B:$B,"yyyy-MM-dd")=TEXT(DATE($P$3,MONTH(1&amp;$N$3),VALUE(LEFT(H$5,2))),"yyyy-MM-dd")),0)),""))</f>
        <v/>
      </c>
      <c r="I160" s="39" t="str">
        <f t="array" ref="I160">IF(OR($A158="",I$5=""),"",IFNA(INDEX(DATA_LOG!$C:$C,MATCH(1,(DATA_LOG!$A:$A=$A158)*(TEXT(DATA_LOG!$B:$B,"yyyy-MM-dd")=TEXT(DATE($P$3,MONTH(1&amp;$N$3),VALUE(LEFT(I$5,2))),"yyyy-MM-dd")),0)),""))</f>
        <v/>
      </c>
      <c r="J160" s="39" t="str">
        <f t="array" ref="J160">IF(OR($A158="",J$5=""),"",IFNA(INDEX(DATA_LOG!$C:$C,MATCH(1,(DATA_LOG!$A:$A=$A158)*(TEXT(DATA_LOG!$B:$B,"yyyy-MM-dd")=TEXT(DATE($P$3,MONTH(1&amp;$N$3),VALUE(LEFT(J$5,2))),"yyyy-MM-dd")),0)),""))</f>
        <v/>
      </c>
      <c r="K160" s="39" t="str">
        <f t="array" ref="K160">IF(OR($A158="",K$5=""),"",IFNA(INDEX(DATA_LOG!$C:$C,MATCH(1,(DATA_LOG!$A:$A=$A158)*(TEXT(DATA_LOG!$B:$B,"yyyy-MM-dd")=TEXT(DATE($P$3,MONTH(1&amp;$N$3),VALUE(LEFT(K$5,2))),"yyyy-MM-dd")),0)),""))</f>
        <v/>
      </c>
      <c r="L160" s="39" t="str">
        <f t="array" ref="L160">IF(OR($A158="",L$5=""),"",IFNA(INDEX(DATA_LOG!$C:$C,MATCH(1,(DATA_LOG!$A:$A=$A158)*(TEXT(DATA_LOG!$B:$B,"yyyy-MM-dd")=TEXT(DATE($P$3,MONTH(1&amp;$N$3),VALUE(LEFT(L$5,2))),"yyyy-MM-dd")),0)),""))</f>
        <v/>
      </c>
      <c r="M160" s="39" t="str">
        <f t="array" ref="M160">IF(OR($A158="",M$5=""),"",IFNA(INDEX(DATA_LOG!$C:$C,MATCH(1,(DATA_LOG!$A:$A=$A158)*(TEXT(DATA_LOG!$B:$B,"yyyy-MM-dd")=TEXT(DATE($P$3,MONTH(1&amp;$N$3),VALUE(LEFT(M$5,2))),"yyyy-MM-dd")),0)),""))</f>
        <v/>
      </c>
      <c r="N160" s="39" t="str">
        <f t="array" ref="N160">IF(OR($A158="",N$5=""),"",IFNA(INDEX(DATA_LOG!$C:$C,MATCH(1,(DATA_LOG!$A:$A=$A158)*(TEXT(DATA_LOG!$B:$B,"yyyy-MM-dd")=TEXT(DATE($P$3,MONTH(1&amp;$N$3),VALUE(LEFT(N$5,2))),"yyyy-MM-dd")),0)),""))</f>
        <v/>
      </c>
      <c r="O160" s="39" t="str">
        <f t="array" ref="O160">IF(OR($A158="",O$5=""),"",IFNA(INDEX(DATA_LOG!$C:$C,MATCH(1,(DATA_LOG!$A:$A=$A158)*(TEXT(DATA_LOG!$B:$B,"yyyy-MM-dd")=TEXT(DATE($P$3,MONTH(1&amp;$N$3),VALUE(LEFT(O$5,2))),"yyyy-MM-dd")),0)),""))</f>
        <v/>
      </c>
      <c r="P160" s="39" t="str">
        <f t="array" ref="P160">IF(OR($A158="",P$5=""),"",IFNA(INDEX(DATA_LOG!$C:$C,MATCH(1,(DATA_LOG!$A:$A=$A158)*(TEXT(DATA_LOG!$B:$B,"yyyy-MM-dd")=TEXT(DATE($P$3,MONTH(1&amp;$N$3),VALUE(LEFT(P$5,2))),"yyyy-MM-dd")),0)),""))</f>
        <v/>
      </c>
      <c r="Q160" s="39" t="str">
        <f t="array" ref="Q160">IF(OR($A158="",Q$5=""),"",IFNA(INDEX(DATA_LOG!$C:$C,MATCH(1,(DATA_LOG!$A:$A=$A158)*(TEXT(DATA_LOG!$B:$B,"yyyy-MM-dd")=TEXT(DATE($P$3,MONTH(1&amp;$N$3),VALUE(LEFT(Q$5,2))),"yyyy-MM-dd")),0)),""))</f>
        <v/>
      </c>
      <c r="R160" s="39" t="str">
        <f t="array" ref="R160">IF(OR($A158="",R$5=""),"",IFNA(INDEX(DATA_LOG!$C:$C,MATCH(1,(DATA_LOG!$A:$A=$A158)*(TEXT(DATA_LOG!$B:$B,"yyyy-MM-dd")=TEXT(DATE($P$3,MONTH(1&amp;$N$3),VALUE(LEFT(R$5,2))),"yyyy-MM-dd")),0)),""))</f>
        <v/>
      </c>
      <c r="S160" s="39" t="str">
        <f t="array" ref="S160">IF(OR($A158="",S$5=""),"",IFNA(INDEX(DATA_LOG!$C:$C,MATCH(1,(DATA_LOG!$A:$A=$A158)*(TEXT(DATA_LOG!$B:$B,"yyyy-MM-dd")=TEXT(DATE($P$3,MONTH(1&amp;$N$3),VALUE(LEFT(S$5,2))),"yyyy-MM-dd")),0)),""))</f>
        <v/>
      </c>
      <c r="T160" s="39" t="str">
        <f t="array" ref="T160">IF(OR($A158="",T$5=""),"",IFNA(INDEX(DATA_LOG!$C:$C,MATCH(1,(DATA_LOG!$A:$A=$A158)*(TEXT(DATA_LOG!$B:$B,"yyyy-MM-dd")=TEXT(DATE($P$3,MONTH(1&amp;$N$3),VALUE(LEFT(T$5,2))),"yyyy-MM-dd")),0)),""))</f>
        <v/>
      </c>
      <c r="U160" s="39" t="str">
        <f t="array" ref="U160">IF(OR($A158="",U$5=""),"",IFNA(INDEX(DATA_LOG!$C:$C,MATCH(1,(DATA_LOG!$A:$A=$A158)*(TEXT(DATA_LOG!$B:$B,"yyyy-MM-dd")=TEXT(DATE($P$3,MONTH(1&amp;$N$3),VALUE(LEFT(U$5,2))),"yyyy-MM-dd")),0)),""))</f>
        <v/>
      </c>
      <c r="V160" s="39" t="str">
        <f t="array" ref="V160">IF(OR($A158="",V$5=""),"",IFNA(INDEX(DATA_LOG!$C:$C,MATCH(1,(DATA_LOG!$A:$A=$A158)*(TEXT(DATA_LOG!$B:$B,"yyyy-MM-dd")=TEXT(DATE($P$3,MONTH(1&amp;$N$3),VALUE(LEFT(V$5,2))),"yyyy-MM-dd")),0)),""))</f>
        <v/>
      </c>
      <c r="W160" s="39" t="str">
        <f t="array" ref="W160">IF(OR($A158="",W$5=""),"",IFNA(INDEX(DATA_LOG!$C:$C,MATCH(1,(DATA_LOG!$A:$A=$A158)*(TEXT(DATA_LOG!$B:$B,"yyyy-MM-dd")=TEXT(DATE($P$3,MONTH(1&amp;$N$3),VALUE(LEFT(W$5,2))),"yyyy-MM-dd")),0)),""))</f>
        <v/>
      </c>
      <c r="X160" s="39" t="str">
        <f t="array" ref="X160">IF(OR($A158="",X$5=""),"",IFNA(INDEX(DATA_LOG!$C:$C,MATCH(1,(DATA_LOG!$A:$A=$A158)*(TEXT(DATA_LOG!$B:$B,"yyyy-MM-dd")=TEXT(DATE($P$3,MONTH(1&amp;$N$3),VALUE(LEFT(X$5,2))),"yyyy-MM-dd")),0)),""))</f>
        <v/>
      </c>
      <c r="Y160" s="39" t="str">
        <f t="array" ref="Y160">IF(OR($A158="",Y$5=""),"",IFNA(INDEX(DATA_LOG!$C:$C,MATCH(1,(DATA_LOG!$A:$A=$A158)*(TEXT(DATA_LOG!$B:$B,"yyyy-MM-dd")=TEXT(DATE($P$3,MONTH(1&amp;$N$3),VALUE(LEFT(Y$5,2))),"yyyy-MM-dd")),0)),""))</f>
        <v/>
      </c>
      <c r="Z160" s="39" t="str">
        <f t="array" ref="Z160">IF(OR($A158="",Z$5=""),"",IFNA(INDEX(DATA_LOG!$C:$C,MATCH(1,(DATA_LOG!$A:$A=$A158)*(TEXT(DATA_LOG!$B:$B,"yyyy-MM-dd")=TEXT(DATE($P$3,MONTH(1&amp;$N$3),VALUE(LEFT(Z$5,2))),"yyyy-MM-dd")),0)),""))</f>
        <v/>
      </c>
      <c r="AA160" s="39" t="str">
        <f t="array" ref="AA160">IF(OR($A158="",AA$5=""),"",IFNA(INDEX(DATA_LOG!$C:$C,MATCH(1,(DATA_LOG!$A:$A=$A158)*(TEXT(DATA_LOG!$B:$B,"yyyy-MM-dd")=TEXT(DATE($P$3,MONTH(1&amp;$N$3),VALUE(LEFT(AA$5,2))),"yyyy-MM-dd")),0)),""))</f>
        <v/>
      </c>
      <c r="AB160" s="39" t="str">
        <f t="array" ref="AB160">IF(OR($A158="",AB$5=""),"",IFNA(INDEX(DATA_LOG!$C:$C,MATCH(1,(DATA_LOG!$A:$A=$A158)*(TEXT(DATA_LOG!$B:$B,"yyyy-MM-dd")=TEXT(DATE($P$3,MONTH(1&amp;$N$3),VALUE(LEFT(AB$5,2))),"yyyy-MM-dd")),0)),""))</f>
        <v/>
      </c>
      <c r="AC160" s="39" t="str">
        <f t="array" ref="AC160">IF(OR($A158="",AC$5=""),"",IFNA(INDEX(DATA_LOG!$C:$C,MATCH(1,(DATA_LOG!$A:$A=$A158)*(TEXT(DATA_LOG!$B:$B,"yyyy-MM-dd")=TEXT(DATE($P$3,MONTH(1&amp;$N$3),VALUE(LEFT(AC$5,2))),"yyyy-MM-dd")),0)),""))</f>
        <v/>
      </c>
      <c r="AD160" s="39" t="str">
        <f t="array" ref="AD160">IF(OR($A158="",AD$5=""),"",IFNA(INDEX(DATA_LOG!$C:$C,MATCH(1,(DATA_LOG!$A:$A=$A158)*(TEXT(DATA_LOG!$B:$B,"yyyy-MM-dd")=TEXT(DATE($P$3,MONTH(1&amp;$N$3),VALUE(LEFT(AD$5,2))),"yyyy-MM-dd")),0)),""))</f>
        <v/>
      </c>
      <c r="AE160" s="39" t="str">
        <f t="array" ref="AE160">IF(OR($A158="",AE$5=""),"",IFNA(INDEX(DATA_LOG!$C:$C,MATCH(1,(DATA_LOG!$A:$A=$A158)*(TEXT(DATA_LOG!$B:$B,"yyyy-MM-dd")=TEXT(DATE($P$3,MONTH(1&amp;$N$3),VALUE(LEFT(AE$5,2))),"yyyy-MM-dd")),0)),""))</f>
        <v/>
      </c>
      <c r="AF160" s="39" t="str">
        <f t="array" ref="AF160">IF(OR($A158="",AF$5=""),"",IFNA(INDEX(DATA_LOG!$C:$C,MATCH(1,(DATA_LOG!$A:$A=$A158)*(TEXT(DATA_LOG!$B:$B,"yyyy-MM-dd")=TEXT(DATE($P$3,MONTH(1&amp;$N$3),VALUE(LEFT(AF$5,2))),"yyyy-MM-dd")),0)),""))</f>
        <v/>
      </c>
    </row>
    <row r="161">
      <c r="A161" s="37" t="str">
        <f>IF($A158="", "", "OUT")</f>
        <v/>
      </c>
      <c r="B161" s="39" t="str">
        <f t="array" ref="B161">IF(OR($A158="",B$5=""),"",IFNA(INDEX(DATA_LOG!$D:$D,MATCH(1,(DATA_LOG!$A:$A=$A158)*(TEXT(DATA_LOG!$B:$B,"yyyy-MM-dd")=TEXT(DATE($P$3,MONTH(1&amp;$N$3),VALUE(LEFT(B$5,2))),"yyyy-MM-dd")),0)),""))</f>
        <v/>
      </c>
      <c r="C161" s="39" t="str">
        <f t="array" ref="C161">IF(OR($A158="",C$5=""),"",IFNA(INDEX(DATA_LOG!$D:$D,MATCH(1,(DATA_LOG!$A:$A=$A158)*(TEXT(DATA_LOG!$B:$B,"yyyy-MM-dd")=TEXT(DATE($P$3,MONTH(1&amp;$N$3),VALUE(LEFT(C$5,2))),"yyyy-MM-dd")),0)),""))</f>
        <v/>
      </c>
      <c r="D161" s="39" t="str">
        <f t="array" ref="D161">IF(OR($A158="",D$5=""),"",IFNA(INDEX(DATA_LOG!$D:$D,MATCH(1,(DATA_LOG!$A:$A=$A158)*(TEXT(DATA_LOG!$B:$B,"yyyy-MM-dd")=TEXT(DATE($P$3,MONTH(1&amp;$N$3),VALUE(LEFT(D$5,2))),"yyyy-MM-dd")),0)),""))</f>
        <v/>
      </c>
      <c r="E161" s="39" t="str">
        <f t="array" ref="E161">IF(OR($A158="",E$5=""),"",IFNA(INDEX(DATA_LOG!$D:$D,MATCH(1,(DATA_LOG!$A:$A=$A158)*(TEXT(DATA_LOG!$B:$B,"yyyy-MM-dd")=TEXT(DATE($P$3,MONTH(1&amp;$N$3),VALUE(LEFT(E$5,2))),"yyyy-MM-dd")),0)),""))</f>
        <v/>
      </c>
      <c r="F161" s="39" t="str">
        <f t="array" ref="F161">IF(OR($A158="",F$5=""),"",IFNA(INDEX(DATA_LOG!$D:$D,MATCH(1,(DATA_LOG!$A:$A=$A158)*(TEXT(DATA_LOG!$B:$B,"yyyy-MM-dd")=TEXT(DATE($P$3,MONTH(1&amp;$N$3),VALUE(LEFT(F$5,2))),"yyyy-MM-dd")),0)),""))</f>
        <v/>
      </c>
      <c r="G161" s="39" t="str">
        <f t="array" ref="G161">IF(OR($A158="",G$5=""),"",IFNA(INDEX(DATA_LOG!$D:$D,MATCH(1,(DATA_LOG!$A:$A=$A158)*(TEXT(DATA_LOG!$B:$B,"yyyy-MM-dd")=TEXT(DATE($P$3,MONTH(1&amp;$N$3),VALUE(LEFT(G$5,2))),"yyyy-MM-dd")),0)),""))</f>
        <v/>
      </c>
      <c r="H161" s="39" t="str">
        <f t="array" ref="H161">IF(OR($A158="",H$5=""),"",IFNA(INDEX(DATA_LOG!$D:$D,MATCH(1,(DATA_LOG!$A:$A=$A158)*(TEXT(DATA_LOG!$B:$B,"yyyy-MM-dd")=TEXT(DATE($P$3,MONTH(1&amp;$N$3),VALUE(LEFT(H$5,2))),"yyyy-MM-dd")),0)),""))</f>
        <v/>
      </c>
      <c r="I161" s="39" t="str">
        <f t="array" ref="I161">IF(OR($A158="",I$5=""),"",IFNA(INDEX(DATA_LOG!$D:$D,MATCH(1,(DATA_LOG!$A:$A=$A158)*(TEXT(DATA_LOG!$B:$B,"yyyy-MM-dd")=TEXT(DATE($P$3,MONTH(1&amp;$N$3),VALUE(LEFT(I$5,2))),"yyyy-MM-dd")),0)),""))</f>
        <v/>
      </c>
      <c r="J161" s="39" t="str">
        <f t="array" ref="J161">IF(OR($A158="",J$5=""),"",IFNA(INDEX(DATA_LOG!$D:$D,MATCH(1,(DATA_LOG!$A:$A=$A158)*(TEXT(DATA_LOG!$B:$B,"yyyy-MM-dd")=TEXT(DATE($P$3,MONTH(1&amp;$N$3),VALUE(LEFT(J$5,2))),"yyyy-MM-dd")),0)),""))</f>
        <v/>
      </c>
      <c r="K161" s="39" t="str">
        <f t="array" ref="K161">IF(OR($A158="",K$5=""),"",IFNA(INDEX(DATA_LOG!$D:$D,MATCH(1,(DATA_LOG!$A:$A=$A158)*(TEXT(DATA_LOG!$B:$B,"yyyy-MM-dd")=TEXT(DATE($P$3,MONTH(1&amp;$N$3),VALUE(LEFT(K$5,2))),"yyyy-MM-dd")),0)),""))</f>
        <v/>
      </c>
      <c r="L161" s="39" t="str">
        <f t="array" ref="L161">IF(OR($A158="",L$5=""),"",IFNA(INDEX(DATA_LOG!$D:$D,MATCH(1,(DATA_LOG!$A:$A=$A158)*(TEXT(DATA_LOG!$B:$B,"yyyy-MM-dd")=TEXT(DATE($P$3,MONTH(1&amp;$N$3),VALUE(LEFT(L$5,2))),"yyyy-MM-dd")),0)),""))</f>
        <v/>
      </c>
      <c r="M161" s="39" t="str">
        <f t="array" ref="M161">IF(OR($A158="",M$5=""),"",IFNA(INDEX(DATA_LOG!$D:$D,MATCH(1,(DATA_LOG!$A:$A=$A158)*(TEXT(DATA_LOG!$B:$B,"yyyy-MM-dd")=TEXT(DATE($P$3,MONTH(1&amp;$N$3),VALUE(LEFT(M$5,2))),"yyyy-MM-dd")),0)),""))</f>
        <v/>
      </c>
      <c r="N161" s="39" t="str">
        <f t="array" ref="N161">IF(OR($A158="",N$5=""),"",IFNA(INDEX(DATA_LOG!$D:$D,MATCH(1,(DATA_LOG!$A:$A=$A158)*(TEXT(DATA_LOG!$B:$B,"yyyy-MM-dd")=TEXT(DATE($P$3,MONTH(1&amp;$N$3),VALUE(LEFT(N$5,2))),"yyyy-MM-dd")),0)),""))</f>
        <v/>
      </c>
      <c r="O161" s="39" t="str">
        <f t="array" ref="O161">IF(OR($A158="",O$5=""),"",IFNA(INDEX(DATA_LOG!$D:$D,MATCH(1,(DATA_LOG!$A:$A=$A158)*(TEXT(DATA_LOG!$B:$B,"yyyy-MM-dd")=TEXT(DATE($P$3,MONTH(1&amp;$N$3),VALUE(LEFT(O$5,2))),"yyyy-MM-dd")),0)),""))</f>
        <v/>
      </c>
      <c r="P161" s="39" t="str">
        <f t="array" ref="P161">IF(OR($A158="",P$5=""),"",IFNA(INDEX(DATA_LOG!$D:$D,MATCH(1,(DATA_LOG!$A:$A=$A158)*(TEXT(DATA_LOG!$B:$B,"yyyy-MM-dd")=TEXT(DATE($P$3,MONTH(1&amp;$N$3),VALUE(LEFT(P$5,2))),"yyyy-MM-dd")),0)),""))</f>
        <v/>
      </c>
      <c r="Q161" s="39" t="str">
        <f t="array" ref="Q161">IF(OR($A158="",Q$5=""),"",IFNA(INDEX(DATA_LOG!$D:$D,MATCH(1,(DATA_LOG!$A:$A=$A158)*(TEXT(DATA_LOG!$B:$B,"yyyy-MM-dd")=TEXT(DATE($P$3,MONTH(1&amp;$N$3),VALUE(LEFT(Q$5,2))),"yyyy-MM-dd")),0)),""))</f>
        <v/>
      </c>
      <c r="R161" s="39" t="str">
        <f t="array" ref="R161">IF(OR($A158="",R$5=""),"",IFNA(INDEX(DATA_LOG!$D:$D,MATCH(1,(DATA_LOG!$A:$A=$A158)*(TEXT(DATA_LOG!$B:$B,"yyyy-MM-dd")=TEXT(DATE($P$3,MONTH(1&amp;$N$3),VALUE(LEFT(R$5,2))),"yyyy-MM-dd")),0)),""))</f>
        <v/>
      </c>
      <c r="S161" s="39" t="str">
        <f t="array" ref="S161">IF(OR($A158="",S$5=""),"",IFNA(INDEX(DATA_LOG!$D:$D,MATCH(1,(DATA_LOG!$A:$A=$A158)*(TEXT(DATA_LOG!$B:$B,"yyyy-MM-dd")=TEXT(DATE($P$3,MONTH(1&amp;$N$3),VALUE(LEFT(S$5,2))),"yyyy-MM-dd")),0)),""))</f>
        <v/>
      </c>
      <c r="T161" s="39" t="str">
        <f t="array" ref="T161">IF(OR($A158="",T$5=""),"",IFNA(INDEX(DATA_LOG!$D:$D,MATCH(1,(DATA_LOG!$A:$A=$A158)*(TEXT(DATA_LOG!$B:$B,"yyyy-MM-dd")=TEXT(DATE($P$3,MONTH(1&amp;$N$3),VALUE(LEFT(T$5,2))),"yyyy-MM-dd")),0)),""))</f>
        <v/>
      </c>
      <c r="U161" s="39" t="str">
        <f t="array" ref="U161">IF(OR($A158="",U$5=""),"",IFNA(INDEX(DATA_LOG!$D:$D,MATCH(1,(DATA_LOG!$A:$A=$A158)*(TEXT(DATA_LOG!$B:$B,"yyyy-MM-dd")=TEXT(DATE($P$3,MONTH(1&amp;$N$3),VALUE(LEFT(U$5,2))),"yyyy-MM-dd")),0)),""))</f>
        <v/>
      </c>
      <c r="V161" s="39" t="str">
        <f t="array" ref="V161">IF(OR($A158="",V$5=""),"",IFNA(INDEX(DATA_LOG!$D:$D,MATCH(1,(DATA_LOG!$A:$A=$A158)*(TEXT(DATA_LOG!$B:$B,"yyyy-MM-dd")=TEXT(DATE($P$3,MONTH(1&amp;$N$3),VALUE(LEFT(V$5,2))),"yyyy-MM-dd")),0)),""))</f>
        <v/>
      </c>
      <c r="W161" s="39" t="str">
        <f t="array" ref="W161">IF(OR($A158="",W$5=""),"",IFNA(INDEX(DATA_LOG!$D:$D,MATCH(1,(DATA_LOG!$A:$A=$A158)*(TEXT(DATA_LOG!$B:$B,"yyyy-MM-dd")=TEXT(DATE($P$3,MONTH(1&amp;$N$3),VALUE(LEFT(W$5,2))),"yyyy-MM-dd")),0)),""))</f>
        <v/>
      </c>
      <c r="X161" s="39" t="str">
        <f t="array" ref="X161">IF(OR($A158="",X$5=""),"",IFNA(INDEX(DATA_LOG!$D:$D,MATCH(1,(DATA_LOG!$A:$A=$A158)*(TEXT(DATA_LOG!$B:$B,"yyyy-MM-dd")=TEXT(DATE($P$3,MONTH(1&amp;$N$3),VALUE(LEFT(X$5,2))),"yyyy-MM-dd")),0)),""))</f>
        <v/>
      </c>
      <c r="Y161" s="39" t="str">
        <f t="array" ref="Y161">IF(OR($A158="",Y$5=""),"",IFNA(INDEX(DATA_LOG!$D:$D,MATCH(1,(DATA_LOG!$A:$A=$A158)*(TEXT(DATA_LOG!$B:$B,"yyyy-MM-dd")=TEXT(DATE($P$3,MONTH(1&amp;$N$3),VALUE(LEFT(Y$5,2))),"yyyy-MM-dd")),0)),""))</f>
        <v/>
      </c>
      <c r="Z161" s="39" t="str">
        <f t="array" ref="Z161">IF(OR($A158="",Z$5=""),"",IFNA(INDEX(DATA_LOG!$D:$D,MATCH(1,(DATA_LOG!$A:$A=$A158)*(TEXT(DATA_LOG!$B:$B,"yyyy-MM-dd")=TEXT(DATE($P$3,MONTH(1&amp;$N$3),VALUE(LEFT(Z$5,2))),"yyyy-MM-dd")),0)),""))</f>
        <v/>
      </c>
      <c r="AA161" s="39" t="str">
        <f t="array" ref="AA161">IF(OR($A158="",AA$5=""),"",IFNA(INDEX(DATA_LOG!$D:$D,MATCH(1,(DATA_LOG!$A:$A=$A158)*(TEXT(DATA_LOG!$B:$B,"yyyy-MM-dd")=TEXT(DATE($P$3,MONTH(1&amp;$N$3),VALUE(LEFT(AA$5,2))),"yyyy-MM-dd")),0)),""))</f>
        <v/>
      </c>
      <c r="AB161" s="39" t="str">
        <f t="array" ref="AB161">IF(OR($A158="",AB$5=""),"",IFNA(INDEX(DATA_LOG!$D:$D,MATCH(1,(DATA_LOG!$A:$A=$A158)*(TEXT(DATA_LOG!$B:$B,"yyyy-MM-dd")=TEXT(DATE($P$3,MONTH(1&amp;$N$3),VALUE(LEFT(AB$5,2))),"yyyy-MM-dd")),0)),""))</f>
        <v/>
      </c>
      <c r="AC161" s="39" t="str">
        <f t="array" ref="AC161">IF(OR($A158="",AC$5=""),"",IFNA(INDEX(DATA_LOG!$D:$D,MATCH(1,(DATA_LOG!$A:$A=$A158)*(TEXT(DATA_LOG!$B:$B,"yyyy-MM-dd")=TEXT(DATE($P$3,MONTH(1&amp;$N$3),VALUE(LEFT(AC$5,2))),"yyyy-MM-dd")),0)),""))</f>
        <v/>
      </c>
      <c r="AD161" s="39" t="str">
        <f t="array" ref="AD161">IF(OR($A158="",AD$5=""),"",IFNA(INDEX(DATA_LOG!$D:$D,MATCH(1,(DATA_LOG!$A:$A=$A158)*(TEXT(DATA_LOG!$B:$B,"yyyy-MM-dd")=TEXT(DATE($P$3,MONTH(1&amp;$N$3),VALUE(LEFT(AD$5,2))),"yyyy-MM-dd")),0)),""))</f>
        <v/>
      </c>
      <c r="AE161" s="39" t="str">
        <f t="array" ref="AE161">IF(OR($A158="",AE$5=""),"",IFNA(INDEX(DATA_LOG!$D:$D,MATCH(1,(DATA_LOG!$A:$A=$A158)*(TEXT(DATA_LOG!$B:$B,"yyyy-MM-dd")=TEXT(DATE($P$3,MONTH(1&amp;$N$3),VALUE(LEFT(AE$5,2))),"yyyy-MM-dd")),0)),""))</f>
        <v/>
      </c>
      <c r="AF161" s="39" t="str">
        <f t="array" ref="AF161">IF(OR($A158="",AF$5=""),"",IFNA(INDEX(DATA_LOG!$D:$D,MATCH(1,(DATA_LOG!$A:$A=$A158)*(TEXT(DATA_LOG!$B:$B,"yyyy-MM-dd")=TEXT(DATE($P$3,MONTH(1&amp;$N$3),VALUE(LEFT(AF$5,2))),"yyyy-MM-dd")),0)),""))</f>
        <v/>
      </c>
    </row>
    <row r="162">
      <c r="A162" s="40" t="str">
        <f>IF($A158="", "", "TOTAL")</f>
        <v/>
      </c>
      <c r="B162" s="41" t="str">
        <f t="shared" ref="B162:AF162" si="23">IF(AND(B160&lt;&gt;"",B161&lt;&gt;""),TEXT(MOD(B161-B160,1),"hh:mm"),"")</f>
        <v/>
      </c>
      <c r="C162" s="34" t="str">
        <f t="shared" si="23"/>
        <v/>
      </c>
      <c r="D162" s="34" t="str">
        <f t="shared" si="23"/>
        <v/>
      </c>
      <c r="E162" s="34" t="str">
        <f t="shared" si="23"/>
        <v/>
      </c>
      <c r="F162" s="34" t="str">
        <f t="shared" si="23"/>
        <v/>
      </c>
      <c r="G162" s="34" t="str">
        <f t="shared" si="23"/>
        <v/>
      </c>
      <c r="H162" s="34" t="str">
        <f t="shared" si="23"/>
        <v/>
      </c>
      <c r="I162" s="34" t="str">
        <f t="shared" si="23"/>
        <v/>
      </c>
      <c r="J162" s="34" t="str">
        <f t="shared" si="23"/>
        <v/>
      </c>
      <c r="K162" s="34" t="str">
        <f t="shared" si="23"/>
        <v/>
      </c>
      <c r="L162" s="34" t="str">
        <f t="shared" si="23"/>
        <v/>
      </c>
      <c r="M162" s="34" t="str">
        <f t="shared" si="23"/>
        <v/>
      </c>
      <c r="N162" s="34" t="str">
        <f t="shared" si="23"/>
        <v/>
      </c>
      <c r="O162" s="34" t="str">
        <f t="shared" si="23"/>
        <v/>
      </c>
      <c r="P162" s="34" t="str">
        <f t="shared" si="23"/>
        <v/>
      </c>
      <c r="Q162" s="34" t="str">
        <f t="shared" si="23"/>
        <v/>
      </c>
      <c r="R162" s="34" t="str">
        <f t="shared" si="23"/>
        <v/>
      </c>
      <c r="S162" s="34" t="str">
        <f t="shared" si="23"/>
        <v/>
      </c>
      <c r="T162" s="34" t="str">
        <f t="shared" si="23"/>
        <v/>
      </c>
      <c r="U162" s="34" t="str">
        <f t="shared" si="23"/>
        <v/>
      </c>
      <c r="V162" s="34" t="str">
        <f t="shared" si="23"/>
        <v/>
      </c>
      <c r="W162" s="34" t="str">
        <f t="shared" si="23"/>
        <v/>
      </c>
      <c r="X162" s="34" t="str">
        <f t="shared" si="23"/>
        <v/>
      </c>
      <c r="Y162" s="34" t="str">
        <f t="shared" si="23"/>
        <v/>
      </c>
      <c r="Z162" s="34" t="str">
        <f t="shared" si="23"/>
        <v/>
      </c>
      <c r="AA162" s="34" t="str">
        <f t="shared" si="23"/>
        <v/>
      </c>
      <c r="AB162" s="34" t="str">
        <f t="shared" si="23"/>
        <v/>
      </c>
      <c r="AC162" s="34" t="str">
        <f t="shared" si="23"/>
        <v/>
      </c>
      <c r="AD162" s="34" t="str">
        <f t="shared" si="23"/>
        <v/>
      </c>
      <c r="AE162" s="34" t="str">
        <f t="shared" si="23"/>
        <v/>
      </c>
      <c r="AF162" s="34" t="str">
        <f t="shared" si="23"/>
        <v/>
      </c>
    </row>
    <row r="163">
      <c r="A163" s="42" t="str">
        <f>IF($A158="", "", "STATUS")</f>
        <v/>
      </c>
      <c r="B163" s="43" t="str">
        <f>IFERROR(__xludf.DUMMYFUNCTION("IF($A158="""","""",IF(B$5="""","""",LET(logStatus,IFNA(INDEX(DATA_LOG!$E:$E,MATCH(1,(DATA_LOG!$A:$A=$A158)*(TEXT(DATA_LOG!$B:$B,""yyyy-MM-dd"")=TEXT(DATE($P$3,MONTH(1&amp;$N$3),VALUE(LEFT(B$5,2))),""yyyy-MM-dd"")),0)),""""),IF(logStatus&lt;&gt;"""",UPPER(logStatus)"&amp;",IF(B162&lt;&gt;"""",IF(VALUE(B162)&gt;=9/24,""FD"",""HD""),IF(REGEXMATCH(B$5,""SUN""),""WO"",""-""))))))"),"")</f>
        <v/>
      </c>
      <c r="C163" s="43" t="str">
        <f>IFERROR(__xludf.DUMMYFUNCTION("IF($A158="""","""",IF(C$5="""","""",LET(logStatus,IFNA(INDEX(DATA_LOG!$E:$E,MATCH(1,(DATA_LOG!$A:$A=$A158)*(TEXT(DATA_LOG!$B:$B,""yyyy-MM-dd"")=TEXT(DATE($P$3,MONTH(1&amp;$N$3),VALUE(LEFT(C$5,2))),""yyyy-MM-dd"")),0)),""""),IF(logStatus&lt;&gt;"""",UPPER(logStatus)"&amp;",IF(C162&lt;&gt;"""",IF(VALUE(C162)&gt;=9/24,""FD"",""HD""),IF(REGEXMATCH(C$5,""SUN""),""WO"",""-""))))))"),"")</f>
        <v/>
      </c>
      <c r="D163" s="43" t="str">
        <f>IFERROR(__xludf.DUMMYFUNCTION("IF($A158="""","""",IF(D$5="""","""",LET(logStatus,IFNA(INDEX(DATA_LOG!$E:$E,MATCH(1,(DATA_LOG!$A:$A=$A158)*(TEXT(DATA_LOG!$B:$B,""yyyy-MM-dd"")=TEXT(DATE($P$3,MONTH(1&amp;$N$3),VALUE(LEFT(D$5,2))),""yyyy-MM-dd"")),0)),""""),IF(logStatus&lt;&gt;"""",UPPER(logStatus)"&amp;",IF(D162&lt;&gt;"""",IF(VALUE(D162)&gt;=9/24,""FD"",""HD""),IF(REGEXMATCH(D$5,""SUN""),""WO"",""-""))))))"),"")</f>
        <v/>
      </c>
      <c r="E163" s="43" t="str">
        <f>IFERROR(__xludf.DUMMYFUNCTION("IF($A158="""","""",IF(E$5="""","""",LET(logStatus,IFNA(INDEX(DATA_LOG!$E:$E,MATCH(1,(DATA_LOG!$A:$A=$A158)*(TEXT(DATA_LOG!$B:$B,""yyyy-MM-dd"")=TEXT(DATE($P$3,MONTH(1&amp;$N$3),VALUE(LEFT(E$5,2))),""yyyy-MM-dd"")),0)),""""),IF(logStatus&lt;&gt;"""",UPPER(logStatus)"&amp;",IF(E162&lt;&gt;"""",IF(VALUE(E162)&gt;=9/24,""FD"",""HD""),IF(REGEXMATCH(E$5,""SUN""),""WO"",""-""))))))"),"")</f>
        <v/>
      </c>
      <c r="F163" s="43" t="str">
        <f>IFERROR(__xludf.DUMMYFUNCTION("IF($A158="""","""",IF(F$5="""","""",LET(logStatus,IFNA(INDEX(DATA_LOG!$E:$E,MATCH(1,(DATA_LOG!$A:$A=$A158)*(TEXT(DATA_LOG!$B:$B,""yyyy-MM-dd"")=TEXT(DATE($P$3,MONTH(1&amp;$N$3),VALUE(LEFT(F$5,2))),""yyyy-MM-dd"")),0)),""""),IF(logStatus&lt;&gt;"""",UPPER(logStatus)"&amp;",IF(F162&lt;&gt;"""",IF(VALUE(F162)&gt;=9/24,""FD"",""HD""),IF(REGEXMATCH(F$5,""SUN""),""WO"",""-""))))))"),"")</f>
        <v/>
      </c>
      <c r="G163" s="43" t="str">
        <f>IFERROR(__xludf.DUMMYFUNCTION("IF($A158="""","""",IF(G$5="""","""",LET(logStatus,IFNA(INDEX(DATA_LOG!$E:$E,MATCH(1,(DATA_LOG!$A:$A=$A158)*(TEXT(DATA_LOG!$B:$B,""yyyy-MM-dd"")=TEXT(DATE($P$3,MONTH(1&amp;$N$3),VALUE(LEFT(G$5,2))),""yyyy-MM-dd"")),0)),""""),IF(logStatus&lt;&gt;"""",UPPER(logStatus)"&amp;",IF(G162&lt;&gt;"""",IF(VALUE(G162)&gt;=9/24,""FD"",""HD""),IF(REGEXMATCH(G$5,""SUN""),""WO"",""-""))))))"),"")</f>
        <v/>
      </c>
      <c r="H163" s="43" t="str">
        <f>IFERROR(__xludf.DUMMYFUNCTION("IF($A158="""","""",IF(H$5="""","""",LET(logStatus,IFNA(INDEX(DATA_LOG!$E:$E,MATCH(1,(DATA_LOG!$A:$A=$A158)*(TEXT(DATA_LOG!$B:$B,""yyyy-MM-dd"")=TEXT(DATE($P$3,MONTH(1&amp;$N$3),VALUE(LEFT(H$5,2))),""yyyy-MM-dd"")),0)),""""),IF(logStatus&lt;&gt;"""",UPPER(logStatus)"&amp;",IF(H162&lt;&gt;"""",IF(VALUE(H162)&gt;=9/24,""FD"",""HD""),IF(REGEXMATCH(H$5,""SUN""),""WO"",""-""))))))"),"")</f>
        <v/>
      </c>
      <c r="I163" s="43" t="str">
        <f>IFERROR(__xludf.DUMMYFUNCTION("IF($A158="""","""",IF(I$5="""","""",LET(logStatus,IFNA(INDEX(DATA_LOG!$E:$E,MATCH(1,(DATA_LOG!$A:$A=$A158)*(TEXT(DATA_LOG!$B:$B,""yyyy-MM-dd"")=TEXT(DATE($P$3,MONTH(1&amp;$N$3),VALUE(LEFT(I$5,2))),""yyyy-MM-dd"")),0)),""""),IF(logStatus&lt;&gt;"""",UPPER(logStatus)"&amp;",IF(I162&lt;&gt;"""",IF(VALUE(I162)&gt;=9/24,""FD"",""HD""),IF(REGEXMATCH(I$5,""SUN""),""WO"",""-""))))))"),"")</f>
        <v/>
      </c>
      <c r="J163" s="43" t="str">
        <f>IFERROR(__xludf.DUMMYFUNCTION("IF($A158="""","""",IF(J$5="""","""",LET(logStatus,IFNA(INDEX(DATA_LOG!$E:$E,MATCH(1,(DATA_LOG!$A:$A=$A158)*(TEXT(DATA_LOG!$B:$B,""yyyy-MM-dd"")=TEXT(DATE($P$3,MONTH(1&amp;$N$3),VALUE(LEFT(J$5,2))),""yyyy-MM-dd"")),0)),""""),IF(logStatus&lt;&gt;"""",UPPER(logStatus)"&amp;",IF(J162&lt;&gt;"""",IF(VALUE(J162)&gt;=9/24,""FD"",""HD""),IF(REGEXMATCH(J$5,""SUN""),""WO"",""-""))))))"),"")</f>
        <v/>
      </c>
      <c r="K163" s="43" t="str">
        <f>IFERROR(__xludf.DUMMYFUNCTION("IF($A158="""","""",IF(K$5="""","""",LET(logStatus,IFNA(INDEX(DATA_LOG!$E:$E,MATCH(1,(DATA_LOG!$A:$A=$A158)*(TEXT(DATA_LOG!$B:$B,""yyyy-MM-dd"")=TEXT(DATE($P$3,MONTH(1&amp;$N$3),VALUE(LEFT(K$5,2))),""yyyy-MM-dd"")),0)),""""),IF(logStatus&lt;&gt;"""",UPPER(logStatus)"&amp;",IF(K162&lt;&gt;"""",IF(VALUE(K162)&gt;=9/24,""FD"",""HD""),IF(REGEXMATCH(K$5,""SUN""),""WO"",""-""))))))"),"")</f>
        <v/>
      </c>
      <c r="L163" s="43" t="str">
        <f>IFERROR(__xludf.DUMMYFUNCTION("IF($A158="""","""",IF(L$5="""","""",LET(logStatus,IFNA(INDEX(DATA_LOG!$E:$E,MATCH(1,(DATA_LOG!$A:$A=$A158)*(TEXT(DATA_LOG!$B:$B,""yyyy-MM-dd"")=TEXT(DATE($P$3,MONTH(1&amp;$N$3),VALUE(LEFT(L$5,2))),""yyyy-MM-dd"")),0)),""""),IF(logStatus&lt;&gt;"""",UPPER(logStatus)"&amp;",IF(L162&lt;&gt;"""",IF(VALUE(L162)&gt;=9/24,""FD"",""HD""),IF(REGEXMATCH(L$5,""SUN""),""WO"",""-""))))))"),"")</f>
        <v/>
      </c>
      <c r="M163" s="43" t="str">
        <f>IFERROR(__xludf.DUMMYFUNCTION("IF($A158="""","""",IF(M$5="""","""",LET(logStatus,IFNA(INDEX(DATA_LOG!$E:$E,MATCH(1,(DATA_LOG!$A:$A=$A158)*(TEXT(DATA_LOG!$B:$B,""yyyy-MM-dd"")=TEXT(DATE($P$3,MONTH(1&amp;$N$3),VALUE(LEFT(M$5,2))),""yyyy-MM-dd"")),0)),""""),IF(logStatus&lt;&gt;"""",UPPER(logStatus)"&amp;",IF(M162&lt;&gt;"""",IF(VALUE(M162)&gt;=9/24,""FD"",""HD""),IF(REGEXMATCH(M$5,""SUN""),""WO"",""-""))))))"),"")</f>
        <v/>
      </c>
      <c r="N163" s="43" t="str">
        <f>IFERROR(__xludf.DUMMYFUNCTION("IF($A158="""","""",IF(N$5="""","""",LET(logStatus,IFNA(INDEX(DATA_LOG!$E:$E,MATCH(1,(DATA_LOG!$A:$A=$A158)*(TEXT(DATA_LOG!$B:$B,""yyyy-MM-dd"")=TEXT(DATE($P$3,MONTH(1&amp;$N$3),VALUE(LEFT(N$5,2))),""yyyy-MM-dd"")),0)),""""),IF(logStatus&lt;&gt;"""",UPPER(logStatus)"&amp;",IF(N162&lt;&gt;"""",IF(VALUE(N162)&gt;=9/24,""FD"",""HD""),IF(REGEXMATCH(N$5,""SUN""),""WO"",""-""))))))"),"")</f>
        <v/>
      </c>
      <c r="O163" s="43" t="str">
        <f>IFERROR(__xludf.DUMMYFUNCTION("IF($A158="""","""",IF(O$5="""","""",LET(logStatus,IFNA(INDEX(DATA_LOG!$E:$E,MATCH(1,(DATA_LOG!$A:$A=$A158)*(TEXT(DATA_LOG!$B:$B,""yyyy-MM-dd"")=TEXT(DATE($P$3,MONTH(1&amp;$N$3),VALUE(LEFT(O$5,2))),""yyyy-MM-dd"")),0)),""""),IF(logStatus&lt;&gt;"""",UPPER(logStatus)"&amp;",IF(O162&lt;&gt;"""",IF(VALUE(O162)&gt;=9/24,""FD"",""HD""),IF(REGEXMATCH(O$5,""SUN""),""WO"",""-""))))))"),"")</f>
        <v/>
      </c>
      <c r="P163" s="43" t="str">
        <f>IFERROR(__xludf.DUMMYFUNCTION("IF($A158="""","""",IF(P$5="""","""",LET(logStatus,IFNA(INDEX(DATA_LOG!$E:$E,MATCH(1,(DATA_LOG!$A:$A=$A158)*(TEXT(DATA_LOG!$B:$B,""yyyy-MM-dd"")=TEXT(DATE($P$3,MONTH(1&amp;$N$3),VALUE(LEFT(P$5,2))),""yyyy-MM-dd"")),0)),""""),IF(logStatus&lt;&gt;"""",UPPER(logStatus)"&amp;",IF(P162&lt;&gt;"""",IF(VALUE(P162)&gt;=9/24,""FD"",""HD""),IF(REGEXMATCH(P$5,""SUN""),""WO"",""-""))))))"),"")</f>
        <v/>
      </c>
      <c r="Q163" s="43" t="str">
        <f>IFERROR(__xludf.DUMMYFUNCTION("IF($A158="""","""",IF(Q$5="""","""",LET(logStatus,IFNA(INDEX(DATA_LOG!$E:$E,MATCH(1,(DATA_LOG!$A:$A=$A158)*(TEXT(DATA_LOG!$B:$B,""yyyy-MM-dd"")=TEXT(DATE($P$3,MONTH(1&amp;$N$3),VALUE(LEFT(Q$5,2))),""yyyy-MM-dd"")),0)),""""),IF(logStatus&lt;&gt;"""",UPPER(logStatus)"&amp;",IF(Q162&lt;&gt;"""",IF(VALUE(Q162)&gt;=9/24,""FD"",""HD""),IF(REGEXMATCH(Q$5,""SUN""),""WO"",""-""))))))"),"")</f>
        <v/>
      </c>
      <c r="R163" s="43" t="str">
        <f>IFERROR(__xludf.DUMMYFUNCTION("IF($A158="""","""",IF(R$5="""","""",LET(logStatus,IFNA(INDEX(DATA_LOG!$E:$E,MATCH(1,(DATA_LOG!$A:$A=$A158)*(TEXT(DATA_LOG!$B:$B,""yyyy-MM-dd"")=TEXT(DATE($P$3,MONTH(1&amp;$N$3),VALUE(LEFT(R$5,2))),""yyyy-MM-dd"")),0)),""""),IF(logStatus&lt;&gt;"""",UPPER(logStatus)"&amp;",IF(R162&lt;&gt;"""",IF(VALUE(R162)&gt;=9/24,""FD"",""HD""),IF(REGEXMATCH(R$5,""SUN""),""WO"",""-""))))))"),"")</f>
        <v/>
      </c>
      <c r="S163" s="43" t="str">
        <f>IFERROR(__xludf.DUMMYFUNCTION("IF($A158="""","""",IF(S$5="""","""",LET(logStatus,IFNA(INDEX(DATA_LOG!$E:$E,MATCH(1,(DATA_LOG!$A:$A=$A158)*(TEXT(DATA_LOG!$B:$B,""yyyy-MM-dd"")=TEXT(DATE($P$3,MONTH(1&amp;$N$3),VALUE(LEFT(S$5,2))),""yyyy-MM-dd"")),0)),""""),IF(logStatus&lt;&gt;"""",UPPER(logStatus)"&amp;",IF(S162&lt;&gt;"""",IF(VALUE(S162)&gt;=9/24,""FD"",""HD""),IF(REGEXMATCH(S$5,""SUN""),""WO"",""-""))))))"),"")</f>
        <v/>
      </c>
      <c r="T163" s="43" t="str">
        <f>IFERROR(__xludf.DUMMYFUNCTION("IF($A158="""","""",IF(T$5="""","""",LET(logStatus,IFNA(INDEX(DATA_LOG!$E:$E,MATCH(1,(DATA_LOG!$A:$A=$A158)*(TEXT(DATA_LOG!$B:$B,""yyyy-MM-dd"")=TEXT(DATE($P$3,MONTH(1&amp;$N$3),VALUE(LEFT(T$5,2))),""yyyy-MM-dd"")),0)),""""),IF(logStatus&lt;&gt;"""",UPPER(logStatus)"&amp;",IF(T162&lt;&gt;"""",IF(VALUE(T162)&gt;=9/24,""FD"",""HD""),IF(REGEXMATCH(T$5,""SUN""),""WO"",""-""))))))"),"")</f>
        <v/>
      </c>
      <c r="U163" s="43" t="str">
        <f>IFERROR(__xludf.DUMMYFUNCTION("IF($A158="""","""",IF(U$5="""","""",LET(logStatus,IFNA(INDEX(DATA_LOG!$E:$E,MATCH(1,(DATA_LOG!$A:$A=$A158)*(TEXT(DATA_LOG!$B:$B,""yyyy-MM-dd"")=TEXT(DATE($P$3,MONTH(1&amp;$N$3),VALUE(LEFT(U$5,2))),""yyyy-MM-dd"")),0)),""""),IF(logStatus&lt;&gt;"""",UPPER(logStatus)"&amp;",IF(U162&lt;&gt;"""",IF(VALUE(U162)&gt;=9/24,""FD"",""HD""),IF(REGEXMATCH(U$5,""SUN""),""WO"",""-""))))))"),"")</f>
        <v/>
      </c>
      <c r="V163" s="43" t="str">
        <f>IFERROR(__xludf.DUMMYFUNCTION("IF($A158="""","""",IF(V$5="""","""",LET(logStatus,IFNA(INDEX(DATA_LOG!$E:$E,MATCH(1,(DATA_LOG!$A:$A=$A158)*(TEXT(DATA_LOG!$B:$B,""yyyy-MM-dd"")=TEXT(DATE($P$3,MONTH(1&amp;$N$3),VALUE(LEFT(V$5,2))),""yyyy-MM-dd"")),0)),""""),IF(logStatus&lt;&gt;"""",UPPER(logStatus)"&amp;",IF(V162&lt;&gt;"""",IF(VALUE(V162)&gt;=9/24,""FD"",""HD""),IF(REGEXMATCH(V$5,""SUN""),""WO"",""-""))))))"),"")</f>
        <v/>
      </c>
      <c r="W163" s="43" t="str">
        <f>IFERROR(__xludf.DUMMYFUNCTION("IF($A158="""","""",IF(W$5="""","""",LET(logStatus,IFNA(INDEX(DATA_LOG!$E:$E,MATCH(1,(DATA_LOG!$A:$A=$A158)*(TEXT(DATA_LOG!$B:$B,""yyyy-MM-dd"")=TEXT(DATE($P$3,MONTH(1&amp;$N$3),VALUE(LEFT(W$5,2))),""yyyy-MM-dd"")),0)),""""),IF(logStatus&lt;&gt;"""",UPPER(logStatus)"&amp;",IF(W162&lt;&gt;"""",IF(VALUE(W162)&gt;=9/24,""FD"",""HD""),IF(REGEXMATCH(W$5,""SUN""),""WO"",""-""))))))"),"")</f>
        <v/>
      </c>
      <c r="X163" s="43" t="str">
        <f>IFERROR(__xludf.DUMMYFUNCTION("IF($A158="""","""",IF(X$5="""","""",LET(logStatus,IFNA(INDEX(DATA_LOG!$E:$E,MATCH(1,(DATA_LOG!$A:$A=$A158)*(TEXT(DATA_LOG!$B:$B,""yyyy-MM-dd"")=TEXT(DATE($P$3,MONTH(1&amp;$N$3),VALUE(LEFT(X$5,2))),""yyyy-MM-dd"")),0)),""""),IF(logStatus&lt;&gt;"""",UPPER(logStatus)"&amp;",IF(X162&lt;&gt;"""",IF(VALUE(X162)&gt;=9/24,""FD"",""HD""),IF(REGEXMATCH(X$5,""SUN""),""WO"",""-""))))))"),"")</f>
        <v/>
      </c>
      <c r="Y163" s="43" t="str">
        <f>IFERROR(__xludf.DUMMYFUNCTION("IF($A158="""","""",IF(Y$5="""","""",LET(logStatus,IFNA(INDEX(DATA_LOG!$E:$E,MATCH(1,(DATA_LOG!$A:$A=$A158)*(TEXT(DATA_LOG!$B:$B,""yyyy-MM-dd"")=TEXT(DATE($P$3,MONTH(1&amp;$N$3),VALUE(LEFT(Y$5,2))),""yyyy-MM-dd"")),0)),""""),IF(logStatus&lt;&gt;"""",UPPER(logStatus)"&amp;",IF(Y162&lt;&gt;"""",IF(VALUE(Y162)&gt;=9/24,""FD"",""HD""),IF(REGEXMATCH(Y$5,""SUN""),""WO"",""-""))))))"),"")</f>
        <v/>
      </c>
      <c r="Z163" s="43" t="str">
        <f>IFERROR(__xludf.DUMMYFUNCTION("IF($A158="""","""",IF(Z$5="""","""",LET(logStatus,IFNA(INDEX(DATA_LOG!$E:$E,MATCH(1,(DATA_LOG!$A:$A=$A158)*(TEXT(DATA_LOG!$B:$B,""yyyy-MM-dd"")=TEXT(DATE($P$3,MONTH(1&amp;$N$3),VALUE(LEFT(Z$5,2))),""yyyy-MM-dd"")),0)),""""),IF(logStatus&lt;&gt;"""",UPPER(logStatus)"&amp;",IF(Z162&lt;&gt;"""",IF(VALUE(Z162)&gt;=9/24,""FD"",""HD""),IF(REGEXMATCH(Z$5,""SUN""),""WO"",""-""))))))"),"")</f>
        <v/>
      </c>
      <c r="AA163" s="43" t="str">
        <f>IFERROR(__xludf.DUMMYFUNCTION("IF($A158="""","""",IF(AA$5="""","""",LET(logStatus,IFNA(INDEX(DATA_LOG!$E:$E,MATCH(1,(DATA_LOG!$A:$A=$A158)*(TEXT(DATA_LOG!$B:$B,""yyyy-MM-dd"")=TEXT(DATE($P$3,MONTH(1&amp;$N$3),VALUE(LEFT(AA$5,2))),""yyyy-MM-dd"")),0)),""""),IF(logStatus&lt;&gt;"""",UPPER(logStatu"&amp;"s),IF(AA162&lt;&gt;"""",IF(VALUE(AA162)&gt;=9/24,""FD"",""HD""),IF(REGEXMATCH(AA$5,""SUN""),""WO"",""-""))))))"),"")</f>
        <v/>
      </c>
      <c r="AB163" s="43" t="str">
        <f>IFERROR(__xludf.DUMMYFUNCTION("IF($A158="""","""",IF(AB$5="""","""",LET(logStatus,IFNA(INDEX(DATA_LOG!$E:$E,MATCH(1,(DATA_LOG!$A:$A=$A158)*(TEXT(DATA_LOG!$B:$B,""yyyy-MM-dd"")=TEXT(DATE($P$3,MONTH(1&amp;$N$3),VALUE(LEFT(AB$5,2))),""yyyy-MM-dd"")),0)),""""),IF(logStatus&lt;&gt;"""",UPPER(logStatu"&amp;"s),IF(AB162&lt;&gt;"""",IF(VALUE(AB162)&gt;=9/24,""FD"",""HD""),IF(REGEXMATCH(AB$5,""SUN""),""WO"",""-""))))))"),"")</f>
        <v/>
      </c>
      <c r="AC163" s="43" t="str">
        <f>IFERROR(__xludf.DUMMYFUNCTION("IF($A158="""","""",IF(AC$5="""","""",LET(logStatus,IFNA(INDEX(DATA_LOG!$E:$E,MATCH(1,(DATA_LOG!$A:$A=$A158)*(TEXT(DATA_LOG!$B:$B,""yyyy-MM-dd"")=TEXT(DATE($P$3,MONTH(1&amp;$N$3),VALUE(LEFT(AC$5,2))),""yyyy-MM-dd"")),0)),""""),IF(logStatus&lt;&gt;"""",UPPER(logStatu"&amp;"s),IF(AC162&lt;&gt;"""",IF(VALUE(AC162)&gt;=9/24,""FD"",""HD""),IF(REGEXMATCH(AC$5,""SUN""),""WO"",""-""))))))"),"")</f>
        <v/>
      </c>
      <c r="AD163" s="43" t="str">
        <f>IFERROR(__xludf.DUMMYFUNCTION("IF($A158="""","""",IF(AD$5="""","""",LET(logStatus,IFNA(INDEX(DATA_LOG!$E:$E,MATCH(1,(DATA_LOG!$A:$A=$A158)*(TEXT(DATA_LOG!$B:$B,""yyyy-MM-dd"")=TEXT(DATE($P$3,MONTH(1&amp;$N$3),VALUE(LEFT(AD$5,2))),""yyyy-MM-dd"")),0)),""""),IF(logStatus&lt;&gt;"""",UPPER(logStatu"&amp;"s),IF(AD162&lt;&gt;"""",IF(VALUE(AD162)&gt;=9/24,""FD"",""HD""),IF(REGEXMATCH(AD$5,""SUN""),""WO"",""-""))))))"),"")</f>
        <v/>
      </c>
      <c r="AE163" s="43" t="str">
        <f>IFERROR(__xludf.DUMMYFUNCTION("IF($A158="""","""",IF(AE$5="""","""",LET(logStatus,IFNA(INDEX(DATA_LOG!$E:$E,MATCH(1,(DATA_LOG!$A:$A=$A158)*(TEXT(DATA_LOG!$B:$B,""yyyy-MM-dd"")=TEXT(DATE($P$3,MONTH(1&amp;$N$3),VALUE(LEFT(AE$5,2))),""yyyy-MM-dd"")),0)),""""),IF(logStatus&lt;&gt;"""",UPPER(logStatu"&amp;"s),IF(AE162&lt;&gt;"""",IF(VALUE(AE162)&gt;=9/24,""FD"",""HD""),IF(REGEXMATCH(AE$5,""SUN""),""WO"",""-""))))))"),"")</f>
        <v/>
      </c>
      <c r="AF163" s="43" t="str">
        <f>IFERROR(__xludf.DUMMYFUNCTION("IF($A158="""","""",IF(AF$5="""","""",LET(logStatus,IFNA(INDEX(DATA_LOG!$E:$E,MATCH(1,(DATA_LOG!$A:$A=$A158)*(TEXT(DATA_LOG!$B:$B,""yyyy-MM-dd"")=TEXT(DATE($P$3,MONTH(1&amp;$N$3),VALUE(LEFT(AF$5,2))),""yyyy-MM-dd"")),0)),""""),IF(logStatus&lt;&gt;"""",UPPER(logStatu"&amp;"s),IF(AF162&lt;&gt;"""",IF(VALUE(AF162)&gt;=9/24,""FD"",""HD""),IF(REGEXMATCH(AF$5,""SUN""),""WO"",""-""))))))"),"")</f>
        <v/>
      </c>
    </row>
    <row r="164">
      <c r="A164" s="44"/>
    </row>
    <row r="165">
      <c r="A165" s="25" t="str">
        <f t="array" ref="A165">INDEX(EMPLOYEE_LIST!$A:$A,INT((ROW()-4)/7)+2)</f>
        <v/>
      </c>
      <c r="B165" s="26"/>
      <c r="C165" s="27"/>
      <c r="D165" s="28" t="str">
        <f>IF(A165="", "", IFERROR(VLOOKUP(A165, EMPLOYEE_LIST!$A:$H, 2, FALSE), ""))</f>
        <v/>
      </c>
      <c r="E165" s="26"/>
      <c r="F165" s="26"/>
      <c r="G165" s="27"/>
      <c r="H165" s="29" t="str">
        <f>IF(A165="", "", IFERROR(VLOOKUP(A165, EMPLOYEE_LIST!$A:$H, 3, FALSE), ""))</f>
        <v/>
      </c>
      <c r="I165" s="26"/>
      <c r="J165" s="26"/>
      <c r="K165" s="27"/>
      <c r="L165" s="29" t="str">
        <f>IF(A165="", "", IFERROR(VLOOKUP(A165, EMPLOYEE_LIST!$A:$H, 4, FALSE), ""))</f>
        <v/>
      </c>
      <c r="M165" s="26"/>
      <c r="N165" s="26"/>
      <c r="O165" s="27"/>
      <c r="P165" s="30" t="str">
        <f>IF($A165="", "", "Full Day: " &amp; COUNTIF(B170:AF170, "FD"))</f>
        <v/>
      </c>
      <c r="Q165" s="26"/>
      <c r="R165" s="27"/>
      <c r="S165" s="31" t="str">
        <f>IF($A165="", "", "HALF Day: " &amp; COUNTIF(B170:AF170, "HD"))</f>
        <v/>
      </c>
      <c r="T165" s="26"/>
      <c r="U165" s="27"/>
      <c r="V165" s="31" t="str">
        <f>IF($A165="", "", "ABSENT: " &amp; COUNTIF(B170:AF170, "A"))</f>
        <v/>
      </c>
      <c r="W165" s="26"/>
      <c r="X165" s="27"/>
      <c r="Y165" s="31" t="str">
        <f>IF($A165="", "", "WEEK OFF: " &amp; COUNTIF(B170:AF170, "WO"))</f>
        <v/>
      </c>
      <c r="Z165" s="26"/>
      <c r="AA165" s="27"/>
      <c r="AB165" s="31" t="str">
        <f>IF($A165="", "", "LEAVE: " &amp; COUNTIF(B170:AF170, "L"))</f>
        <v/>
      </c>
      <c r="AC165" s="27"/>
      <c r="AD165" s="31" t="str">
        <f>IF($A165="", "", "HOLIDAY: " &amp; COUNTIF(B170:AF170, "HL"))</f>
        <v/>
      </c>
      <c r="AE165" s="26"/>
      <c r="AF165" s="27"/>
    </row>
    <row r="166">
      <c r="A166" s="32" t="str">
        <f>IF($A165="", "", "DATE")</f>
        <v/>
      </c>
      <c r="B166" s="33" t="str">
        <f t="array" ref="B166">IF($A165="","",LET(mNum,MONTH(1&amp;$N$3),start,DATE($P$3,mNum,1),days,DAY(EOMONTH(start,0)),MAP(SEQUENCE(1,days,0),LAMBDA(n,UPPER(TEXT(start+n,"dd (ddd)"))))))</f>
        <v/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>
      <c r="A167" s="37" t="str">
        <f>IF($A165="", "", "IN")</f>
        <v/>
      </c>
      <c r="B167" s="39" t="str">
        <f t="array" ref="B167">IF(OR($A165="",B$5=""),"",IFNA(INDEX(DATA_LOG!$C:$C,MATCH(1,(DATA_LOG!$A:$A=$A165)*(TEXT(DATA_LOG!$B:$B,"yyyy-MM-dd")=TEXT(DATE($P$3,MONTH(1&amp;$N$3),VALUE(LEFT(B$5,2))),"yyyy-MM-dd")),0)),""))</f>
        <v/>
      </c>
      <c r="C167" s="39" t="str">
        <f t="array" ref="C167">IF(OR($A165="",C$5=""),"",IFNA(INDEX(DATA_LOG!$C:$C,MATCH(1,(DATA_LOG!$A:$A=$A165)*(TEXT(DATA_LOG!$B:$B,"yyyy-MM-dd")=TEXT(DATE($P$3,MONTH(1&amp;$N$3),VALUE(LEFT(C$5,2))),"yyyy-MM-dd")),0)),""))</f>
        <v/>
      </c>
      <c r="D167" s="39" t="str">
        <f t="array" ref="D167">IF(OR($A165="",D$5=""),"",IFNA(INDEX(DATA_LOG!$C:$C,MATCH(1,(DATA_LOG!$A:$A=$A165)*(TEXT(DATA_LOG!$B:$B,"yyyy-MM-dd")=TEXT(DATE($P$3,MONTH(1&amp;$N$3),VALUE(LEFT(D$5,2))),"yyyy-MM-dd")),0)),""))</f>
        <v/>
      </c>
      <c r="E167" s="39" t="str">
        <f t="array" ref="E167">IF(OR($A165="",E$5=""),"",IFNA(INDEX(DATA_LOG!$C:$C,MATCH(1,(DATA_LOG!$A:$A=$A165)*(TEXT(DATA_LOG!$B:$B,"yyyy-MM-dd")=TEXT(DATE($P$3,MONTH(1&amp;$N$3),VALUE(LEFT(E$5,2))),"yyyy-MM-dd")),0)),""))</f>
        <v/>
      </c>
      <c r="F167" s="39" t="str">
        <f t="array" ref="F167">IF(OR($A165="",F$5=""),"",IFNA(INDEX(DATA_LOG!$C:$C,MATCH(1,(DATA_LOG!$A:$A=$A165)*(TEXT(DATA_LOG!$B:$B,"yyyy-MM-dd")=TEXT(DATE($P$3,MONTH(1&amp;$N$3),VALUE(LEFT(F$5,2))),"yyyy-MM-dd")),0)),""))</f>
        <v/>
      </c>
      <c r="G167" s="39" t="str">
        <f t="array" ref="G167">IF(OR($A165="",G$5=""),"",IFNA(INDEX(DATA_LOG!$C:$C,MATCH(1,(DATA_LOG!$A:$A=$A165)*(TEXT(DATA_LOG!$B:$B,"yyyy-MM-dd")=TEXT(DATE($P$3,MONTH(1&amp;$N$3),VALUE(LEFT(G$5,2))),"yyyy-MM-dd")),0)),""))</f>
        <v/>
      </c>
      <c r="H167" s="39" t="str">
        <f t="array" ref="H167">IF(OR($A165="",H$5=""),"",IFNA(INDEX(DATA_LOG!$C:$C,MATCH(1,(DATA_LOG!$A:$A=$A165)*(TEXT(DATA_LOG!$B:$B,"yyyy-MM-dd")=TEXT(DATE($P$3,MONTH(1&amp;$N$3),VALUE(LEFT(H$5,2))),"yyyy-MM-dd")),0)),""))</f>
        <v/>
      </c>
      <c r="I167" s="39" t="str">
        <f t="array" ref="I167">IF(OR($A165="",I$5=""),"",IFNA(INDEX(DATA_LOG!$C:$C,MATCH(1,(DATA_LOG!$A:$A=$A165)*(TEXT(DATA_LOG!$B:$B,"yyyy-MM-dd")=TEXT(DATE($P$3,MONTH(1&amp;$N$3),VALUE(LEFT(I$5,2))),"yyyy-MM-dd")),0)),""))</f>
        <v/>
      </c>
      <c r="J167" s="39" t="str">
        <f t="array" ref="J167">IF(OR($A165="",J$5=""),"",IFNA(INDEX(DATA_LOG!$C:$C,MATCH(1,(DATA_LOG!$A:$A=$A165)*(TEXT(DATA_LOG!$B:$B,"yyyy-MM-dd")=TEXT(DATE($P$3,MONTH(1&amp;$N$3),VALUE(LEFT(J$5,2))),"yyyy-MM-dd")),0)),""))</f>
        <v/>
      </c>
      <c r="K167" s="39" t="str">
        <f t="array" ref="K167">IF(OR($A165="",K$5=""),"",IFNA(INDEX(DATA_LOG!$C:$C,MATCH(1,(DATA_LOG!$A:$A=$A165)*(TEXT(DATA_LOG!$B:$B,"yyyy-MM-dd")=TEXT(DATE($P$3,MONTH(1&amp;$N$3),VALUE(LEFT(K$5,2))),"yyyy-MM-dd")),0)),""))</f>
        <v/>
      </c>
      <c r="L167" s="39" t="str">
        <f t="array" ref="L167">IF(OR($A165="",L$5=""),"",IFNA(INDEX(DATA_LOG!$C:$C,MATCH(1,(DATA_LOG!$A:$A=$A165)*(TEXT(DATA_LOG!$B:$B,"yyyy-MM-dd")=TEXT(DATE($P$3,MONTH(1&amp;$N$3),VALUE(LEFT(L$5,2))),"yyyy-MM-dd")),0)),""))</f>
        <v/>
      </c>
      <c r="M167" s="39" t="str">
        <f t="array" ref="M167">IF(OR($A165="",M$5=""),"",IFNA(INDEX(DATA_LOG!$C:$C,MATCH(1,(DATA_LOG!$A:$A=$A165)*(TEXT(DATA_LOG!$B:$B,"yyyy-MM-dd")=TEXT(DATE($P$3,MONTH(1&amp;$N$3),VALUE(LEFT(M$5,2))),"yyyy-MM-dd")),0)),""))</f>
        <v/>
      </c>
      <c r="N167" s="39" t="str">
        <f t="array" ref="N167">IF(OR($A165="",N$5=""),"",IFNA(INDEX(DATA_LOG!$C:$C,MATCH(1,(DATA_LOG!$A:$A=$A165)*(TEXT(DATA_LOG!$B:$B,"yyyy-MM-dd")=TEXT(DATE($P$3,MONTH(1&amp;$N$3),VALUE(LEFT(N$5,2))),"yyyy-MM-dd")),0)),""))</f>
        <v/>
      </c>
      <c r="O167" s="39" t="str">
        <f t="array" ref="O167">IF(OR($A165="",O$5=""),"",IFNA(INDEX(DATA_LOG!$C:$C,MATCH(1,(DATA_LOG!$A:$A=$A165)*(TEXT(DATA_LOG!$B:$B,"yyyy-MM-dd")=TEXT(DATE($P$3,MONTH(1&amp;$N$3),VALUE(LEFT(O$5,2))),"yyyy-MM-dd")),0)),""))</f>
        <v/>
      </c>
      <c r="P167" s="39" t="str">
        <f t="array" ref="P167">IF(OR($A165="",P$5=""),"",IFNA(INDEX(DATA_LOG!$C:$C,MATCH(1,(DATA_LOG!$A:$A=$A165)*(TEXT(DATA_LOG!$B:$B,"yyyy-MM-dd")=TEXT(DATE($P$3,MONTH(1&amp;$N$3),VALUE(LEFT(P$5,2))),"yyyy-MM-dd")),0)),""))</f>
        <v/>
      </c>
      <c r="Q167" s="39" t="str">
        <f t="array" ref="Q167">IF(OR($A165="",Q$5=""),"",IFNA(INDEX(DATA_LOG!$C:$C,MATCH(1,(DATA_LOG!$A:$A=$A165)*(TEXT(DATA_LOG!$B:$B,"yyyy-MM-dd")=TEXT(DATE($P$3,MONTH(1&amp;$N$3),VALUE(LEFT(Q$5,2))),"yyyy-MM-dd")),0)),""))</f>
        <v/>
      </c>
      <c r="R167" s="39" t="str">
        <f t="array" ref="R167">IF(OR($A165="",R$5=""),"",IFNA(INDEX(DATA_LOG!$C:$C,MATCH(1,(DATA_LOG!$A:$A=$A165)*(TEXT(DATA_LOG!$B:$B,"yyyy-MM-dd")=TEXT(DATE($P$3,MONTH(1&amp;$N$3),VALUE(LEFT(R$5,2))),"yyyy-MM-dd")),0)),""))</f>
        <v/>
      </c>
      <c r="S167" s="39" t="str">
        <f t="array" ref="S167">IF(OR($A165="",S$5=""),"",IFNA(INDEX(DATA_LOG!$C:$C,MATCH(1,(DATA_LOG!$A:$A=$A165)*(TEXT(DATA_LOG!$B:$B,"yyyy-MM-dd")=TEXT(DATE($P$3,MONTH(1&amp;$N$3),VALUE(LEFT(S$5,2))),"yyyy-MM-dd")),0)),""))</f>
        <v/>
      </c>
      <c r="T167" s="39" t="str">
        <f t="array" ref="T167">IF(OR($A165="",T$5=""),"",IFNA(INDEX(DATA_LOG!$C:$C,MATCH(1,(DATA_LOG!$A:$A=$A165)*(TEXT(DATA_LOG!$B:$B,"yyyy-MM-dd")=TEXT(DATE($P$3,MONTH(1&amp;$N$3),VALUE(LEFT(T$5,2))),"yyyy-MM-dd")),0)),""))</f>
        <v/>
      </c>
      <c r="U167" s="39" t="str">
        <f t="array" ref="U167">IF(OR($A165="",U$5=""),"",IFNA(INDEX(DATA_LOG!$C:$C,MATCH(1,(DATA_LOG!$A:$A=$A165)*(TEXT(DATA_LOG!$B:$B,"yyyy-MM-dd")=TEXT(DATE($P$3,MONTH(1&amp;$N$3),VALUE(LEFT(U$5,2))),"yyyy-MM-dd")),0)),""))</f>
        <v/>
      </c>
      <c r="V167" s="39" t="str">
        <f t="array" ref="V167">IF(OR($A165="",V$5=""),"",IFNA(INDEX(DATA_LOG!$C:$C,MATCH(1,(DATA_LOG!$A:$A=$A165)*(TEXT(DATA_LOG!$B:$B,"yyyy-MM-dd")=TEXT(DATE($P$3,MONTH(1&amp;$N$3),VALUE(LEFT(V$5,2))),"yyyy-MM-dd")),0)),""))</f>
        <v/>
      </c>
      <c r="W167" s="39" t="str">
        <f t="array" ref="W167">IF(OR($A165="",W$5=""),"",IFNA(INDEX(DATA_LOG!$C:$C,MATCH(1,(DATA_LOG!$A:$A=$A165)*(TEXT(DATA_LOG!$B:$B,"yyyy-MM-dd")=TEXT(DATE($P$3,MONTH(1&amp;$N$3),VALUE(LEFT(W$5,2))),"yyyy-MM-dd")),0)),""))</f>
        <v/>
      </c>
      <c r="X167" s="39" t="str">
        <f t="array" ref="X167">IF(OR($A165="",X$5=""),"",IFNA(INDEX(DATA_LOG!$C:$C,MATCH(1,(DATA_LOG!$A:$A=$A165)*(TEXT(DATA_LOG!$B:$B,"yyyy-MM-dd")=TEXT(DATE($P$3,MONTH(1&amp;$N$3),VALUE(LEFT(X$5,2))),"yyyy-MM-dd")),0)),""))</f>
        <v/>
      </c>
      <c r="Y167" s="39" t="str">
        <f t="array" ref="Y167">IF(OR($A165="",Y$5=""),"",IFNA(INDEX(DATA_LOG!$C:$C,MATCH(1,(DATA_LOG!$A:$A=$A165)*(TEXT(DATA_LOG!$B:$B,"yyyy-MM-dd")=TEXT(DATE($P$3,MONTH(1&amp;$N$3),VALUE(LEFT(Y$5,2))),"yyyy-MM-dd")),0)),""))</f>
        <v/>
      </c>
      <c r="Z167" s="39" t="str">
        <f t="array" ref="Z167">IF(OR($A165="",Z$5=""),"",IFNA(INDEX(DATA_LOG!$C:$C,MATCH(1,(DATA_LOG!$A:$A=$A165)*(TEXT(DATA_LOG!$B:$B,"yyyy-MM-dd")=TEXT(DATE($P$3,MONTH(1&amp;$N$3),VALUE(LEFT(Z$5,2))),"yyyy-MM-dd")),0)),""))</f>
        <v/>
      </c>
      <c r="AA167" s="39" t="str">
        <f t="array" ref="AA167">IF(OR($A165="",AA$5=""),"",IFNA(INDEX(DATA_LOG!$C:$C,MATCH(1,(DATA_LOG!$A:$A=$A165)*(TEXT(DATA_LOG!$B:$B,"yyyy-MM-dd")=TEXT(DATE($P$3,MONTH(1&amp;$N$3),VALUE(LEFT(AA$5,2))),"yyyy-MM-dd")),0)),""))</f>
        <v/>
      </c>
      <c r="AB167" s="39" t="str">
        <f t="array" ref="AB167">IF(OR($A165="",AB$5=""),"",IFNA(INDEX(DATA_LOG!$C:$C,MATCH(1,(DATA_LOG!$A:$A=$A165)*(TEXT(DATA_LOG!$B:$B,"yyyy-MM-dd")=TEXT(DATE($P$3,MONTH(1&amp;$N$3),VALUE(LEFT(AB$5,2))),"yyyy-MM-dd")),0)),""))</f>
        <v/>
      </c>
      <c r="AC167" s="39" t="str">
        <f t="array" ref="AC167">IF(OR($A165="",AC$5=""),"",IFNA(INDEX(DATA_LOG!$C:$C,MATCH(1,(DATA_LOG!$A:$A=$A165)*(TEXT(DATA_LOG!$B:$B,"yyyy-MM-dd")=TEXT(DATE($P$3,MONTH(1&amp;$N$3),VALUE(LEFT(AC$5,2))),"yyyy-MM-dd")),0)),""))</f>
        <v/>
      </c>
      <c r="AD167" s="39" t="str">
        <f t="array" ref="AD167">IF(OR($A165="",AD$5=""),"",IFNA(INDEX(DATA_LOG!$C:$C,MATCH(1,(DATA_LOG!$A:$A=$A165)*(TEXT(DATA_LOG!$B:$B,"yyyy-MM-dd")=TEXT(DATE($P$3,MONTH(1&amp;$N$3),VALUE(LEFT(AD$5,2))),"yyyy-MM-dd")),0)),""))</f>
        <v/>
      </c>
      <c r="AE167" s="39" t="str">
        <f t="array" ref="AE167">IF(OR($A165="",AE$5=""),"",IFNA(INDEX(DATA_LOG!$C:$C,MATCH(1,(DATA_LOG!$A:$A=$A165)*(TEXT(DATA_LOG!$B:$B,"yyyy-MM-dd")=TEXT(DATE($P$3,MONTH(1&amp;$N$3),VALUE(LEFT(AE$5,2))),"yyyy-MM-dd")),0)),""))</f>
        <v/>
      </c>
      <c r="AF167" s="39" t="str">
        <f t="array" ref="AF167">IF(OR($A165="",AF$5=""),"",IFNA(INDEX(DATA_LOG!$C:$C,MATCH(1,(DATA_LOG!$A:$A=$A165)*(TEXT(DATA_LOG!$B:$B,"yyyy-MM-dd")=TEXT(DATE($P$3,MONTH(1&amp;$N$3),VALUE(LEFT(AF$5,2))),"yyyy-MM-dd")),0)),""))</f>
        <v/>
      </c>
    </row>
    <row r="168">
      <c r="A168" s="37" t="str">
        <f>IF($A165="", "", "OUT")</f>
        <v/>
      </c>
      <c r="B168" s="39" t="str">
        <f t="array" ref="B168">IF(OR($A165="",B$5=""),"",IFNA(INDEX(DATA_LOG!$D:$D,MATCH(1,(DATA_LOG!$A:$A=$A165)*(TEXT(DATA_LOG!$B:$B,"yyyy-MM-dd")=TEXT(DATE($P$3,MONTH(1&amp;$N$3),VALUE(LEFT(B$5,2))),"yyyy-MM-dd")),0)),""))</f>
        <v/>
      </c>
      <c r="C168" s="39" t="str">
        <f t="array" ref="C168">IF(OR($A165="",C$5=""),"",IFNA(INDEX(DATA_LOG!$D:$D,MATCH(1,(DATA_LOG!$A:$A=$A165)*(TEXT(DATA_LOG!$B:$B,"yyyy-MM-dd")=TEXT(DATE($P$3,MONTH(1&amp;$N$3),VALUE(LEFT(C$5,2))),"yyyy-MM-dd")),0)),""))</f>
        <v/>
      </c>
      <c r="D168" s="39" t="str">
        <f t="array" ref="D168">IF(OR($A165="",D$5=""),"",IFNA(INDEX(DATA_LOG!$D:$D,MATCH(1,(DATA_LOG!$A:$A=$A165)*(TEXT(DATA_LOG!$B:$B,"yyyy-MM-dd")=TEXT(DATE($P$3,MONTH(1&amp;$N$3),VALUE(LEFT(D$5,2))),"yyyy-MM-dd")),0)),""))</f>
        <v/>
      </c>
      <c r="E168" s="39" t="str">
        <f t="array" ref="E168">IF(OR($A165="",E$5=""),"",IFNA(INDEX(DATA_LOG!$D:$D,MATCH(1,(DATA_LOG!$A:$A=$A165)*(TEXT(DATA_LOG!$B:$B,"yyyy-MM-dd")=TEXT(DATE($P$3,MONTH(1&amp;$N$3),VALUE(LEFT(E$5,2))),"yyyy-MM-dd")),0)),""))</f>
        <v/>
      </c>
      <c r="F168" s="39" t="str">
        <f t="array" ref="F168">IF(OR($A165="",F$5=""),"",IFNA(INDEX(DATA_LOG!$D:$D,MATCH(1,(DATA_LOG!$A:$A=$A165)*(TEXT(DATA_LOG!$B:$B,"yyyy-MM-dd")=TEXT(DATE($P$3,MONTH(1&amp;$N$3),VALUE(LEFT(F$5,2))),"yyyy-MM-dd")),0)),""))</f>
        <v/>
      </c>
      <c r="G168" s="39" t="str">
        <f t="array" ref="G168">IF(OR($A165="",G$5=""),"",IFNA(INDEX(DATA_LOG!$D:$D,MATCH(1,(DATA_LOG!$A:$A=$A165)*(TEXT(DATA_LOG!$B:$B,"yyyy-MM-dd")=TEXT(DATE($P$3,MONTH(1&amp;$N$3),VALUE(LEFT(G$5,2))),"yyyy-MM-dd")),0)),""))</f>
        <v/>
      </c>
      <c r="H168" s="39" t="str">
        <f t="array" ref="H168">IF(OR($A165="",H$5=""),"",IFNA(INDEX(DATA_LOG!$D:$D,MATCH(1,(DATA_LOG!$A:$A=$A165)*(TEXT(DATA_LOG!$B:$B,"yyyy-MM-dd")=TEXT(DATE($P$3,MONTH(1&amp;$N$3),VALUE(LEFT(H$5,2))),"yyyy-MM-dd")),0)),""))</f>
        <v/>
      </c>
      <c r="I168" s="39" t="str">
        <f t="array" ref="I168">IF(OR($A165="",I$5=""),"",IFNA(INDEX(DATA_LOG!$D:$D,MATCH(1,(DATA_LOG!$A:$A=$A165)*(TEXT(DATA_LOG!$B:$B,"yyyy-MM-dd")=TEXT(DATE($P$3,MONTH(1&amp;$N$3),VALUE(LEFT(I$5,2))),"yyyy-MM-dd")),0)),""))</f>
        <v/>
      </c>
      <c r="J168" s="39" t="str">
        <f t="array" ref="J168">IF(OR($A165="",J$5=""),"",IFNA(INDEX(DATA_LOG!$D:$D,MATCH(1,(DATA_LOG!$A:$A=$A165)*(TEXT(DATA_LOG!$B:$B,"yyyy-MM-dd")=TEXT(DATE($P$3,MONTH(1&amp;$N$3),VALUE(LEFT(J$5,2))),"yyyy-MM-dd")),0)),""))</f>
        <v/>
      </c>
      <c r="K168" s="39" t="str">
        <f t="array" ref="K168">IF(OR($A165="",K$5=""),"",IFNA(INDEX(DATA_LOG!$D:$D,MATCH(1,(DATA_LOG!$A:$A=$A165)*(TEXT(DATA_LOG!$B:$B,"yyyy-MM-dd")=TEXT(DATE($P$3,MONTH(1&amp;$N$3),VALUE(LEFT(K$5,2))),"yyyy-MM-dd")),0)),""))</f>
        <v/>
      </c>
      <c r="L168" s="39" t="str">
        <f t="array" ref="L168">IF(OR($A165="",L$5=""),"",IFNA(INDEX(DATA_LOG!$D:$D,MATCH(1,(DATA_LOG!$A:$A=$A165)*(TEXT(DATA_LOG!$B:$B,"yyyy-MM-dd")=TEXT(DATE($P$3,MONTH(1&amp;$N$3),VALUE(LEFT(L$5,2))),"yyyy-MM-dd")),0)),""))</f>
        <v/>
      </c>
      <c r="M168" s="39" t="str">
        <f t="array" ref="M168">IF(OR($A165="",M$5=""),"",IFNA(INDEX(DATA_LOG!$D:$D,MATCH(1,(DATA_LOG!$A:$A=$A165)*(TEXT(DATA_LOG!$B:$B,"yyyy-MM-dd")=TEXT(DATE($P$3,MONTH(1&amp;$N$3),VALUE(LEFT(M$5,2))),"yyyy-MM-dd")),0)),""))</f>
        <v/>
      </c>
      <c r="N168" s="39" t="str">
        <f t="array" ref="N168">IF(OR($A165="",N$5=""),"",IFNA(INDEX(DATA_LOG!$D:$D,MATCH(1,(DATA_LOG!$A:$A=$A165)*(TEXT(DATA_LOG!$B:$B,"yyyy-MM-dd")=TEXT(DATE($P$3,MONTH(1&amp;$N$3),VALUE(LEFT(N$5,2))),"yyyy-MM-dd")),0)),""))</f>
        <v/>
      </c>
      <c r="O168" s="39" t="str">
        <f t="array" ref="O168">IF(OR($A165="",O$5=""),"",IFNA(INDEX(DATA_LOG!$D:$D,MATCH(1,(DATA_LOG!$A:$A=$A165)*(TEXT(DATA_LOG!$B:$B,"yyyy-MM-dd")=TEXT(DATE($P$3,MONTH(1&amp;$N$3),VALUE(LEFT(O$5,2))),"yyyy-MM-dd")),0)),""))</f>
        <v/>
      </c>
      <c r="P168" s="39" t="str">
        <f t="array" ref="P168">IF(OR($A165="",P$5=""),"",IFNA(INDEX(DATA_LOG!$D:$D,MATCH(1,(DATA_LOG!$A:$A=$A165)*(TEXT(DATA_LOG!$B:$B,"yyyy-MM-dd")=TEXT(DATE($P$3,MONTH(1&amp;$N$3),VALUE(LEFT(P$5,2))),"yyyy-MM-dd")),0)),""))</f>
        <v/>
      </c>
      <c r="Q168" s="39" t="str">
        <f t="array" ref="Q168">IF(OR($A165="",Q$5=""),"",IFNA(INDEX(DATA_LOG!$D:$D,MATCH(1,(DATA_LOG!$A:$A=$A165)*(TEXT(DATA_LOG!$B:$B,"yyyy-MM-dd")=TEXT(DATE($P$3,MONTH(1&amp;$N$3),VALUE(LEFT(Q$5,2))),"yyyy-MM-dd")),0)),""))</f>
        <v/>
      </c>
      <c r="R168" s="39" t="str">
        <f t="array" ref="R168">IF(OR($A165="",R$5=""),"",IFNA(INDEX(DATA_LOG!$D:$D,MATCH(1,(DATA_LOG!$A:$A=$A165)*(TEXT(DATA_LOG!$B:$B,"yyyy-MM-dd")=TEXT(DATE($P$3,MONTH(1&amp;$N$3),VALUE(LEFT(R$5,2))),"yyyy-MM-dd")),0)),""))</f>
        <v/>
      </c>
      <c r="S168" s="39" t="str">
        <f t="array" ref="S168">IF(OR($A165="",S$5=""),"",IFNA(INDEX(DATA_LOG!$D:$D,MATCH(1,(DATA_LOG!$A:$A=$A165)*(TEXT(DATA_LOG!$B:$B,"yyyy-MM-dd")=TEXT(DATE($P$3,MONTH(1&amp;$N$3),VALUE(LEFT(S$5,2))),"yyyy-MM-dd")),0)),""))</f>
        <v/>
      </c>
      <c r="T168" s="39" t="str">
        <f t="array" ref="T168">IF(OR($A165="",T$5=""),"",IFNA(INDEX(DATA_LOG!$D:$D,MATCH(1,(DATA_LOG!$A:$A=$A165)*(TEXT(DATA_LOG!$B:$B,"yyyy-MM-dd")=TEXT(DATE($P$3,MONTH(1&amp;$N$3),VALUE(LEFT(T$5,2))),"yyyy-MM-dd")),0)),""))</f>
        <v/>
      </c>
      <c r="U168" s="39" t="str">
        <f t="array" ref="U168">IF(OR($A165="",U$5=""),"",IFNA(INDEX(DATA_LOG!$D:$D,MATCH(1,(DATA_LOG!$A:$A=$A165)*(TEXT(DATA_LOG!$B:$B,"yyyy-MM-dd")=TEXT(DATE($P$3,MONTH(1&amp;$N$3),VALUE(LEFT(U$5,2))),"yyyy-MM-dd")),0)),""))</f>
        <v/>
      </c>
      <c r="V168" s="39" t="str">
        <f t="array" ref="V168">IF(OR($A165="",V$5=""),"",IFNA(INDEX(DATA_LOG!$D:$D,MATCH(1,(DATA_LOG!$A:$A=$A165)*(TEXT(DATA_LOG!$B:$B,"yyyy-MM-dd")=TEXT(DATE($P$3,MONTH(1&amp;$N$3),VALUE(LEFT(V$5,2))),"yyyy-MM-dd")),0)),""))</f>
        <v/>
      </c>
      <c r="W168" s="39" t="str">
        <f t="array" ref="W168">IF(OR($A165="",W$5=""),"",IFNA(INDEX(DATA_LOG!$D:$D,MATCH(1,(DATA_LOG!$A:$A=$A165)*(TEXT(DATA_LOG!$B:$B,"yyyy-MM-dd")=TEXT(DATE($P$3,MONTH(1&amp;$N$3),VALUE(LEFT(W$5,2))),"yyyy-MM-dd")),0)),""))</f>
        <v/>
      </c>
      <c r="X168" s="39" t="str">
        <f t="array" ref="X168">IF(OR($A165="",X$5=""),"",IFNA(INDEX(DATA_LOG!$D:$D,MATCH(1,(DATA_LOG!$A:$A=$A165)*(TEXT(DATA_LOG!$B:$B,"yyyy-MM-dd")=TEXT(DATE($P$3,MONTH(1&amp;$N$3),VALUE(LEFT(X$5,2))),"yyyy-MM-dd")),0)),""))</f>
        <v/>
      </c>
      <c r="Y168" s="39" t="str">
        <f t="array" ref="Y168">IF(OR($A165="",Y$5=""),"",IFNA(INDEX(DATA_LOG!$D:$D,MATCH(1,(DATA_LOG!$A:$A=$A165)*(TEXT(DATA_LOG!$B:$B,"yyyy-MM-dd")=TEXT(DATE($P$3,MONTH(1&amp;$N$3),VALUE(LEFT(Y$5,2))),"yyyy-MM-dd")),0)),""))</f>
        <v/>
      </c>
      <c r="Z168" s="39" t="str">
        <f t="array" ref="Z168">IF(OR($A165="",Z$5=""),"",IFNA(INDEX(DATA_LOG!$D:$D,MATCH(1,(DATA_LOG!$A:$A=$A165)*(TEXT(DATA_LOG!$B:$B,"yyyy-MM-dd")=TEXT(DATE($P$3,MONTH(1&amp;$N$3),VALUE(LEFT(Z$5,2))),"yyyy-MM-dd")),0)),""))</f>
        <v/>
      </c>
      <c r="AA168" s="39" t="str">
        <f t="array" ref="AA168">IF(OR($A165="",AA$5=""),"",IFNA(INDEX(DATA_LOG!$D:$D,MATCH(1,(DATA_LOG!$A:$A=$A165)*(TEXT(DATA_LOG!$B:$B,"yyyy-MM-dd")=TEXT(DATE($P$3,MONTH(1&amp;$N$3),VALUE(LEFT(AA$5,2))),"yyyy-MM-dd")),0)),""))</f>
        <v/>
      </c>
      <c r="AB168" s="39" t="str">
        <f t="array" ref="AB168">IF(OR($A165="",AB$5=""),"",IFNA(INDEX(DATA_LOG!$D:$D,MATCH(1,(DATA_LOG!$A:$A=$A165)*(TEXT(DATA_LOG!$B:$B,"yyyy-MM-dd")=TEXT(DATE($P$3,MONTH(1&amp;$N$3),VALUE(LEFT(AB$5,2))),"yyyy-MM-dd")),0)),""))</f>
        <v/>
      </c>
      <c r="AC168" s="39" t="str">
        <f t="array" ref="AC168">IF(OR($A165="",AC$5=""),"",IFNA(INDEX(DATA_LOG!$D:$D,MATCH(1,(DATA_LOG!$A:$A=$A165)*(TEXT(DATA_LOG!$B:$B,"yyyy-MM-dd")=TEXT(DATE($P$3,MONTH(1&amp;$N$3),VALUE(LEFT(AC$5,2))),"yyyy-MM-dd")),0)),""))</f>
        <v/>
      </c>
      <c r="AD168" s="39" t="str">
        <f t="array" ref="AD168">IF(OR($A165="",AD$5=""),"",IFNA(INDEX(DATA_LOG!$D:$D,MATCH(1,(DATA_LOG!$A:$A=$A165)*(TEXT(DATA_LOG!$B:$B,"yyyy-MM-dd")=TEXT(DATE($P$3,MONTH(1&amp;$N$3),VALUE(LEFT(AD$5,2))),"yyyy-MM-dd")),0)),""))</f>
        <v/>
      </c>
      <c r="AE168" s="39" t="str">
        <f t="array" ref="AE168">IF(OR($A165="",AE$5=""),"",IFNA(INDEX(DATA_LOG!$D:$D,MATCH(1,(DATA_LOG!$A:$A=$A165)*(TEXT(DATA_LOG!$B:$B,"yyyy-MM-dd")=TEXT(DATE($P$3,MONTH(1&amp;$N$3),VALUE(LEFT(AE$5,2))),"yyyy-MM-dd")),0)),""))</f>
        <v/>
      </c>
      <c r="AF168" s="39" t="str">
        <f t="array" ref="AF168">IF(OR($A165="",AF$5=""),"",IFNA(INDEX(DATA_LOG!$D:$D,MATCH(1,(DATA_LOG!$A:$A=$A165)*(TEXT(DATA_LOG!$B:$B,"yyyy-MM-dd")=TEXT(DATE($P$3,MONTH(1&amp;$N$3),VALUE(LEFT(AF$5,2))),"yyyy-MM-dd")),0)),""))</f>
        <v/>
      </c>
    </row>
    <row r="169">
      <c r="A169" s="40" t="str">
        <f>IF($A165="", "", "TOTAL")</f>
        <v/>
      </c>
      <c r="B169" s="41" t="str">
        <f t="shared" ref="B169:AF169" si="24">IF(AND(B167&lt;&gt;"",B168&lt;&gt;""),TEXT(MOD(B168-B167,1),"hh:mm"),"")</f>
        <v/>
      </c>
      <c r="C169" s="34" t="str">
        <f t="shared" si="24"/>
        <v/>
      </c>
      <c r="D169" s="34" t="str">
        <f t="shared" si="24"/>
        <v/>
      </c>
      <c r="E169" s="34" t="str">
        <f t="shared" si="24"/>
        <v/>
      </c>
      <c r="F169" s="34" t="str">
        <f t="shared" si="24"/>
        <v/>
      </c>
      <c r="G169" s="34" t="str">
        <f t="shared" si="24"/>
        <v/>
      </c>
      <c r="H169" s="34" t="str">
        <f t="shared" si="24"/>
        <v/>
      </c>
      <c r="I169" s="34" t="str">
        <f t="shared" si="24"/>
        <v/>
      </c>
      <c r="J169" s="34" t="str">
        <f t="shared" si="24"/>
        <v/>
      </c>
      <c r="K169" s="34" t="str">
        <f t="shared" si="24"/>
        <v/>
      </c>
      <c r="L169" s="34" t="str">
        <f t="shared" si="24"/>
        <v/>
      </c>
      <c r="M169" s="34" t="str">
        <f t="shared" si="24"/>
        <v/>
      </c>
      <c r="N169" s="34" t="str">
        <f t="shared" si="24"/>
        <v/>
      </c>
      <c r="O169" s="34" t="str">
        <f t="shared" si="24"/>
        <v/>
      </c>
      <c r="P169" s="34" t="str">
        <f t="shared" si="24"/>
        <v/>
      </c>
      <c r="Q169" s="34" t="str">
        <f t="shared" si="24"/>
        <v/>
      </c>
      <c r="R169" s="34" t="str">
        <f t="shared" si="24"/>
        <v/>
      </c>
      <c r="S169" s="34" t="str">
        <f t="shared" si="24"/>
        <v/>
      </c>
      <c r="T169" s="34" t="str">
        <f t="shared" si="24"/>
        <v/>
      </c>
      <c r="U169" s="34" t="str">
        <f t="shared" si="24"/>
        <v/>
      </c>
      <c r="V169" s="34" t="str">
        <f t="shared" si="24"/>
        <v/>
      </c>
      <c r="W169" s="34" t="str">
        <f t="shared" si="24"/>
        <v/>
      </c>
      <c r="X169" s="34" t="str">
        <f t="shared" si="24"/>
        <v/>
      </c>
      <c r="Y169" s="34" t="str">
        <f t="shared" si="24"/>
        <v/>
      </c>
      <c r="Z169" s="34" t="str">
        <f t="shared" si="24"/>
        <v/>
      </c>
      <c r="AA169" s="34" t="str">
        <f t="shared" si="24"/>
        <v/>
      </c>
      <c r="AB169" s="34" t="str">
        <f t="shared" si="24"/>
        <v/>
      </c>
      <c r="AC169" s="34" t="str">
        <f t="shared" si="24"/>
        <v/>
      </c>
      <c r="AD169" s="34" t="str">
        <f t="shared" si="24"/>
        <v/>
      </c>
      <c r="AE169" s="34" t="str">
        <f t="shared" si="24"/>
        <v/>
      </c>
      <c r="AF169" s="34" t="str">
        <f t="shared" si="24"/>
        <v/>
      </c>
    </row>
    <row r="170">
      <c r="A170" s="42" t="str">
        <f>IF($A165="", "", "STATUS")</f>
        <v/>
      </c>
      <c r="B170" s="43" t="str">
        <f>IFERROR(__xludf.DUMMYFUNCTION("IF($A165="""","""",IF(B$5="""","""",LET(logStatus,IFNA(INDEX(DATA_LOG!$E:$E,MATCH(1,(DATA_LOG!$A:$A=$A165)*(TEXT(DATA_LOG!$B:$B,""yyyy-MM-dd"")=TEXT(DATE($P$3,MONTH(1&amp;$N$3),VALUE(LEFT(B$5,2))),""yyyy-MM-dd"")),0)),""""),IF(logStatus&lt;&gt;"""",UPPER(logStatus)"&amp;",IF(B169&lt;&gt;"""",IF(VALUE(B169)&gt;=9/24,""FD"",""HD""),IF(REGEXMATCH(B$5,""SUN""),""WO"",""-""))))))"),"")</f>
        <v/>
      </c>
      <c r="C170" s="43" t="str">
        <f>IFERROR(__xludf.DUMMYFUNCTION("IF($A165="""","""",IF(C$5="""","""",LET(logStatus,IFNA(INDEX(DATA_LOG!$E:$E,MATCH(1,(DATA_LOG!$A:$A=$A165)*(TEXT(DATA_LOG!$B:$B,""yyyy-MM-dd"")=TEXT(DATE($P$3,MONTH(1&amp;$N$3),VALUE(LEFT(C$5,2))),""yyyy-MM-dd"")),0)),""""),IF(logStatus&lt;&gt;"""",UPPER(logStatus)"&amp;",IF(C169&lt;&gt;"""",IF(VALUE(C169)&gt;=9/24,""FD"",""HD""),IF(REGEXMATCH(C$5,""SUN""),""WO"",""-""))))))"),"")</f>
        <v/>
      </c>
      <c r="D170" s="43" t="str">
        <f>IFERROR(__xludf.DUMMYFUNCTION("IF($A165="""","""",IF(D$5="""","""",LET(logStatus,IFNA(INDEX(DATA_LOG!$E:$E,MATCH(1,(DATA_LOG!$A:$A=$A165)*(TEXT(DATA_LOG!$B:$B,""yyyy-MM-dd"")=TEXT(DATE($P$3,MONTH(1&amp;$N$3),VALUE(LEFT(D$5,2))),""yyyy-MM-dd"")),0)),""""),IF(logStatus&lt;&gt;"""",UPPER(logStatus)"&amp;",IF(D169&lt;&gt;"""",IF(VALUE(D169)&gt;=9/24,""FD"",""HD""),IF(REGEXMATCH(D$5,""SUN""),""WO"",""-""))))))"),"")</f>
        <v/>
      </c>
      <c r="E170" s="43" t="str">
        <f>IFERROR(__xludf.DUMMYFUNCTION("IF($A165="""","""",IF(E$5="""","""",LET(logStatus,IFNA(INDEX(DATA_LOG!$E:$E,MATCH(1,(DATA_LOG!$A:$A=$A165)*(TEXT(DATA_LOG!$B:$B,""yyyy-MM-dd"")=TEXT(DATE($P$3,MONTH(1&amp;$N$3),VALUE(LEFT(E$5,2))),""yyyy-MM-dd"")),0)),""""),IF(logStatus&lt;&gt;"""",UPPER(logStatus)"&amp;",IF(E169&lt;&gt;"""",IF(VALUE(E169)&gt;=9/24,""FD"",""HD""),IF(REGEXMATCH(E$5,""SUN""),""WO"",""-""))))))"),"")</f>
        <v/>
      </c>
      <c r="F170" s="43" t="str">
        <f>IFERROR(__xludf.DUMMYFUNCTION("IF($A165="""","""",IF(F$5="""","""",LET(logStatus,IFNA(INDEX(DATA_LOG!$E:$E,MATCH(1,(DATA_LOG!$A:$A=$A165)*(TEXT(DATA_LOG!$B:$B,""yyyy-MM-dd"")=TEXT(DATE($P$3,MONTH(1&amp;$N$3),VALUE(LEFT(F$5,2))),""yyyy-MM-dd"")),0)),""""),IF(logStatus&lt;&gt;"""",UPPER(logStatus)"&amp;",IF(F169&lt;&gt;"""",IF(VALUE(F169)&gt;=9/24,""FD"",""HD""),IF(REGEXMATCH(F$5,""SUN""),""WO"",""-""))))))"),"")</f>
        <v/>
      </c>
      <c r="G170" s="43" t="str">
        <f>IFERROR(__xludf.DUMMYFUNCTION("IF($A165="""","""",IF(G$5="""","""",LET(logStatus,IFNA(INDEX(DATA_LOG!$E:$E,MATCH(1,(DATA_LOG!$A:$A=$A165)*(TEXT(DATA_LOG!$B:$B,""yyyy-MM-dd"")=TEXT(DATE($P$3,MONTH(1&amp;$N$3),VALUE(LEFT(G$5,2))),""yyyy-MM-dd"")),0)),""""),IF(logStatus&lt;&gt;"""",UPPER(logStatus)"&amp;",IF(G169&lt;&gt;"""",IF(VALUE(G169)&gt;=9/24,""FD"",""HD""),IF(REGEXMATCH(G$5,""SUN""),""WO"",""-""))))))"),"")</f>
        <v/>
      </c>
      <c r="H170" s="43" t="str">
        <f>IFERROR(__xludf.DUMMYFUNCTION("IF($A165="""","""",IF(H$5="""","""",LET(logStatus,IFNA(INDEX(DATA_LOG!$E:$E,MATCH(1,(DATA_LOG!$A:$A=$A165)*(TEXT(DATA_LOG!$B:$B,""yyyy-MM-dd"")=TEXT(DATE($P$3,MONTH(1&amp;$N$3),VALUE(LEFT(H$5,2))),""yyyy-MM-dd"")),0)),""""),IF(logStatus&lt;&gt;"""",UPPER(logStatus)"&amp;",IF(H169&lt;&gt;"""",IF(VALUE(H169)&gt;=9/24,""FD"",""HD""),IF(REGEXMATCH(H$5,""SUN""),""WO"",""-""))))))"),"")</f>
        <v/>
      </c>
      <c r="I170" s="43" t="str">
        <f>IFERROR(__xludf.DUMMYFUNCTION("IF($A165="""","""",IF(I$5="""","""",LET(logStatus,IFNA(INDEX(DATA_LOG!$E:$E,MATCH(1,(DATA_LOG!$A:$A=$A165)*(TEXT(DATA_LOG!$B:$B,""yyyy-MM-dd"")=TEXT(DATE($P$3,MONTH(1&amp;$N$3),VALUE(LEFT(I$5,2))),""yyyy-MM-dd"")),0)),""""),IF(logStatus&lt;&gt;"""",UPPER(logStatus)"&amp;",IF(I169&lt;&gt;"""",IF(VALUE(I169)&gt;=9/24,""FD"",""HD""),IF(REGEXMATCH(I$5,""SUN""),""WO"",""-""))))))"),"")</f>
        <v/>
      </c>
      <c r="J170" s="43" t="str">
        <f>IFERROR(__xludf.DUMMYFUNCTION("IF($A165="""","""",IF(J$5="""","""",LET(logStatus,IFNA(INDEX(DATA_LOG!$E:$E,MATCH(1,(DATA_LOG!$A:$A=$A165)*(TEXT(DATA_LOG!$B:$B,""yyyy-MM-dd"")=TEXT(DATE($P$3,MONTH(1&amp;$N$3),VALUE(LEFT(J$5,2))),""yyyy-MM-dd"")),0)),""""),IF(logStatus&lt;&gt;"""",UPPER(logStatus)"&amp;",IF(J169&lt;&gt;"""",IF(VALUE(J169)&gt;=9/24,""FD"",""HD""),IF(REGEXMATCH(J$5,""SUN""),""WO"",""-""))))))"),"")</f>
        <v/>
      </c>
      <c r="K170" s="43" t="str">
        <f>IFERROR(__xludf.DUMMYFUNCTION("IF($A165="""","""",IF(K$5="""","""",LET(logStatus,IFNA(INDEX(DATA_LOG!$E:$E,MATCH(1,(DATA_LOG!$A:$A=$A165)*(TEXT(DATA_LOG!$B:$B,""yyyy-MM-dd"")=TEXT(DATE($P$3,MONTH(1&amp;$N$3),VALUE(LEFT(K$5,2))),""yyyy-MM-dd"")),0)),""""),IF(logStatus&lt;&gt;"""",UPPER(logStatus)"&amp;",IF(K169&lt;&gt;"""",IF(VALUE(K169)&gt;=9/24,""FD"",""HD""),IF(REGEXMATCH(K$5,""SUN""),""WO"",""-""))))))"),"")</f>
        <v/>
      </c>
      <c r="L170" s="43" t="str">
        <f>IFERROR(__xludf.DUMMYFUNCTION("IF($A165="""","""",IF(L$5="""","""",LET(logStatus,IFNA(INDEX(DATA_LOG!$E:$E,MATCH(1,(DATA_LOG!$A:$A=$A165)*(TEXT(DATA_LOG!$B:$B,""yyyy-MM-dd"")=TEXT(DATE($P$3,MONTH(1&amp;$N$3),VALUE(LEFT(L$5,2))),""yyyy-MM-dd"")),0)),""""),IF(logStatus&lt;&gt;"""",UPPER(logStatus)"&amp;",IF(L169&lt;&gt;"""",IF(VALUE(L169)&gt;=9/24,""FD"",""HD""),IF(REGEXMATCH(L$5,""SUN""),""WO"",""-""))))))"),"")</f>
        <v/>
      </c>
      <c r="M170" s="43" t="str">
        <f>IFERROR(__xludf.DUMMYFUNCTION("IF($A165="""","""",IF(M$5="""","""",LET(logStatus,IFNA(INDEX(DATA_LOG!$E:$E,MATCH(1,(DATA_LOG!$A:$A=$A165)*(TEXT(DATA_LOG!$B:$B,""yyyy-MM-dd"")=TEXT(DATE($P$3,MONTH(1&amp;$N$3),VALUE(LEFT(M$5,2))),""yyyy-MM-dd"")),0)),""""),IF(logStatus&lt;&gt;"""",UPPER(logStatus)"&amp;",IF(M169&lt;&gt;"""",IF(VALUE(M169)&gt;=9/24,""FD"",""HD""),IF(REGEXMATCH(M$5,""SUN""),""WO"",""-""))))))"),"")</f>
        <v/>
      </c>
      <c r="N170" s="43" t="str">
        <f>IFERROR(__xludf.DUMMYFUNCTION("IF($A165="""","""",IF(N$5="""","""",LET(logStatus,IFNA(INDEX(DATA_LOG!$E:$E,MATCH(1,(DATA_LOG!$A:$A=$A165)*(TEXT(DATA_LOG!$B:$B,""yyyy-MM-dd"")=TEXT(DATE($P$3,MONTH(1&amp;$N$3),VALUE(LEFT(N$5,2))),""yyyy-MM-dd"")),0)),""""),IF(logStatus&lt;&gt;"""",UPPER(logStatus)"&amp;",IF(N169&lt;&gt;"""",IF(VALUE(N169)&gt;=9/24,""FD"",""HD""),IF(REGEXMATCH(N$5,""SUN""),""WO"",""-""))))))"),"")</f>
        <v/>
      </c>
      <c r="O170" s="43" t="str">
        <f>IFERROR(__xludf.DUMMYFUNCTION("IF($A165="""","""",IF(O$5="""","""",LET(logStatus,IFNA(INDEX(DATA_LOG!$E:$E,MATCH(1,(DATA_LOG!$A:$A=$A165)*(TEXT(DATA_LOG!$B:$B,""yyyy-MM-dd"")=TEXT(DATE($P$3,MONTH(1&amp;$N$3),VALUE(LEFT(O$5,2))),""yyyy-MM-dd"")),0)),""""),IF(logStatus&lt;&gt;"""",UPPER(logStatus)"&amp;",IF(O169&lt;&gt;"""",IF(VALUE(O169)&gt;=9/24,""FD"",""HD""),IF(REGEXMATCH(O$5,""SUN""),""WO"",""-""))))))"),"")</f>
        <v/>
      </c>
      <c r="P170" s="43" t="str">
        <f>IFERROR(__xludf.DUMMYFUNCTION("IF($A165="""","""",IF(P$5="""","""",LET(logStatus,IFNA(INDEX(DATA_LOG!$E:$E,MATCH(1,(DATA_LOG!$A:$A=$A165)*(TEXT(DATA_LOG!$B:$B,""yyyy-MM-dd"")=TEXT(DATE($P$3,MONTH(1&amp;$N$3),VALUE(LEFT(P$5,2))),""yyyy-MM-dd"")),0)),""""),IF(logStatus&lt;&gt;"""",UPPER(logStatus)"&amp;",IF(P169&lt;&gt;"""",IF(VALUE(P169)&gt;=9/24,""FD"",""HD""),IF(REGEXMATCH(P$5,""SUN""),""WO"",""-""))))))"),"")</f>
        <v/>
      </c>
      <c r="Q170" s="43" t="str">
        <f>IFERROR(__xludf.DUMMYFUNCTION("IF($A165="""","""",IF(Q$5="""","""",LET(logStatus,IFNA(INDEX(DATA_LOG!$E:$E,MATCH(1,(DATA_LOG!$A:$A=$A165)*(TEXT(DATA_LOG!$B:$B,""yyyy-MM-dd"")=TEXT(DATE($P$3,MONTH(1&amp;$N$3),VALUE(LEFT(Q$5,2))),""yyyy-MM-dd"")),0)),""""),IF(logStatus&lt;&gt;"""",UPPER(logStatus)"&amp;",IF(Q169&lt;&gt;"""",IF(VALUE(Q169)&gt;=9/24,""FD"",""HD""),IF(REGEXMATCH(Q$5,""SUN""),""WO"",""-""))))))"),"")</f>
        <v/>
      </c>
      <c r="R170" s="43" t="str">
        <f>IFERROR(__xludf.DUMMYFUNCTION("IF($A165="""","""",IF(R$5="""","""",LET(logStatus,IFNA(INDEX(DATA_LOG!$E:$E,MATCH(1,(DATA_LOG!$A:$A=$A165)*(TEXT(DATA_LOG!$B:$B,""yyyy-MM-dd"")=TEXT(DATE($P$3,MONTH(1&amp;$N$3),VALUE(LEFT(R$5,2))),""yyyy-MM-dd"")),0)),""""),IF(logStatus&lt;&gt;"""",UPPER(logStatus)"&amp;",IF(R169&lt;&gt;"""",IF(VALUE(R169)&gt;=9/24,""FD"",""HD""),IF(REGEXMATCH(R$5,""SUN""),""WO"",""-""))))))"),"")</f>
        <v/>
      </c>
      <c r="S170" s="43" t="str">
        <f>IFERROR(__xludf.DUMMYFUNCTION("IF($A165="""","""",IF(S$5="""","""",LET(logStatus,IFNA(INDEX(DATA_LOG!$E:$E,MATCH(1,(DATA_LOG!$A:$A=$A165)*(TEXT(DATA_LOG!$B:$B,""yyyy-MM-dd"")=TEXT(DATE($P$3,MONTH(1&amp;$N$3),VALUE(LEFT(S$5,2))),""yyyy-MM-dd"")),0)),""""),IF(logStatus&lt;&gt;"""",UPPER(logStatus)"&amp;",IF(S169&lt;&gt;"""",IF(VALUE(S169)&gt;=9/24,""FD"",""HD""),IF(REGEXMATCH(S$5,""SUN""),""WO"",""-""))))))"),"")</f>
        <v/>
      </c>
      <c r="T170" s="43" t="str">
        <f>IFERROR(__xludf.DUMMYFUNCTION("IF($A165="""","""",IF(T$5="""","""",LET(logStatus,IFNA(INDEX(DATA_LOG!$E:$E,MATCH(1,(DATA_LOG!$A:$A=$A165)*(TEXT(DATA_LOG!$B:$B,""yyyy-MM-dd"")=TEXT(DATE($P$3,MONTH(1&amp;$N$3),VALUE(LEFT(T$5,2))),""yyyy-MM-dd"")),0)),""""),IF(logStatus&lt;&gt;"""",UPPER(logStatus)"&amp;",IF(T169&lt;&gt;"""",IF(VALUE(T169)&gt;=9/24,""FD"",""HD""),IF(REGEXMATCH(T$5,""SUN""),""WO"",""-""))))))"),"")</f>
        <v/>
      </c>
      <c r="U170" s="43" t="str">
        <f>IFERROR(__xludf.DUMMYFUNCTION("IF($A165="""","""",IF(U$5="""","""",LET(logStatus,IFNA(INDEX(DATA_LOG!$E:$E,MATCH(1,(DATA_LOG!$A:$A=$A165)*(TEXT(DATA_LOG!$B:$B,""yyyy-MM-dd"")=TEXT(DATE($P$3,MONTH(1&amp;$N$3),VALUE(LEFT(U$5,2))),""yyyy-MM-dd"")),0)),""""),IF(logStatus&lt;&gt;"""",UPPER(logStatus)"&amp;",IF(U169&lt;&gt;"""",IF(VALUE(U169)&gt;=9/24,""FD"",""HD""),IF(REGEXMATCH(U$5,""SUN""),""WO"",""-""))))))"),"")</f>
        <v/>
      </c>
      <c r="V170" s="43" t="str">
        <f>IFERROR(__xludf.DUMMYFUNCTION("IF($A165="""","""",IF(V$5="""","""",LET(logStatus,IFNA(INDEX(DATA_LOG!$E:$E,MATCH(1,(DATA_LOG!$A:$A=$A165)*(TEXT(DATA_LOG!$B:$B,""yyyy-MM-dd"")=TEXT(DATE($P$3,MONTH(1&amp;$N$3),VALUE(LEFT(V$5,2))),""yyyy-MM-dd"")),0)),""""),IF(logStatus&lt;&gt;"""",UPPER(logStatus)"&amp;",IF(V169&lt;&gt;"""",IF(VALUE(V169)&gt;=9/24,""FD"",""HD""),IF(REGEXMATCH(V$5,""SUN""),""WO"",""-""))))))"),"")</f>
        <v/>
      </c>
      <c r="W170" s="43" t="str">
        <f>IFERROR(__xludf.DUMMYFUNCTION("IF($A165="""","""",IF(W$5="""","""",LET(logStatus,IFNA(INDEX(DATA_LOG!$E:$E,MATCH(1,(DATA_LOG!$A:$A=$A165)*(TEXT(DATA_LOG!$B:$B,""yyyy-MM-dd"")=TEXT(DATE($P$3,MONTH(1&amp;$N$3),VALUE(LEFT(W$5,2))),""yyyy-MM-dd"")),0)),""""),IF(logStatus&lt;&gt;"""",UPPER(logStatus)"&amp;",IF(W169&lt;&gt;"""",IF(VALUE(W169)&gt;=9/24,""FD"",""HD""),IF(REGEXMATCH(W$5,""SUN""),""WO"",""-""))))))"),"")</f>
        <v/>
      </c>
      <c r="X170" s="43" t="str">
        <f>IFERROR(__xludf.DUMMYFUNCTION("IF($A165="""","""",IF(X$5="""","""",LET(logStatus,IFNA(INDEX(DATA_LOG!$E:$E,MATCH(1,(DATA_LOG!$A:$A=$A165)*(TEXT(DATA_LOG!$B:$B,""yyyy-MM-dd"")=TEXT(DATE($P$3,MONTH(1&amp;$N$3),VALUE(LEFT(X$5,2))),""yyyy-MM-dd"")),0)),""""),IF(logStatus&lt;&gt;"""",UPPER(logStatus)"&amp;",IF(X169&lt;&gt;"""",IF(VALUE(X169)&gt;=9/24,""FD"",""HD""),IF(REGEXMATCH(X$5,""SUN""),""WO"",""-""))))))"),"")</f>
        <v/>
      </c>
      <c r="Y170" s="43" t="str">
        <f>IFERROR(__xludf.DUMMYFUNCTION("IF($A165="""","""",IF(Y$5="""","""",LET(logStatus,IFNA(INDEX(DATA_LOG!$E:$E,MATCH(1,(DATA_LOG!$A:$A=$A165)*(TEXT(DATA_LOG!$B:$B,""yyyy-MM-dd"")=TEXT(DATE($P$3,MONTH(1&amp;$N$3),VALUE(LEFT(Y$5,2))),""yyyy-MM-dd"")),0)),""""),IF(logStatus&lt;&gt;"""",UPPER(logStatus)"&amp;",IF(Y169&lt;&gt;"""",IF(VALUE(Y169)&gt;=9/24,""FD"",""HD""),IF(REGEXMATCH(Y$5,""SUN""),""WO"",""-""))))))"),"")</f>
        <v/>
      </c>
      <c r="Z170" s="43" t="str">
        <f>IFERROR(__xludf.DUMMYFUNCTION("IF($A165="""","""",IF(Z$5="""","""",LET(logStatus,IFNA(INDEX(DATA_LOG!$E:$E,MATCH(1,(DATA_LOG!$A:$A=$A165)*(TEXT(DATA_LOG!$B:$B,""yyyy-MM-dd"")=TEXT(DATE($P$3,MONTH(1&amp;$N$3),VALUE(LEFT(Z$5,2))),""yyyy-MM-dd"")),0)),""""),IF(logStatus&lt;&gt;"""",UPPER(logStatus)"&amp;",IF(Z169&lt;&gt;"""",IF(VALUE(Z169)&gt;=9/24,""FD"",""HD""),IF(REGEXMATCH(Z$5,""SUN""),""WO"",""-""))))))"),"")</f>
        <v/>
      </c>
      <c r="AA170" s="43" t="str">
        <f>IFERROR(__xludf.DUMMYFUNCTION("IF($A165="""","""",IF(AA$5="""","""",LET(logStatus,IFNA(INDEX(DATA_LOG!$E:$E,MATCH(1,(DATA_LOG!$A:$A=$A165)*(TEXT(DATA_LOG!$B:$B,""yyyy-MM-dd"")=TEXT(DATE($P$3,MONTH(1&amp;$N$3),VALUE(LEFT(AA$5,2))),""yyyy-MM-dd"")),0)),""""),IF(logStatus&lt;&gt;"""",UPPER(logStatu"&amp;"s),IF(AA169&lt;&gt;"""",IF(VALUE(AA169)&gt;=9/24,""FD"",""HD""),IF(REGEXMATCH(AA$5,""SUN""),""WO"",""-""))))))"),"")</f>
        <v/>
      </c>
      <c r="AB170" s="43" t="str">
        <f>IFERROR(__xludf.DUMMYFUNCTION("IF($A165="""","""",IF(AB$5="""","""",LET(logStatus,IFNA(INDEX(DATA_LOG!$E:$E,MATCH(1,(DATA_LOG!$A:$A=$A165)*(TEXT(DATA_LOG!$B:$B,""yyyy-MM-dd"")=TEXT(DATE($P$3,MONTH(1&amp;$N$3),VALUE(LEFT(AB$5,2))),""yyyy-MM-dd"")),0)),""""),IF(logStatus&lt;&gt;"""",UPPER(logStatu"&amp;"s),IF(AB169&lt;&gt;"""",IF(VALUE(AB169)&gt;=9/24,""FD"",""HD""),IF(REGEXMATCH(AB$5,""SUN""),""WO"",""-""))))))"),"")</f>
        <v/>
      </c>
      <c r="AC170" s="43" t="str">
        <f>IFERROR(__xludf.DUMMYFUNCTION("IF($A165="""","""",IF(AC$5="""","""",LET(logStatus,IFNA(INDEX(DATA_LOG!$E:$E,MATCH(1,(DATA_LOG!$A:$A=$A165)*(TEXT(DATA_LOG!$B:$B,""yyyy-MM-dd"")=TEXT(DATE($P$3,MONTH(1&amp;$N$3),VALUE(LEFT(AC$5,2))),""yyyy-MM-dd"")),0)),""""),IF(logStatus&lt;&gt;"""",UPPER(logStatu"&amp;"s),IF(AC169&lt;&gt;"""",IF(VALUE(AC169)&gt;=9/24,""FD"",""HD""),IF(REGEXMATCH(AC$5,""SUN""),""WO"",""-""))))))"),"")</f>
        <v/>
      </c>
      <c r="AD170" s="43" t="str">
        <f>IFERROR(__xludf.DUMMYFUNCTION("IF($A165="""","""",IF(AD$5="""","""",LET(logStatus,IFNA(INDEX(DATA_LOG!$E:$E,MATCH(1,(DATA_LOG!$A:$A=$A165)*(TEXT(DATA_LOG!$B:$B,""yyyy-MM-dd"")=TEXT(DATE($P$3,MONTH(1&amp;$N$3),VALUE(LEFT(AD$5,2))),""yyyy-MM-dd"")),0)),""""),IF(logStatus&lt;&gt;"""",UPPER(logStatu"&amp;"s),IF(AD169&lt;&gt;"""",IF(VALUE(AD169)&gt;=9/24,""FD"",""HD""),IF(REGEXMATCH(AD$5,""SUN""),""WO"",""-""))))))"),"")</f>
        <v/>
      </c>
      <c r="AE170" s="43" t="str">
        <f>IFERROR(__xludf.DUMMYFUNCTION("IF($A165="""","""",IF(AE$5="""","""",LET(logStatus,IFNA(INDEX(DATA_LOG!$E:$E,MATCH(1,(DATA_LOG!$A:$A=$A165)*(TEXT(DATA_LOG!$B:$B,""yyyy-MM-dd"")=TEXT(DATE($P$3,MONTH(1&amp;$N$3),VALUE(LEFT(AE$5,2))),""yyyy-MM-dd"")),0)),""""),IF(logStatus&lt;&gt;"""",UPPER(logStatu"&amp;"s),IF(AE169&lt;&gt;"""",IF(VALUE(AE169)&gt;=9/24,""FD"",""HD""),IF(REGEXMATCH(AE$5,""SUN""),""WO"",""-""))))))"),"")</f>
        <v/>
      </c>
      <c r="AF170" s="43" t="str">
        <f>IFERROR(__xludf.DUMMYFUNCTION("IF($A165="""","""",IF(AF$5="""","""",LET(logStatus,IFNA(INDEX(DATA_LOG!$E:$E,MATCH(1,(DATA_LOG!$A:$A=$A165)*(TEXT(DATA_LOG!$B:$B,""yyyy-MM-dd"")=TEXT(DATE($P$3,MONTH(1&amp;$N$3),VALUE(LEFT(AF$5,2))),""yyyy-MM-dd"")),0)),""""),IF(logStatus&lt;&gt;"""",UPPER(logStatu"&amp;"s),IF(AF169&lt;&gt;"""",IF(VALUE(AF169)&gt;=9/24,""FD"",""HD""),IF(REGEXMATCH(AF$5,""SUN""),""WO"",""-""))))))"),"")</f>
        <v/>
      </c>
    </row>
    <row r="171">
      <c r="A171" s="44"/>
    </row>
    <row r="172">
      <c r="A172" s="25" t="str">
        <f t="array" ref="A172">INDEX(EMPLOYEE_LIST!$A:$A,INT((ROW()-4)/7)+2)</f>
        <v/>
      </c>
      <c r="B172" s="26"/>
      <c r="C172" s="27"/>
      <c r="D172" s="28" t="str">
        <f>IF(A172="", "", IFERROR(VLOOKUP(A172, EMPLOYEE_LIST!$A:$H, 2, FALSE), ""))</f>
        <v/>
      </c>
      <c r="E172" s="26"/>
      <c r="F172" s="26"/>
      <c r="G172" s="27"/>
      <c r="H172" s="29" t="str">
        <f>IF(A172="", "", IFERROR(VLOOKUP(A172, EMPLOYEE_LIST!$A:$H, 3, FALSE), ""))</f>
        <v/>
      </c>
      <c r="I172" s="26"/>
      <c r="J172" s="26"/>
      <c r="K172" s="27"/>
      <c r="L172" s="29" t="str">
        <f>IF(A172="", "", IFERROR(VLOOKUP(A172, EMPLOYEE_LIST!$A:$H, 4, FALSE), ""))</f>
        <v/>
      </c>
      <c r="M172" s="26"/>
      <c r="N172" s="26"/>
      <c r="O172" s="27"/>
      <c r="P172" s="30" t="str">
        <f>IF($A172="", "", "Full Day: " &amp; COUNTIF(B177:AF177, "FD"))</f>
        <v/>
      </c>
      <c r="Q172" s="26"/>
      <c r="R172" s="27"/>
      <c r="S172" s="31" t="str">
        <f>IF($A172="", "", "HALF Day: " &amp; COUNTIF(B177:AF177, "HD"))</f>
        <v/>
      </c>
      <c r="T172" s="26"/>
      <c r="U172" s="27"/>
      <c r="V172" s="31" t="str">
        <f>IF($A172="", "", "ABSENT: " &amp; COUNTIF(B177:AF177, "A"))</f>
        <v/>
      </c>
      <c r="W172" s="26"/>
      <c r="X172" s="27"/>
      <c r="Y172" s="31" t="str">
        <f>IF($A172="", "", "WEEK OFF: " &amp; COUNTIF(B177:AF177, "WO"))</f>
        <v/>
      </c>
      <c r="Z172" s="26"/>
      <c r="AA172" s="27"/>
      <c r="AB172" s="31" t="str">
        <f>IF($A172="", "", "LEAVE: " &amp; COUNTIF(B177:AF177, "L"))</f>
        <v/>
      </c>
      <c r="AC172" s="27"/>
      <c r="AD172" s="31" t="str">
        <f>IF($A172="", "", "HOLIDAY: " &amp; COUNTIF(B177:AF177, "HL"))</f>
        <v/>
      </c>
      <c r="AE172" s="26"/>
      <c r="AF172" s="27"/>
    </row>
    <row r="173">
      <c r="A173" s="32" t="str">
        <f>IF($A172="", "", "DATE")</f>
        <v/>
      </c>
      <c r="B173" s="33" t="str">
        <f t="array" ref="B173">IF($A172="","",LET(mNum,MONTH(1&amp;$N$3),start,DATE($P$3,mNum,1),days,DAY(EOMONTH(start,0)),MAP(SEQUENCE(1,days,0),LAMBDA(n,UPPER(TEXT(start+n,"dd (ddd)"))))))</f>
        <v/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>
      <c r="A174" s="37" t="str">
        <f>IF($A172="", "", "IN")</f>
        <v/>
      </c>
      <c r="B174" s="39" t="str">
        <f t="array" ref="B174">IF(OR($A172="",B$5=""),"",IFNA(INDEX(DATA_LOG!$C:$C,MATCH(1,(DATA_LOG!$A:$A=$A172)*(TEXT(DATA_LOG!$B:$B,"yyyy-MM-dd")=TEXT(DATE($P$3,MONTH(1&amp;$N$3),VALUE(LEFT(B$5,2))),"yyyy-MM-dd")),0)),""))</f>
        <v/>
      </c>
      <c r="C174" s="39" t="str">
        <f t="array" ref="C174">IF(OR($A172="",C$5=""),"",IFNA(INDEX(DATA_LOG!$C:$C,MATCH(1,(DATA_LOG!$A:$A=$A172)*(TEXT(DATA_LOG!$B:$B,"yyyy-MM-dd")=TEXT(DATE($P$3,MONTH(1&amp;$N$3),VALUE(LEFT(C$5,2))),"yyyy-MM-dd")),0)),""))</f>
        <v/>
      </c>
      <c r="D174" s="39" t="str">
        <f t="array" ref="D174">IF(OR($A172="",D$5=""),"",IFNA(INDEX(DATA_LOG!$C:$C,MATCH(1,(DATA_LOG!$A:$A=$A172)*(TEXT(DATA_LOG!$B:$B,"yyyy-MM-dd")=TEXT(DATE($P$3,MONTH(1&amp;$N$3),VALUE(LEFT(D$5,2))),"yyyy-MM-dd")),0)),""))</f>
        <v/>
      </c>
      <c r="E174" s="39" t="str">
        <f t="array" ref="E174">IF(OR($A172="",E$5=""),"",IFNA(INDEX(DATA_LOG!$C:$C,MATCH(1,(DATA_LOG!$A:$A=$A172)*(TEXT(DATA_LOG!$B:$B,"yyyy-MM-dd")=TEXT(DATE($P$3,MONTH(1&amp;$N$3),VALUE(LEFT(E$5,2))),"yyyy-MM-dd")),0)),""))</f>
        <v/>
      </c>
      <c r="F174" s="39" t="str">
        <f t="array" ref="F174">IF(OR($A172="",F$5=""),"",IFNA(INDEX(DATA_LOG!$C:$C,MATCH(1,(DATA_LOG!$A:$A=$A172)*(TEXT(DATA_LOG!$B:$B,"yyyy-MM-dd")=TEXT(DATE($P$3,MONTH(1&amp;$N$3),VALUE(LEFT(F$5,2))),"yyyy-MM-dd")),0)),""))</f>
        <v/>
      </c>
      <c r="G174" s="39" t="str">
        <f t="array" ref="G174">IF(OR($A172="",G$5=""),"",IFNA(INDEX(DATA_LOG!$C:$C,MATCH(1,(DATA_LOG!$A:$A=$A172)*(TEXT(DATA_LOG!$B:$B,"yyyy-MM-dd")=TEXT(DATE($P$3,MONTH(1&amp;$N$3),VALUE(LEFT(G$5,2))),"yyyy-MM-dd")),0)),""))</f>
        <v/>
      </c>
      <c r="H174" s="39" t="str">
        <f t="array" ref="H174">IF(OR($A172="",H$5=""),"",IFNA(INDEX(DATA_LOG!$C:$C,MATCH(1,(DATA_LOG!$A:$A=$A172)*(TEXT(DATA_LOG!$B:$B,"yyyy-MM-dd")=TEXT(DATE($P$3,MONTH(1&amp;$N$3),VALUE(LEFT(H$5,2))),"yyyy-MM-dd")),0)),""))</f>
        <v/>
      </c>
      <c r="I174" s="39" t="str">
        <f t="array" ref="I174">IF(OR($A172="",I$5=""),"",IFNA(INDEX(DATA_LOG!$C:$C,MATCH(1,(DATA_LOG!$A:$A=$A172)*(TEXT(DATA_LOG!$B:$B,"yyyy-MM-dd")=TEXT(DATE($P$3,MONTH(1&amp;$N$3),VALUE(LEFT(I$5,2))),"yyyy-MM-dd")),0)),""))</f>
        <v/>
      </c>
      <c r="J174" s="39" t="str">
        <f t="array" ref="J174">IF(OR($A172="",J$5=""),"",IFNA(INDEX(DATA_LOG!$C:$C,MATCH(1,(DATA_LOG!$A:$A=$A172)*(TEXT(DATA_LOG!$B:$B,"yyyy-MM-dd")=TEXT(DATE($P$3,MONTH(1&amp;$N$3),VALUE(LEFT(J$5,2))),"yyyy-MM-dd")),0)),""))</f>
        <v/>
      </c>
      <c r="K174" s="39" t="str">
        <f t="array" ref="K174">IF(OR($A172="",K$5=""),"",IFNA(INDEX(DATA_LOG!$C:$C,MATCH(1,(DATA_LOG!$A:$A=$A172)*(TEXT(DATA_LOG!$B:$B,"yyyy-MM-dd")=TEXT(DATE($P$3,MONTH(1&amp;$N$3),VALUE(LEFT(K$5,2))),"yyyy-MM-dd")),0)),""))</f>
        <v/>
      </c>
      <c r="L174" s="39" t="str">
        <f t="array" ref="L174">IF(OR($A172="",L$5=""),"",IFNA(INDEX(DATA_LOG!$C:$C,MATCH(1,(DATA_LOG!$A:$A=$A172)*(TEXT(DATA_LOG!$B:$B,"yyyy-MM-dd")=TEXT(DATE($P$3,MONTH(1&amp;$N$3),VALUE(LEFT(L$5,2))),"yyyy-MM-dd")),0)),""))</f>
        <v/>
      </c>
      <c r="M174" s="39" t="str">
        <f t="array" ref="M174">IF(OR($A172="",M$5=""),"",IFNA(INDEX(DATA_LOG!$C:$C,MATCH(1,(DATA_LOG!$A:$A=$A172)*(TEXT(DATA_LOG!$B:$B,"yyyy-MM-dd")=TEXT(DATE($P$3,MONTH(1&amp;$N$3),VALUE(LEFT(M$5,2))),"yyyy-MM-dd")),0)),""))</f>
        <v/>
      </c>
      <c r="N174" s="39" t="str">
        <f t="array" ref="N174">IF(OR($A172="",N$5=""),"",IFNA(INDEX(DATA_LOG!$C:$C,MATCH(1,(DATA_LOG!$A:$A=$A172)*(TEXT(DATA_LOG!$B:$B,"yyyy-MM-dd")=TEXT(DATE($P$3,MONTH(1&amp;$N$3),VALUE(LEFT(N$5,2))),"yyyy-MM-dd")),0)),""))</f>
        <v/>
      </c>
      <c r="O174" s="39" t="str">
        <f t="array" ref="O174">IF(OR($A172="",O$5=""),"",IFNA(INDEX(DATA_LOG!$C:$C,MATCH(1,(DATA_LOG!$A:$A=$A172)*(TEXT(DATA_LOG!$B:$B,"yyyy-MM-dd")=TEXT(DATE($P$3,MONTH(1&amp;$N$3),VALUE(LEFT(O$5,2))),"yyyy-MM-dd")),0)),""))</f>
        <v/>
      </c>
      <c r="P174" s="39" t="str">
        <f t="array" ref="P174">IF(OR($A172="",P$5=""),"",IFNA(INDEX(DATA_LOG!$C:$C,MATCH(1,(DATA_LOG!$A:$A=$A172)*(TEXT(DATA_LOG!$B:$B,"yyyy-MM-dd")=TEXT(DATE($P$3,MONTH(1&amp;$N$3),VALUE(LEFT(P$5,2))),"yyyy-MM-dd")),0)),""))</f>
        <v/>
      </c>
      <c r="Q174" s="39" t="str">
        <f t="array" ref="Q174">IF(OR($A172="",Q$5=""),"",IFNA(INDEX(DATA_LOG!$C:$C,MATCH(1,(DATA_LOG!$A:$A=$A172)*(TEXT(DATA_LOG!$B:$B,"yyyy-MM-dd")=TEXT(DATE($P$3,MONTH(1&amp;$N$3),VALUE(LEFT(Q$5,2))),"yyyy-MM-dd")),0)),""))</f>
        <v/>
      </c>
      <c r="R174" s="39" t="str">
        <f t="array" ref="R174">IF(OR($A172="",R$5=""),"",IFNA(INDEX(DATA_LOG!$C:$C,MATCH(1,(DATA_LOG!$A:$A=$A172)*(TEXT(DATA_LOG!$B:$B,"yyyy-MM-dd")=TEXT(DATE($P$3,MONTH(1&amp;$N$3),VALUE(LEFT(R$5,2))),"yyyy-MM-dd")),0)),""))</f>
        <v/>
      </c>
      <c r="S174" s="39" t="str">
        <f t="array" ref="S174">IF(OR($A172="",S$5=""),"",IFNA(INDEX(DATA_LOG!$C:$C,MATCH(1,(DATA_LOG!$A:$A=$A172)*(TEXT(DATA_LOG!$B:$B,"yyyy-MM-dd")=TEXT(DATE($P$3,MONTH(1&amp;$N$3),VALUE(LEFT(S$5,2))),"yyyy-MM-dd")),0)),""))</f>
        <v/>
      </c>
      <c r="T174" s="39" t="str">
        <f t="array" ref="T174">IF(OR($A172="",T$5=""),"",IFNA(INDEX(DATA_LOG!$C:$C,MATCH(1,(DATA_LOG!$A:$A=$A172)*(TEXT(DATA_LOG!$B:$B,"yyyy-MM-dd")=TEXT(DATE($P$3,MONTH(1&amp;$N$3),VALUE(LEFT(T$5,2))),"yyyy-MM-dd")),0)),""))</f>
        <v/>
      </c>
      <c r="U174" s="39" t="str">
        <f t="array" ref="U174">IF(OR($A172="",U$5=""),"",IFNA(INDEX(DATA_LOG!$C:$C,MATCH(1,(DATA_LOG!$A:$A=$A172)*(TEXT(DATA_LOG!$B:$B,"yyyy-MM-dd")=TEXT(DATE($P$3,MONTH(1&amp;$N$3),VALUE(LEFT(U$5,2))),"yyyy-MM-dd")),0)),""))</f>
        <v/>
      </c>
      <c r="V174" s="39" t="str">
        <f t="array" ref="V174">IF(OR($A172="",V$5=""),"",IFNA(INDEX(DATA_LOG!$C:$C,MATCH(1,(DATA_LOG!$A:$A=$A172)*(TEXT(DATA_LOG!$B:$B,"yyyy-MM-dd")=TEXT(DATE($P$3,MONTH(1&amp;$N$3),VALUE(LEFT(V$5,2))),"yyyy-MM-dd")),0)),""))</f>
        <v/>
      </c>
      <c r="W174" s="39" t="str">
        <f t="array" ref="W174">IF(OR($A172="",W$5=""),"",IFNA(INDEX(DATA_LOG!$C:$C,MATCH(1,(DATA_LOG!$A:$A=$A172)*(TEXT(DATA_LOG!$B:$B,"yyyy-MM-dd")=TEXT(DATE($P$3,MONTH(1&amp;$N$3),VALUE(LEFT(W$5,2))),"yyyy-MM-dd")),0)),""))</f>
        <v/>
      </c>
      <c r="X174" s="39" t="str">
        <f t="array" ref="X174">IF(OR($A172="",X$5=""),"",IFNA(INDEX(DATA_LOG!$C:$C,MATCH(1,(DATA_LOG!$A:$A=$A172)*(TEXT(DATA_LOG!$B:$B,"yyyy-MM-dd")=TEXT(DATE($P$3,MONTH(1&amp;$N$3),VALUE(LEFT(X$5,2))),"yyyy-MM-dd")),0)),""))</f>
        <v/>
      </c>
      <c r="Y174" s="39" t="str">
        <f t="array" ref="Y174">IF(OR($A172="",Y$5=""),"",IFNA(INDEX(DATA_LOG!$C:$C,MATCH(1,(DATA_LOG!$A:$A=$A172)*(TEXT(DATA_LOG!$B:$B,"yyyy-MM-dd")=TEXT(DATE($P$3,MONTH(1&amp;$N$3),VALUE(LEFT(Y$5,2))),"yyyy-MM-dd")),0)),""))</f>
        <v/>
      </c>
      <c r="Z174" s="39" t="str">
        <f t="array" ref="Z174">IF(OR($A172="",Z$5=""),"",IFNA(INDEX(DATA_LOG!$C:$C,MATCH(1,(DATA_LOG!$A:$A=$A172)*(TEXT(DATA_LOG!$B:$B,"yyyy-MM-dd")=TEXT(DATE($P$3,MONTH(1&amp;$N$3),VALUE(LEFT(Z$5,2))),"yyyy-MM-dd")),0)),""))</f>
        <v/>
      </c>
      <c r="AA174" s="39" t="str">
        <f t="array" ref="AA174">IF(OR($A172="",AA$5=""),"",IFNA(INDEX(DATA_LOG!$C:$C,MATCH(1,(DATA_LOG!$A:$A=$A172)*(TEXT(DATA_LOG!$B:$B,"yyyy-MM-dd")=TEXT(DATE($P$3,MONTH(1&amp;$N$3),VALUE(LEFT(AA$5,2))),"yyyy-MM-dd")),0)),""))</f>
        <v/>
      </c>
      <c r="AB174" s="39" t="str">
        <f t="array" ref="AB174">IF(OR($A172="",AB$5=""),"",IFNA(INDEX(DATA_LOG!$C:$C,MATCH(1,(DATA_LOG!$A:$A=$A172)*(TEXT(DATA_LOG!$B:$B,"yyyy-MM-dd")=TEXT(DATE($P$3,MONTH(1&amp;$N$3),VALUE(LEFT(AB$5,2))),"yyyy-MM-dd")),0)),""))</f>
        <v/>
      </c>
      <c r="AC174" s="39" t="str">
        <f t="array" ref="AC174">IF(OR($A172="",AC$5=""),"",IFNA(INDEX(DATA_LOG!$C:$C,MATCH(1,(DATA_LOG!$A:$A=$A172)*(TEXT(DATA_LOG!$B:$B,"yyyy-MM-dd")=TEXT(DATE($P$3,MONTH(1&amp;$N$3),VALUE(LEFT(AC$5,2))),"yyyy-MM-dd")),0)),""))</f>
        <v/>
      </c>
      <c r="AD174" s="39" t="str">
        <f t="array" ref="AD174">IF(OR($A172="",AD$5=""),"",IFNA(INDEX(DATA_LOG!$C:$C,MATCH(1,(DATA_LOG!$A:$A=$A172)*(TEXT(DATA_LOG!$B:$B,"yyyy-MM-dd")=TEXT(DATE($P$3,MONTH(1&amp;$N$3),VALUE(LEFT(AD$5,2))),"yyyy-MM-dd")),0)),""))</f>
        <v/>
      </c>
      <c r="AE174" s="39" t="str">
        <f t="array" ref="AE174">IF(OR($A172="",AE$5=""),"",IFNA(INDEX(DATA_LOG!$C:$C,MATCH(1,(DATA_LOG!$A:$A=$A172)*(TEXT(DATA_LOG!$B:$B,"yyyy-MM-dd")=TEXT(DATE($P$3,MONTH(1&amp;$N$3),VALUE(LEFT(AE$5,2))),"yyyy-MM-dd")),0)),""))</f>
        <v/>
      </c>
      <c r="AF174" s="39" t="str">
        <f t="array" ref="AF174">IF(OR($A172="",AF$5=""),"",IFNA(INDEX(DATA_LOG!$C:$C,MATCH(1,(DATA_LOG!$A:$A=$A172)*(TEXT(DATA_LOG!$B:$B,"yyyy-MM-dd")=TEXT(DATE($P$3,MONTH(1&amp;$N$3),VALUE(LEFT(AF$5,2))),"yyyy-MM-dd")),0)),""))</f>
        <v/>
      </c>
    </row>
    <row r="175">
      <c r="A175" s="37" t="str">
        <f>IF($A172="", "", "OUT")</f>
        <v/>
      </c>
      <c r="B175" s="39" t="str">
        <f t="array" ref="B175">IF(OR($A172="",B$5=""),"",IFNA(INDEX(DATA_LOG!$D:$D,MATCH(1,(DATA_LOG!$A:$A=$A172)*(TEXT(DATA_LOG!$B:$B,"yyyy-MM-dd")=TEXT(DATE($P$3,MONTH(1&amp;$N$3),VALUE(LEFT(B$5,2))),"yyyy-MM-dd")),0)),""))</f>
        <v/>
      </c>
      <c r="C175" s="39" t="str">
        <f t="array" ref="C175">IF(OR($A172="",C$5=""),"",IFNA(INDEX(DATA_LOG!$D:$D,MATCH(1,(DATA_LOG!$A:$A=$A172)*(TEXT(DATA_LOG!$B:$B,"yyyy-MM-dd")=TEXT(DATE($P$3,MONTH(1&amp;$N$3),VALUE(LEFT(C$5,2))),"yyyy-MM-dd")),0)),""))</f>
        <v/>
      </c>
      <c r="D175" s="39" t="str">
        <f t="array" ref="D175">IF(OR($A172="",D$5=""),"",IFNA(INDEX(DATA_LOG!$D:$D,MATCH(1,(DATA_LOG!$A:$A=$A172)*(TEXT(DATA_LOG!$B:$B,"yyyy-MM-dd")=TEXT(DATE($P$3,MONTH(1&amp;$N$3),VALUE(LEFT(D$5,2))),"yyyy-MM-dd")),0)),""))</f>
        <v/>
      </c>
      <c r="E175" s="39" t="str">
        <f t="array" ref="E175">IF(OR($A172="",E$5=""),"",IFNA(INDEX(DATA_LOG!$D:$D,MATCH(1,(DATA_LOG!$A:$A=$A172)*(TEXT(DATA_LOG!$B:$B,"yyyy-MM-dd")=TEXT(DATE($P$3,MONTH(1&amp;$N$3),VALUE(LEFT(E$5,2))),"yyyy-MM-dd")),0)),""))</f>
        <v/>
      </c>
      <c r="F175" s="39" t="str">
        <f t="array" ref="F175">IF(OR($A172="",F$5=""),"",IFNA(INDEX(DATA_LOG!$D:$D,MATCH(1,(DATA_LOG!$A:$A=$A172)*(TEXT(DATA_LOG!$B:$B,"yyyy-MM-dd")=TEXT(DATE($P$3,MONTH(1&amp;$N$3),VALUE(LEFT(F$5,2))),"yyyy-MM-dd")),0)),""))</f>
        <v/>
      </c>
      <c r="G175" s="39" t="str">
        <f t="array" ref="G175">IF(OR($A172="",G$5=""),"",IFNA(INDEX(DATA_LOG!$D:$D,MATCH(1,(DATA_LOG!$A:$A=$A172)*(TEXT(DATA_LOG!$B:$B,"yyyy-MM-dd")=TEXT(DATE($P$3,MONTH(1&amp;$N$3),VALUE(LEFT(G$5,2))),"yyyy-MM-dd")),0)),""))</f>
        <v/>
      </c>
      <c r="H175" s="39" t="str">
        <f t="array" ref="H175">IF(OR($A172="",H$5=""),"",IFNA(INDEX(DATA_LOG!$D:$D,MATCH(1,(DATA_LOG!$A:$A=$A172)*(TEXT(DATA_LOG!$B:$B,"yyyy-MM-dd")=TEXT(DATE($P$3,MONTH(1&amp;$N$3),VALUE(LEFT(H$5,2))),"yyyy-MM-dd")),0)),""))</f>
        <v/>
      </c>
      <c r="I175" s="39" t="str">
        <f t="array" ref="I175">IF(OR($A172="",I$5=""),"",IFNA(INDEX(DATA_LOG!$D:$D,MATCH(1,(DATA_LOG!$A:$A=$A172)*(TEXT(DATA_LOG!$B:$B,"yyyy-MM-dd")=TEXT(DATE($P$3,MONTH(1&amp;$N$3),VALUE(LEFT(I$5,2))),"yyyy-MM-dd")),0)),""))</f>
        <v/>
      </c>
      <c r="J175" s="39" t="str">
        <f t="array" ref="J175">IF(OR($A172="",J$5=""),"",IFNA(INDEX(DATA_LOG!$D:$D,MATCH(1,(DATA_LOG!$A:$A=$A172)*(TEXT(DATA_LOG!$B:$B,"yyyy-MM-dd")=TEXT(DATE($P$3,MONTH(1&amp;$N$3),VALUE(LEFT(J$5,2))),"yyyy-MM-dd")),0)),""))</f>
        <v/>
      </c>
      <c r="K175" s="39" t="str">
        <f t="array" ref="K175">IF(OR($A172="",K$5=""),"",IFNA(INDEX(DATA_LOG!$D:$D,MATCH(1,(DATA_LOG!$A:$A=$A172)*(TEXT(DATA_LOG!$B:$B,"yyyy-MM-dd")=TEXT(DATE($P$3,MONTH(1&amp;$N$3),VALUE(LEFT(K$5,2))),"yyyy-MM-dd")),0)),""))</f>
        <v/>
      </c>
      <c r="L175" s="39" t="str">
        <f t="array" ref="L175">IF(OR($A172="",L$5=""),"",IFNA(INDEX(DATA_LOG!$D:$D,MATCH(1,(DATA_LOG!$A:$A=$A172)*(TEXT(DATA_LOG!$B:$B,"yyyy-MM-dd")=TEXT(DATE($P$3,MONTH(1&amp;$N$3),VALUE(LEFT(L$5,2))),"yyyy-MM-dd")),0)),""))</f>
        <v/>
      </c>
      <c r="M175" s="39" t="str">
        <f t="array" ref="M175">IF(OR($A172="",M$5=""),"",IFNA(INDEX(DATA_LOG!$D:$D,MATCH(1,(DATA_LOG!$A:$A=$A172)*(TEXT(DATA_LOG!$B:$B,"yyyy-MM-dd")=TEXT(DATE($P$3,MONTH(1&amp;$N$3),VALUE(LEFT(M$5,2))),"yyyy-MM-dd")),0)),""))</f>
        <v/>
      </c>
      <c r="N175" s="39" t="str">
        <f t="array" ref="N175">IF(OR($A172="",N$5=""),"",IFNA(INDEX(DATA_LOG!$D:$D,MATCH(1,(DATA_LOG!$A:$A=$A172)*(TEXT(DATA_LOG!$B:$B,"yyyy-MM-dd")=TEXT(DATE($P$3,MONTH(1&amp;$N$3),VALUE(LEFT(N$5,2))),"yyyy-MM-dd")),0)),""))</f>
        <v/>
      </c>
      <c r="O175" s="39" t="str">
        <f t="array" ref="O175">IF(OR($A172="",O$5=""),"",IFNA(INDEX(DATA_LOG!$D:$D,MATCH(1,(DATA_LOG!$A:$A=$A172)*(TEXT(DATA_LOG!$B:$B,"yyyy-MM-dd")=TEXT(DATE($P$3,MONTH(1&amp;$N$3),VALUE(LEFT(O$5,2))),"yyyy-MM-dd")),0)),""))</f>
        <v/>
      </c>
      <c r="P175" s="39" t="str">
        <f t="array" ref="P175">IF(OR($A172="",P$5=""),"",IFNA(INDEX(DATA_LOG!$D:$D,MATCH(1,(DATA_LOG!$A:$A=$A172)*(TEXT(DATA_LOG!$B:$B,"yyyy-MM-dd")=TEXT(DATE($P$3,MONTH(1&amp;$N$3),VALUE(LEFT(P$5,2))),"yyyy-MM-dd")),0)),""))</f>
        <v/>
      </c>
      <c r="Q175" s="39" t="str">
        <f t="array" ref="Q175">IF(OR($A172="",Q$5=""),"",IFNA(INDEX(DATA_LOG!$D:$D,MATCH(1,(DATA_LOG!$A:$A=$A172)*(TEXT(DATA_LOG!$B:$B,"yyyy-MM-dd")=TEXT(DATE($P$3,MONTH(1&amp;$N$3),VALUE(LEFT(Q$5,2))),"yyyy-MM-dd")),0)),""))</f>
        <v/>
      </c>
      <c r="R175" s="39" t="str">
        <f t="array" ref="R175">IF(OR($A172="",R$5=""),"",IFNA(INDEX(DATA_LOG!$D:$D,MATCH(1,(DATA_LOG!$A:$A=$A172)*(TEXT(DATA_LOG!$B:$B,"yyyy-MM-dd")=TEXT(DATE($P$3,MONTH(1&amp;$N$3),VALUE(LEFT(R$5,2))),"yyyy-MM-dd")),0)),""))</f>
        <v/>
      </c>
      <c r="S175" s="39" t="str">
        <f t="array" ref="S175">IF(OR($A172="",S$5=""),"",IFNA(INDEX(DATA_LOG!$D:$D,MATCH(1,(DATA_LOG!$A:$A=$A172)*(TEXT(DATA_LOG!$B:$B,"yyyy-MM-dd")=TEXT(DATE($P$3,MONTH(1&amp;$N$3),VALUE(LEFT(S$5,2))),"yyyy-MM-dd")),0)),""))</f>
        <v/>
      </c>
      <c r="T175" s="39" t="str">
        <f t="array" ref="T175">IF(OR($A172="",T$5=""),"",IFNA(INDEX(DATA_LOG!$D:$D,MATCH(1,(DATA_LOG!$A:$A=$A172)*(TEXT(DATA_LOG!$B:$B,"yyyy-MM-dd")=TEXT(DATE($P$3,MONTH(1&amp;$N$3),VALUE(LEFT(T$5,2))),"yyyy-MM-dd")),0)),""))</f>
        <v/>
      </c>
      <c r="U175" s="39" t="str">
        <f t="array" ref="U175">IF(OR($A172="",U$5=""),"",IFNA(INDEX(DATA_LOG!$D:$D,MATCH(1,(DATA_LOG!$A:$A=$A172)*(TEXT(DATA_LOG!$B:$B,"yyyy-MM-dd")=TEXT(DATE($P$3,MONTH(1&amp;$N$3),VALUE(LEFT(U$5,2))),"yyyy-MM-dd")),0)),""))</f>
        <v/>
      </c>
      <c r="V175" s="39" t="str">
        <f t="array" ref="V175">IF(OR($A172="",V$5=""),"",IFNA(INDEX(DATA_LOG!$D:$D,MATCH(1,(DATA_LOG!$A:$A=$A172)*(TEXT(DATA_LOG!$B:$B,"yyyy-MM-dd")=TEXT(DATE($P$3,MONTH(1&amp;$N$3),VALUE(LEFT(V$5,2))),"yyyy-MM-dd")),0)),""))</f>
        <v/>
      </c>
      <c r="W175" s="39" t="str">
        <f t="array" ref="W175">IF(OR($A172="",W$5=""),"",IFNA(INDEX(DATA_LOG!$D:$D,MATCH(1,(DATA_LOG!$A:$A=$A172)*(TEXT(DATA_LOG!$B:$B,"yyyy-MM-dd")=TEXT(DATE($P$3,MONTH(1&amp;$N$3),VALUE(LEFT(W$5,2))),"yyyy-MM-dd")),0)),""))</f>
        <v/>
      </c>
      <c r="X175" s="39" t="str">
        <f t="array" ref="X175">IF(OR($A172="",X$5=""),"",IFNA(INDEX(DATA_LOG!$D:$D,MATCH(1,(DATA_LOG!$A:$A=$A172)*(TEXT(DATA_LOG!$B:$B,"yyyy-MM-dd")=TEXT(DATE($P$3,MONTH(1&amp;$N$3),VALUE(LEFT(X$5,2))),"yyyy-MM-dd")),0)),""))</f>
        <v/>
      </c>
      <c r="Y175" s="39" t="str">
        <f t="array" ref="Y175">IF(OR($A172="",Y$5=""),"",IFNA(INDEX(DATA_LOG!$D:$D,MATCH(1,(DATA_LOG!$A:$A=$A172)*(TEXT(DATA_LOG!$B:$B,"yyyy-MM-dd")=TEXT(DATE($P$3,MONTH(1&amp;$N$3),VALUE(LEFT(Y$5,2))),"yyyy-MM-dd")),0)),""))</f>
        <v/>
      </c>
      <c r="Z175" s="39" t="str">
        <f t="array" ref="Z175">IF(OR($A172="",Z$5=""),"",IFNA(INDEX(DATA_LOG!$D:$D,MATCH(1,(DATA_LOG!$A:$A=$A172)*(TEXT(DATA_LOG!$B:$B,"yyyy-MM-dd")=TEXT(DATE($P$3,MONTH(1&amp;$N$3),VALUE(LEFT(Z$5,2))),"yyyy-MM-dd")),0)),""))</f>
        <v/>
      </c>
      <c r="AA175" s="39" t="str">
        <f t="array" ref="AA175">IF(OR($A172="",AA$5=""),"",IFNA(INDEX(DATA_LOG!$D:$D,MATCH(1,(DATA_LOG!$A:$A=$A172)*(TEXT(DATA_LOG!$B:$B,"yyyy-MM-dd")=TEXT(DATE($P$3,MONTH(1&amp;$N$3),VALUE(LEFT(AA$5,2))),"yyyy-MM-dd")),0)),""))</f>
        <v/>
      </c>
      <c r="AB175" s="39" t="str">
        <f t="array" ref="AB175">IF(OR($A172="",AB$5=""),"",IFNA(INDEX(DATA_LOG!$D:$D,MATCH(1,(DATA_LOG!$A:$A=$A172)*(TEXT(DATA_LOG!$B:$B,"yyyy-MM-dd")=TEXT(DATE($P$3,MONTH(1&amp;$N$3),VALUE(LEFT(AB$5,2))),"yyyy-MM-dd")),0)),""))</f>
        <v/>
      </c>
      <c r="AC175" s="39" t="str">
        <f t="array" ref="AC175">IF(OR($A172="",AC$5=""),"",IFNA(INDEX(DATA_LOG!$D:$D,MATCH(1,(DATA_LOG!$A:$A=$A172)*(TEXT(DATA_LOG!$B:$B,"yyyy-MM-dd")=TEXT(DATE($P$3,MONTH(1&amp;$N$3),VALUE(LEFT(AC$5,2))),"yyyy-MM-dd")),0)),""))</f>
        <v/>
      </c>
      <c r="AD175" s="39" t="str">
        <f t="array" ref="AD175">IF(OR($A172="",AD$5=""),"",IFNA(INDEX(DATA_LOG!$D:$D,MATCH(1,(DATA_LOG!$A:$A=$A172)*(TEXT(DATA_LOG!$B:$B,"yyyy-MM-dd")=TEXT(DATE($P$3,MONTH(1&amp;$N$3),VALUE(LEFT(AD$5,2))),"yyyy-MM-dd")),0)),""))</f>
        <v/>
      </c>
      <c r="AE175" s="39" t="str">
        <f t="array" ref="AE175">IF(OR($A172="",AE$5=""),"",IFNA(INDEX(DATA_LOG!$D:$D,MATCH(1,(DATA_LOG!$A:$A=$A172)*(TEXT(DATA_LOG!$B:$B,"yyyy-MM-dd")=TEXT(DATE($P$3,MONTH(1&amp;$N$3),VALUE(LEFT(AE$5,2))),"yyyy-MM-dd")),0)),""))</f>
        <v/>
      </c>
      <c r="AF175" s="39" t="str">
        <f t="array" ref="AF175">IF(OR($A172="",AF$5=""),"",IFNA(INDEX(DATA_LOG!$D:$D,MATCH(1,(DATA_LOG!$A:$A=$A172)*(TEXT(DATA_LOG!$B:$B,"yyyy-MM-dd")=TEXT(DATE($P$3,MONTH(1&amp;$N$3),VALUE(LEFT(AF$5,2))),"yyyy-MM-dd")),0)),""))</f>
        <v/>
      </c>
    </row>
    <row r="176">
      <c r="A176" s="40" t="str">
        <f>IF($A172="", "", "TOTAL")</f>
        <v/>
      </c>
      <c r="B176" s="41" t="str">
        <f t="shared" ref="B176:AF176" si="25">IF(AND(B174&lt;&gt;"",B175&lt;&gt;""),TEXT(MOD(B175-B174,1),"hh:mm"),"")</f>
        <v/>
      </c>
      <c r="C176" s="34" t="str">
        <f t="shared" si="25"/>
        <v/>
      </c>
      <c r="D176" s="34" t="str">
        <f t="shared" si="25"/>
        <v/>
      </c>
      <c r="E176" s="34" t="str">
        <f t="shared" si="25"/>
        <v/>
      </c>
      <c r="F176" s="34" t="str">
        <f t="shared" si="25"/>
        <v/>
      </c>
      <c r="G176" s="34" t="str">
        <f t="shared" si="25"/>
        <v/>
      </c>
      <c r="H176" s="34" t="str">
        <f t="shared" si="25"/>
        <v/>
      </c>
      <c r="I176" s="34" t="str">
        <f t="shared" si="25"/>
        <v/>
      </c>
      <c r="J176" s="34" t="str">
        <f t="shared" si="25"/>
        <v/>
      </c>
      <c r="K176" s="34" t="str">
        <f t="shared" si="25"/>
        <v/>
      </c>
      <c r="L176" s="34" t="str">
        <f t="shared" si="25"/>
        <v/>
      </c>
      <c r="M176" s="34" t="str">
        <f t="shared" si="25"/>
        <v/>
      </c>
      <c r="N176" s="34" t="str">
        <f t="shared" si="25"/>
        <v/>
      </c>
      <c r="O176" s="34" t="str">
        <f t="shared" si="25"/>
        <v/>
      </c>
      <c r="P176" s="34" t="str">
        <f t="shared" si="25"/>
        <v/>
      </c>
      <c r="Q176" s="34" t="str">
        <f t="shared" si="25"/>
        <v/>
      </c>
      <c r="R176" s="34" t="str">
        <f t="shared" si="25"/>
        <v/>
      </c>
      <c r="S176" s="34" t="str">
        <f t="shared" si="25"/>
        <v/>
      </c>
      <c r="T176" s="34" t="str">
        <f t="shared" si="25"/>
        <v/>
      </c>
      <c r="U176" s="34" t="str">
        <f t="shared" si="25"/>
        <v/>
      </c>
      <c r="V176" s="34" t="str">
        <f t="shared" si="25"/>
        <v/>
      </c>
      <c r="W176" s="34" t="str">
        <f t="shared" si="25"/>
        <v/>
      </c>
      <c r="X176" s="34" t="str">
        <f t="shared" si="25"/>
        <v/>
      </c>
      <c r="Y176" s="34" t="str">
        <f t="shared" si="25"/>
        <v/>
      </c>
      <c r="Z176" s="34" t="str">
        <f t="shared" si="25"/>
        <v/>
      </c>
      <c r="AA176" s="34" t="str">
        <f t="shared" si="25"/>
        <v/>
      </c>
      <c r="AB176" s="34" t="str">
        <f t="shared" si="25"/>
        <v/>
      </c>
      <c r="AC176" s="34" t="str">
        <f t="shared" si="25"/>
        <v/>
      </c>
      <c r="AD176" s="34" t="str">
        <f t="shared" si="25"/>
        <v/>
      </c>
      <c r="AE176" s="34" t="str">
        <f t="shared" si="25"/>
        <v/>
      </c>
      <c r="AF176" s="34" t="str">
        <f t="shared" si="25"/>
        <v/>
      </c>
    </row>
    <row r="177">
      <c r="A177" s="42" t="str">
        <f>IF($A172="", "", "STATUS")</f>
        <v/>
      </c>
      <c r="B177" s="43" t="str">
        <f>IFERROR(__xludf.DUMMYFUNCTION("IF($A172="""","""",IF(B$5="""","""",LET(logStatus,IFNA(INDEX(DATA_LOG!$E:$E,MATCH(1,(DATA_LOG!$A:$A=$A172)*(TEXT(DATA_LOG!$B:$B,""yyyy-MM-dd"")=TEXT(DATE($P$3,MONTH(1&amp;$N$3),VALUE(LEFT(B$5,2))),""yyyy-MM-dd"")),0)),""""),IF(logStatus&lt;&gt;"""",UPPER(logStatus)"&amp;",IF(B176&lt;&gt;"""",IF(VALUE(B176)&gt;=9/24,""FD"",""HD""),IF(REGEXMATCH(B$5,""SUN""),""WO"",""-""))))))"),"")</f>
        <v/>
      </c>
      <c r="C177" s="43" t="str">
        <f>IFERROR(__xludf.DUMMYFUNCTION("IF($A172="""","""",IF(C$5="""","""",LET(logStatus,IFNA(INDEX(DATA_LOG!$E:$E,MATCH(1,(DATA_LOG!$A:$A=$A172)*(TEXT(DATA_LOG!$B:$B,""yyyy-MM-dd"")=TEXT(DATE($P$3,MONTH(1&amp;$N$3),VALUE(LEFT(C$5,2))),""yyyy-MM-dd"")),0)),""""),IF(logStatus&lt;&gt;"""",UPPER(logStatus)"&amp;",IF(C176&lt;&gt;"""",IF(VALUE(C176)&gt;=9/24,""FD"",""HD""),IF(REGEXMATCH(C$5,""SUN""),""WO"",""-""))))))"),"")</f>
        <v/>
      </c>
      <c r="D177" s="43" t="str">
        <f>IFERROR(__xludf.DUMMYFUNCTION("IF($A172="""","""",IF(D$5="""","""",LET(logStatus,IFNA(INDEX(DATA_LOG!$E:$E,MATCH(1,(DATA_LOG!$A:$A=$A172)*(TEXT(DATA_LOG!$B:$B,""yyyy-MM-dd"")=TEXT(DATE($P$3,MONTH(1&amp;$N$3),VALUE(LEFT(D$5,2))),""yyyy-MM-dd"")),0)),""""),IF(logStatus&lt;&gt;"""",UPPER(logStatus)"&amp;",IF(D176&lt;&gt;"""",IF(VALUE(D176)&gt;=9/24,""FD"",""HD""),IF(REGEXMATCH(D$5,""SUN""),""WO"",""-""))))))"),"")</f>
        <v/>
      </c>
      <c r="E177" s="43" t="str">
        <f>IFERROR(__xludf.DUMMYFUNCTION("IF($A172="""","""",IF(E$5="""","""",LET(logStatus,IFNA(INDEX(DATA_LOG!$E:$E,MATCH(1,(DATA_LOG!$A:$A=$A172)*(TEXT(DATA_LOG!$B:$B,""yyyy-MM-dd"")=TEXT(DATE($P$3,MONTH(1&amp;$N$3),VALUE(LEFT(E$5,2))),""yyyy-MM-dd"")),0)),""""),IF(logStatus&lt;&gt;"""",UPPER(logStatus)"&amp;",IF(E176&lt;&gt;"""",IF(VALUE(E176)&gt;=9/24,""FD"",""HD""),IF(REGEXMATCH(E$5,""SUN""),""WO"",""-""))))))"),"")</f>
        <v/>
      </c>
      <c r="F177" s="43" t="str">
        <f>IFERROR(__xludf.DUMMYFUNCTION("IF($A172="""","""",IF(F$5="""","""",LET(logStatus,IFNA(INDEX(DATA_LOG!$E:$E,MATCH(1,(DATA_LOG!$A:$A=$A172)*(TEXT(DATA_LOG!$B:$B,""yyyy-MM-dd"")=TEXT(DATE($P$3,MONTH(1&amp;$N$3),VALUE(LEFT(F$5,2))),""yyyy-MM-dd"")),0)),""""),IF(logStatus&lt;&gt;"""",UPPER(logStatus)"&amp;",IF(F176&lt;&gt;"""",IF(VALUE(F176)&gt;=9/24,""FD"",""HD""),IF(REGEXMATCH(F$5,""SUN""),""WO"",""-""))))))"),"")</f>
        <v/>
      </c>
      <c r="G177" s="43" t="str">
        <f>IFERROR(__xludf.DUMMYFUNCTION("IF($A172="""","""",IF(G$5="""","""",LET(logStatus,IFNA(INDEX(DATA_LOG!$E:$E,MATCH(1,(DATA_LOG!$A:$A=$A172)*(TEXT(DATA_LOG!$B:$B,""yyyy-MM-dd"")=TEXT(DATE($P$3,MONTH(1&amp;$N$3),VALUE(LEFT(G$5,2))),""yyyy-MM-dd"")),0)),""""),IF(logStatus&lt;&gt;"""",UPPER(logStatus)"&amp;",IF(G176&lt;&gt;"""",IF(VALUE(G176)&gt;=9/24,""FD"",""HD""),IF(REGEXMATCH(G$5,""SUN""),""WO"",""-""))))))"),"")</f>
        <v/>
      </c>
      <c r="H177" s="43" t="str">
        <f>IFERROR(__xludf.DUMMYFUNCTION("IF($A172="""","""",IF(H$5="""","""",LET(logStatus,IFNA(INDEX(DATA_LOG!$E:$E,MATCH(1,(DATA_LOG!$A:$A=$A172)*(TEXT(DATA_LOG!$B:$B,""yyyy-MM-dd"")=TEXT(DATE($P$3,MONTH(1&amp;$N$3),VALUE(LEFT(H$5,2))),""yyyy-MM-dd"")),0)),""""),IF(logStatus&lt;&gt;"""",UPPER(logStatus)"&amp;",IF(H176&lt;&gt;"""",IF(VALUE(H176)&gt;=9/24,""FD"",""HD""),IF(REGEXMATCH(H$5,""SUN""),""WO"",""-""))))))"),"")</f>
        <v/>
      </c>
      <c r="I177" s="43" t="str">
        <f>IFERROR(__xludf.DUMMYFUNCTION("IF($A172="""","""",IF(I$5="""","""",LET(logStatus,IFNA(INDEX(DATA_LOG!$E:$E,MATCH(1,(DATA_LOG!$A:$A=$A172)*(TEXT(DATA_LOG!$B:$B,""yyyy-MM-dd"")=TEXT(DATE($P$3,MONTH(1&amp;$N$3),VALUE(LEFT(I$5,2))),""yyyy-MM-dd"")),0)),""""),IF(logStatus&lt;&gt;"""",UPPER(logStatus)"&amp;",IF(I176&lt;&gt;"""",IF(VALUE(I176)&gt;=9/24,""FD"",""HD""),IF(REGEXMATCH(I$5,""SUN""),""WO"",""-""))))))"),"")</f>
        <v/>
      </c>
      <c r="J177" s="43" t="str">
        <f>IFERROR(__xludf.DUMMYFUNCTION("IF($A172="""","""",IF(J$5="""","""",LET(logStatus,IFNA(INDEX(DATA_LOG!$E:$E,MATCH(1,(DATA_LOG!$A:$A=$A172)*(TEXT(DATA_LOG!$B:$B,""yyyy-MM-dd"")=TEXT(DATE($P$3,MONTH(1&amp;$N$3),VALUE(LEFT(J$5,2))),""yyyy-MM-dd"")),0)),""""),IF(logStatus&lt;&gt;"""",UPPER(logStatus)"&amp;",IF(J176&lt;&gt;"""",IF(VALUE(J176)&gt;=9/24,""FD"",""HD""),IF(REGEXMATCH(J$5,""SUN""),""WO"",""-""))))))"),"")</f>
        <v/>
      </c>
      <c r="K177" s="43" t="str">
        <f>IFERROR(__xludf.DUMMYFUNCTION("IF($A172="""","""",IF(K$5="""","""",LET(logStatus,IFNA(INDEX(DATA_LOG!$E:$E,MATCH(1,(DATA_LOG!$A:$A=$A172)*(TEXT(DATA_LOG!$B:$B,""yyyy-MM-dd"")=TEXT(DATE($P$3,MONTH(1&amp;$N$3),VALUE(LEFT(K$5,2))),""yyyy-MM-dd"")),0)),""""),IF(logStatus&lt;&gt;"""",UPPER(logStatus)"&amp;",IF(K176&lt;&gt;"""",IF(VALUE(K176)&gt;=9/24,""FD"",""HD""),IF(REGEXMATCH(K$5,""SUN""),""WO"",""-""))))))"),"")</f>
        <v/>
      </c>
      <c r="L177" s="43" t="str">
        <f>IFERROR(__xludf.DUMMYFUNCTION("IF($A172="""","""",IF(L$5="""","""",LET(logStatus,IFNA(INDEX(DATA_LOG!$E:$E,MATCH(1,(DATA_LOG!$A:$A=$A172)*(TEXT(DATA_LOG!$B:$B,""yyyy-MM-dd"")=TEXT(DATE($P$3,MONTH(1&amp;$N$3),VALUE(LEFT(L$5,2))),""yyyy-MM-dd"")),0)),""""),IF(logStatus&lt;&gt;"""",UPPER(logStatus)"&amp;",IF(L176&lt;&gt;"""",IF(VALUE(L176)&gt;=9/24,""FD"",""HD""),IF(REGEXMATCH(L$5,""SUN""),""WO"",""-""))))))"),"")</f>
        <v/>
      </c>
      <c r="M177" s="43" t="str">
        <f>IFERROR(__xludf.DUMMYFUNCTION("IF($A172="""","""",IF(M$5="""","""",LET(logStatus,IFNA(INDEX(DATA_LOG!$E:$E,MATCH(1,(DATA_LOG!$A:$A=$A172)*(TEXT(DATA_LOG!$B:$B,""yyyy-MM-dd"")=TEXT(DATE($P$3,MONTH(1&amp;$N$3),VALUE(LEFT(M$5,2))),""yyyy-MM-dd"")),0)),""""),IF(logStatus&lt;&gt;"""",UPPER(logStatus)"&amp;",IF(M176&lt;&gt;"""",IF(VALUE(M176)&gt;=9/24,""FD"",""HD""),IF(REGEXMATCH(M$5,""SUN""),""WO"",""-""))))))"),"")</f>
        <v/>
      </c>
      <c r="N177" s="43" t="str">
        <f>IFERROR(__xludf.DUMMYFUNCTION("IF($A172="""","""",IF(N$5="""","""",LET(logStatus,IFNA(INDEX(DATA_LOG!$E:$E,MATCH(1,(DATA_LOG!$A:$A=$A172)*(TEXT(DATA_LOG!$B:$B,""yyyy-MM-dd"")=TEXT(DATE($P$3,MONTH(1&amp;$N$3),VALUE(LEFT(N$5,2))),""yyyy-MM-dd"")),0)),""""),IF(logStatus&lt;&gt;"""",UPPER(logStatus)"&amp;",IF(N176&lt;&gt;"""",IF(VALUE(N176)&gt;=9/24,""FD"",""HD""),IF(REGEXMATCH(N$5,""SUN""),""WO"",""-""))))))"),"")</f>
        <v/>
      </c>
      <c r="O177" s="43" t="str">
        <f>IFERROR(__xludf.DUMMYFUNCTION("IF($A172="""","""",IF(O$5="""","""",LET(logStatus,IFNA(INDEX(DATA_LOG!$E:$E,MATCH(1,(DATA_LOG!$A:$A=$A172)*(TEXT(DATA_LOG!$B:$B,""yyyy-MM-dd"")=TEXT(DATE($P$3,MONTH(1&amp;$N$3),VALUE(LEFT(O$5,2))),""yyyy-MM-dd"")),0)),""""),IF(logStatus&lt;&gt;"""",UPPER(logStatus)"&amp;",IF(O176&lt;&gt;"""",IF(VALUE(O176)&gt;=9/24,""FD"",""HD""),IF(REGEXMATCH(O$5,""SUN""),""WO"",""-""))))))"),"")</f>
        <v/>
      </c>
      <c r="P177" s="43" t="str">
        <f>IFERROR(__xludf.DUMMYFUNCTION("IF($A172="""","""",IF(P$5="""","""",LET(logStatus,IFNA(INDEX(DATA_LOG!$E:$E,MATCH(1,(DATA_LOG!$A:$A=$A172)*(TEXT(DATA_LOG!$B:$B,""yyyy-MM-dd"")=TEXT(DATE($P$3,MONTH(1&amp;$N$3),VALUE(LEFT(P$5,2))),""yyyy-MM-dd"")),0)),""""),IF(logStatus&lt;&gt;"""",UPPER(logStatus)"&amp;",IF(P176&lt;&gt;"""",IF(VALUE(P176)&gt;=9/24,""FD"",""HD""),IF(REGEXMATCH(P$5,""SUN""),""WO"",""-""))))))"),"")</f>
        <v/>
      </c>
      <c r="Q177" s="43" t="str">
        <f>IFERROR(__xludf.DUMMYFUNCTION("IF($A172="""","""",IF(Q$5="""","""",LET(logStatus,IFNA(INDEX(DATA_LOG!$E:$E,MATCH(1,(DATA_LOG!$A:$A=$A172)*(TEXT(DATA_LOG!$B:$B,""yyyy-MM-dd"")=TEXT(DATE($P$3,MONTH(1&amp;$N$3),VALUE(LEFT(Q$5,2))),""yyyy-MM-dd"")),0)),""""),IF(logStatus&lt;&gt;"""",UPPER(logStatus)"&amp;",IF(Q176&lt;&gt;"""",IF(VALUE(Q176)&gt;=9/24,""FD"",""HD""),IF(REGEXMATCH(Q$5,""SUN""),""WO"",""-""))))))"),"")</f>
        <v/>
      </c>
      <c r="R177" s="43" t="str">
        <f>IFERROR(__xludf.DUMMYFUNCTION("IF($A172="""","""",IF(R$5="""","""",LET(logStatus,IFNA(INDEX(DATA_LOG!$E:$E,MATCH(1,(DATA_LOG!$A:$A=$A172)*(TEXT(DATA_LOG!$B:$B,""yyyy-MM-dd"")=TEXT(DATE($P$3,MONTH(1&amp;$N$3),VALUE(LEFT(R$5,2))),""yyyy-MM-dd"")),0)),""""),IF(logStatus&lt;&gt;"""",UPPER(logStatus)"&amp;",IF(R176&lt;&gt;"""",IF(VALUE(R176)&gt;=9/24,""FD"",""HD""),IF(REGEXMATCH(R$5,""SUN""),""WO"",""-""))))))"),"")</f>
        <v/>
      </c>
      <c r="S177" s="43" t="str">
        <f>IFERROR(__xludf.DUMMYFUNCTION("IF($A172="""","""",IF(S$5="""","""",LET(logStatus,IFNA(INDEX(DATA_LOG!$E:$E,MATCH(1,(DATA_LOG!$A:$A=$A172)*(TEXT(DATA_LOG!$B:$B,""yyyy-MM-dd"")=TEXT(DATE($P$3,MONTH(1&amp;$N$3),VALUE(LEFT(S$5,2))),""yyyy-MM-dd"")),0)),""""),IF(logStatus&lt;&gt;"""",UPPER(logStatus)"&amp;",IF(S176&lt;&gt;"""",IF(VALUE(S176)&gt;=9/24,""FD"",""HD""),IF(REGEXMATCH(S$5,""SUN""),""WO"",""-""))))))"),"")</f>
        <v/>
      </c>
      <c r="T177" s="43" t="str">
        <f>IFERROR(__xludf.DUMMYFUNCTION("IF($A172="""","""",IF(T$5="""","""",LET(logStatus,IFNA(INDEX(DATA_LOG!$E:$E,MATCH(1,(DATA_LOG!$A:$A=$A172)*(TEXT(DATA_LOG!$B:$B,""yyyy-MM-dd"")=TEXT(DATE($P$3,MONTH(1&amp;$N$3),VALUE(LEFT(T$5,2))),""yyyy-MM-dd"")),0)),""""),IF(logStatus&lt;&gt;"""",UPPER(logStatus)"&amp;",IF(T176&lt;&gt;"""",IF(VALUE(T176)&gt;=9/24,""FD"",""HD""),IF(REGEXMATCH(T$5,""SUN""),""WO"",""-""))))))"),"")</f>
        <v/>
      </c>
      <c r="U177" s="43" t="str">
        <f>IFERROR(__xludf.DUMMYFUNCTION("IF($A172="""","""",IF(U$5="""","""",LET(logStatus,IFNA(INDEX(DATA_LOG!$E:$E,MATCH(1,(DATA_LOG!$A:$A=$A172)*(TEXT(DATA_LOG!$B:$B,""yyyy-MM-dd"")=TEXT(DATE($P$3,MONTH(1&amp;$N$3),VALUE(LEFT(U$5,2))),""yyyy-MM-dd"")),0)),""""),IF(logStatus&lt;&gt;"""",UPPER(logStatus)"&amp;",IF(U176&lt;&gt;"""",IF(VALUE(U176)&gt;=9/24,""FD"",""HD""),IF(REGEXMATCH(U$5,""SUN""),""WO"",""-""))))))"),"")</f>
        <v/>
      </c>
      <c r="V177" s="43" t="str">
        <f>IFERROR(__xludf.DUMMYFUNCTION("IF($A172="""","""",IF(V$5="""","""",LET(logStatus,IFNA(INDEX(DATA_LOG!$E:$E,MATCH(1,(DATA_LOG!$A:$A=$A172)*(TEXT(DATA_LOG!$B:$B,""yyyy-MM-dd"")=TEXT(DATE($P$3,MONTH(1&amp;$N$3),VALUE(LEFT(V$5,2))),""yyyy-MM-dd"")),0)),""""),IF(logStatus&lt;&gt;"""",UPPER(logStatus)"&amp;",IF(V176&lt;&gt;"""",IF(VALUE(V176)&gt;=9/24,""FD"",""HD""),IF(REGEXMATCH(V$5,""SUN""),""WO"",""-""))))))"),"")</f>
        <v/>
      </c>
      <c r="W177" s="43" t="str">
        <f>IFERROR(__xludf.DUMMYFUNCTION("IF($A172="""","""",IF(W$5="""","""",LET(logStatus,IFNA(INDEX(DATA_LOG!$E:$E,MATCH(1,(DATA_LOG!$A:$A=$A172)*(TEXT(DATA_LOG!$B:$B,""yyyy-MM-dd"")=TEXT(DATE($P$3,MONTH(1&amp;$N$3),VALUE(LEFT(W$5,2))),""yyyy-MM-dd"")),0)),""""),IF(logStatus&lt;&gt;"""",UPPER(logStatus)"&amp;",IF(W176&lt;&gt;"""",IF(VALUE(W176)&gt;=9/24,""FD"",""HD""),IF(REGEXMATCH(W$5,""SUN""),""WO"",""-""))))))"),"")</f>
        <v/>
      </c>
      <c r="X177" s="43" t="str">
        <f>IFERROR(__xludf.DUMMYFUNCTION("IF($A172="""","""",IF(X$5="""","""",LET(logStatus,IFNA(INDEX(DATA_LOG!$E:$E,MATCH(1,(DATA_LOG!$A:$A=$A172)*(TEXT(DATA_LOG!$B:$B,""yyyy-MM-dd"")=TEXT(DATE($P$3,MONTH(1&amp;$N$3),VALUE(LEFT(X$5,2))),""yyyy-MM-dd"")),0)),""""),IF(logStatus&lt;&gt;"""",UPPER(logStatus)"&amp;",IF(X176&lt;&gt;"""",IF(VALUE(X176)&gt;=9/24,""FD"",""HD""),IF(REGEXMATCH(X$5,""SUN""),""WO"",""-""))))))"),"")</f>
        <v/>
      </c>
      <c r="Y177" s="43" t="str">
        <f>IFERROR(__xludf.DUMMYFUNCTION("IF($A172="""","""",IF(Y$5="""","""",LET(logStatus,IFNA(INDEX(DATA_LOG!$E:$E,MATCH(1,(DATA_LOG!$A:$A=$A172)*(TEXT(DATA_LOG!$B:$B,""yyyy-MM-dd"")=TEXT(DATE($P$3,MONTH(1&amp;$N$3),VALUE(LEFT(Y$5,2))),""yyyy-MM-dd"")),0)),""""),IF(logStatus&lt;&gt;"""",UPPER(logStatus)"&amp;",IF(Y176&lt;&gt;"""",IF(VALUE(Y176)&gt;=9/24,""FD"",""HD""),IF(REGEXMATCH(Y$5,""SUN""),""WO"",""-""))))))"),"")</f>
        <v/>
      </c>
      <c r="Z177" s="43" t="str">
        <f>IFERROR(__xludf.DUMMYFUNCTION("IF($A172="""","""",IF(Z$5="""","""",LET(logStatus,IFNA(INDEX(DATA_LOG!$E:$E,MATCH(1,(DATA_LOG!$A:$A=$A172)*(TEXT(DATA_LOG!$B:$B,""yyyy-MM-dd"")=TEXT(DATE($P$3,MONTH(1&amp;$N$3),VALUE(LEFT(Z$5,2))),""yyyy-MM-dd"")),0)),""""),IF(logStatus&lt;&gt;"""",UPPER(logStatus)"&amp;",IF(Z176&lt;&gt;"""",IF(VALUE(Z176)&gt;=9/24,""FD"",""HD""),IF(REGEXMATCH(Z$5,""SUN""),""WO"",""-""))))))"),"")</f>
        <v/>
      </c>
      <c r="AA177" s="43" t="str">
        <f>IFERROR(__xludf.DUMMYFUNCTION("IF($A172="""","""",IF(AA$5="""","""",LET(logStatus,IFNA(INDEX(DATA_LOG!$E:$E,MATCH(1,(DATA_LOG!$A:$A=$A172)*(TEXT(DATA_LOG!$B:$B,""yyyy-MM-dd"")=TEXT(DATE($P$3,MONTH(1&amp;$N$3),VALUE(LEFT(AA$5,2))),""yyyy-MM-dd"")),0)),""""),IF(logStatus&lt;&gt;"""",UPPER(logStatu"&amp;"s),IF(AA176&lt;&gt;"""",IF(VALUE(AA176)&gt;=9/24,""FD"",""HD""),IF(REGEXMATCH(AA$5,""SUN""),""WO"",""-""))))))"),"")</f>
        <v/>
      </c>
      <c r="AB177" s="43" t="str">
        <f>IFERROR(__xludf.DUMMYFUNCTION("IF($A172="""","""",IF(AB$5="""","""",LET(logStatus,IFNA(INDEX(DATA_LOG!$E:$E,MATCH(1,(DATA_LOG!$A:$A=$A172)*(TEXT(DATA_LOG!$B:$B,""yyyy-MM-dd"")=TEXT(DATE($P$3,MONTH(1&amp;$N$3),VALUE(LEFT(AB$5,2))),""yyyy-MM-dd"")),0)),""""),IF(logStatus&lt;&gt;"""",UPPER(logStatu"&amp;"s),IF(AB176&lt;&gt;"""",IF(VALUE(AB176)&gt;=9/24,""FD"",""HD""),IF(REGEXMATCH(AB$5,""SUN""),""WO"",""-""))))))"),"")</f>
        <v/>
      </c>
      <c r="AC177" s="43" t="str">
        <f>IFERROR(__xludf.DUMMYFUNCTION("IF($A172="""","""",IF(AC$5="""","""",LET(logStatus,IFNA(INDEX(DATA_LOG!$E:$E,MATCH(1,(DATA_LOG!$A:$A=$A172)*(TEXT(DATA_LOG!$B:$B,""yyyy-MM-dd"")=TEXT(DATE($P$3,MONTH(1&amp;$N$3),VALUE(LEFT(AC$5,2))),""yyyy-MM-dd"")),0)),""""),IF(logStatus&lt;&gt;"""",UPPER(logStatu"&amp;"s),IF(AC176&lt;&gt;"""",IF(VALUE(AC176)&gt;=9/24,""FD"",""HD""),IF(REGEXMATCH(AC$5,""SUN""),""WO"",""-""))))))"),"")</f>
        <v/>
      </c>
      <c r="AD177" s="43" t="str">
        <f>IFERROR(__xludf.DUMMYFUNCTION("IF($A172="""","""",IF(AD$5="""","""",LET(logStatus,IFNA(INDEX(DATA_LOG!$E:$E,MATCH(1,(DATA_LOG!$A:$A=$A172)*(TEXT(DATA_LOG!$B:$B,""yyyy-MM-dd"")=TEXT(DATE($P$3,MONTH(1&amp;$N$3),VALUE(LEFT(AD$5,2))),""yyyy-MM-dd"")),0)),""""),IF(logStatus&lt;&gt;"""",UPPER(logStatu"&amp;"s),IF(AD176&lt;&gt;"""",IF(VALUE(AD176)&gt;=9/24,""FD"",""HD""),IF(REGEXMATCH(AD$5,""SUN""),""WO"",""-""))))))"),"")</f>
        <v/>
      </c>
      <c r="AE177" s="43" t="str">
        <f>IFERROR(__xludf.DUMMYFUNCTION("IF($A172="""","""",IF(AE$5="""","""",LET(logStatus,IFNA(INDEX(DATA_LOG!$E:$E,MATCH(1,(DATA_LOG!$A:$A=$A172)*(TEXT(DATA_LOG!$B:$B,""yyyy-MM-dd"")=TEXT(DATE($P$3,MONTH(1&amp;$N$3),VALUE(LEFT(AE$5,2))),""yyyy-MM-dd"")),0)),""""),IF(logStatus&lt;&gt;"""",UPPER(logStatu"&amp;"s),IF(AE176&lt;&gt;"""",IF(VALUE(AE176)&gt;=9/24,""FD"",""HD""),IF(REGEXMATCH(AE$5,""SUN""),""WO"",""-""))))))"),"")</f>
        <v/>
      </c>
      <c r="AF177" s="43" t="str">
        <f>IFERROR(__xludf.DUMMYFUNCTION("IF($A172="""","""",IF(AF$5="""","""",LET(logStatus,IFNA(INDEX(DATA_LOG!$E:$E,MATCH(1,(DATA_LOG!$A:$A=$A172)*(TEXT(DATA_LOG!$B:$B,""yyyy-MM-dd"")=TEXT(DATE($P$3,MONTH(1&amp;$N$3),VALUE(LEFT(AF$5,2))),""yyyy-MM-dd"")),0)),""""),IF(logStatus&lt;&gt;"""",UPPER(logStatu"&amp;"s),IF(AF176&lt;&gt;"""",IF(VALUE(AF176)&gt;=9/24,""FD"",""HD""),IF(REGEXMATCH(AF$5,""SUN""),""WO"",""-""))))))"),"")</f>
        <v/>
      </c>
    </row>
    <row r="178">
      <c r="A178" s="44"/>
    </row>
    <row r="179">
      <c r="A179" s="25" t="str">
        <f t="array" ref="A179">INDEX(EMPLOYEE_LIST!$A:$A,INT((ROW()-4)/7)+2)</f>
        <v/>
      </c>
      <c r="B179" s="26"/>
      <c r="C179" s="27"/>
      <c r="D179" s="28" t="str">
        <f>IF(A179="", "", IFERROR(VLOOKUP(A179, EMPLOYEE_LIST!$A:$H, 2, FALSE), ""))</f>
        <v/>
      </c>
      <c r="E179" s="26"/>
      <c r="F179" s="26"/>
      <c r="G179" s="27"/>
      <c r="H179" s="29" t="str">
        <f>IF(A179="", "", IFERROR(VLOOKUP(A179, EMPLOYEE_LIST!$A:$H, 3, FALSE), ""))</f>
        <v/>
      </c>
      <c r="I179" s="26"/>
      <c r="J179" s="26"/>
      <c r="K179" s="27"/>
      <c r="L179" s="29" t="str">
        <f>IF(A179="", "", IFERROR(VLOOKUP(A179, EMPLOYEE_LIST!$A:$H, 4, FALSE), ""))</f>
        <v/>
      </c>
      <c r="M179" s="26"/>
      <c r="N179" s="26"/>
      <c r="O179" s="27"/>
      <c r="P179" s="30" t="str">
        <f>IF($A179="", "", "Full Day: " &amp; COUNTIF(B184:AF184, "FD"))</f>
        <v/>
      </c>
      <c r="Q179" s="26"/>
      <c r="R179" s="27"/>
      <c r="S179" s="31" t="str">
        <f>IF($A179="", "", "HALF Day: " &amp; COUNTIF(B184:AF184, "HD"))</f>
        <v/>
      </c>
      <c r="T179" s="26"/>
      <c r="U179" s="27"/>
      <c r="V179" s="31" t="str">
        <f>IF($A179="", "", "ABSENT: " &amp; COUNTIF(B184:AF184, "A"))</f>
        <v/>
      </c>
      <c r="W179" s="26"/>
      <c r="X179" s="27"/>
      <c r="Y179" s="31" t="str">
        <f>IF($A179="", "", "WEEK OFF: " &amp; COUNTIF(B184:AF184, "WO"))</f>
        <v/>
      </c>
      <c r="Z179" s="26"/>
      <c r="AA179" s="27"/>
      <c r="AB179" s="31" t="str">
        <f>IF($A179="", "", "LEAVE: " &amp; COUNTIF(B184:AF184, "L"))</f>
        <v/>
      </c>
      <c r="AC179" s="27"/>
      <c r="AD179" s="31" t="str">
        <f>IF($A179="", "", "HOLIDAY: " &amp; COUNTIF(B184:AF184, "HL"))</f>
        <v/>
      </c>
      <c r="AE179" s="26"/>
      <c r="AF179" s="27"/>
    </row>
    <row r="180">
      <c r="A180" s="32" t="str">
        <f>IF($A179="", "", "DATE")</f>
        <v/>
      </c>
      <c r="B180" s="33" t="str">
        <f t="array" ref="B180">IF($A179="","",LET(mNum,MONTH(1&amp;$N$3),start,DATE($P$3,mNum,1),days,DAY(EOMONTH(start,0)),MAP(SEQUENCE(1,days,0),LAMBDA(n,UPPER(TEXT(start+n,"dd (ddd)"))))))</f>
        <v/>
      </c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>
      <c r="A181" s="37" t="str">
        <f>IF($A179="", "", "IN")</f>
        <v/>
      </c>
      <c r="B181" s="39" t="str">
        <f t="array" ref="B181">IF(OR($A179="",B$5=""),"",IFNA(INDEX(DATA_LOG!$C:$C,MATCH(1,(DATA_LOG!$A:$A=$A179)*(TEXT(DATA_LOG!$B:$B,"yyyy-MM-dd")=TEXT(DATE($P$3,MONTH(1&amp;$N$3),VALUE(LEFT(B$5,2))),"yyyy-MM-dd")),0)),""))</f>
        <v/>
      </c>
      <c r="C181" s="39" t="str">
        <f t="array" ref="C181">IF(OR($A179="",C$5=""),"",IFNA(INDEX(DATA_LOG!$C:$C,MATCH(1,(DATA_LOG!$A:$A=$A179)*(TEXT(DATA_LOG!$B:$B,"yyyy-MM-dd")=TEXT(DATE($P$3,MONTH(1&amp;$N$3),VALUE(LEFT(C$5,2))),"yyyy-MM-dd")),0)),""))</f>
        <v/>
      </c>
      <c r="D181" s="39" t="str">
        <f t="array" ref="D181">IF(OR($A179="",D$5=""),"",IFNA(INDEX(DATA_LOG!$C:$C,MATCH(1,(DATA_LOG!$A:$A=$A179)*(TEXT(DATA_LOG!$B:$B,"yyyy-MM-dd")=TEXT(DATE($P$3,MONTH(1&amp;$N$3),VALUE(LEFT(D$5,2))),"yyyy-MM-dd")),0)),""))</f>
        <v/>
      </c>
      <c r="E181" s="39" t="str">
        <f t="array" ref="E181">IF(OR($A179="",E$5=""),"",IFNA(INDEX(DATA_LOG!$C:$C,MATCH(1,(DATA_LOG!$A:$A=$A179)*(TEXT(DATA_LOG!$B:$B,"yyyy-MM-dd")=TEXT(DATE($P$3,MONTH(1&amp;$N$3),VALUE(LEFT(E$5,2))),"yyyy-MM-dd")),0)),""))</f>
        <v/>
      </c>
      <c r="F181" s="39" t="str">
        <f t="array" ref="F181">IF(OR($A179="",F$5=""),"",IFNA(INDEX(DATA_LOG!$C:$C,MATCH(1,(DATA_LOG!$A:$A=$A179)*(TEXT(DATA_LOG!$B:$B,"yyyy-MM-dd")=TEXT(DATE($P$3,MONTH(1&amp;$N$3),VALUE(LEFT(F$5,2))),"yyyy-MM-dd")),0)),""))</f>
        <v/>
      </c>
      <c r="G181" s="39" t="str">
        <f t="array" ref="G181">IF(OR($A179="",G$5=""),"",IFNA(INDEX(DATA_LOG!$C:$C,MATCH(1,(DATA_LOG!$A:$A=$A179)*(TEXT(DATA_LOG!$B:$B,"yyyy-MM-dd")=TEXT(DATE($P$3,MONTH(1&amp;$N$3),VALUE(LEFT(G$5,2))),"yyyy-MM-dd")),0)),""))</f>
        <v/>
      </c>
      <c r="H181" s="39" t="str">
        <f t="array" ref="H181">IF(OR($A179="",H$5=""),"",IFNA(INDEX(DATA_LOG!$C:$C,MATCH(1,(DATA_LOG!$A:$A=$A179)*(TEXT(DATA_LOG!$B:$B,"yyyy-MM-dd")=TEXT(DATE($P$3,MONTH(1&amp;$N$3),VALUE(LEFT(H$5,2))),"yyyy-MM-dd")),0)),""))</f>
        <v/>
      </c>
      <c r="I181" s="39" t="str">
        <f t="array" ref="I181">IF(OR($A179="",I$5=""),"",IFNA(INDEX(DATA_LOG!$C:$C,MATCH(1,(DATA_LOG!$A:$A=$A179)*(TEXT(DATA_LOG!$B:$B,"yyyy-MM-dd")=TEXT(DATE($P$3,MONTH(1&amp;$N$3),VALUE(LEFT(I$5,2))),"yyyy-MM-dd")),0)),""))</f>
        <v/>
      </c>
      <c r="J181" s="39" t="str">
        <f t="array" ref="J181">IF(OR($A179="",J$5=""),"",IFNA(INDEX(DATA_LOG!$C:$C,MATCH(1,(DATA_LOG!$A:$A=$A179)*(TEXT(DATA_LOG!$B:$B,"yyyy-MM-dd")=TEXT(DATE($P$3,MONTH(1&amp;$N$3),VALUE(LEFT(J$5,2))),"yyyy-MM-dd")),0)),""))</f>
        <v/>
      </c>
      <c r="K181" s="39" t="str">
        <f t="array" ref="K181">IF(OR($A179="",K$5=""),"",IFNA(INDEX(DATA_LOG!$C:$C,MATCH(1,(DATA_LOG!$A:$A=$A179)*(TEXT(DATA_LOG!$B:$B,"yyyy-MM-dd")=TEXT(DATE($P$3,MONTH(1&amp;$N$3),VALUE(LEFT(K$5,2))),"yyyy-MM-dd")),0)),""))</f>
        <v/>
      </c>
      <c r="L181" s="39" t="str">
        <f t="array" ref="L181">IF(OR($A179="",L$5=""),"",IFNA(INDEX(DATA_LOG!$C:$C,MATCH(1,(DATA_LOG!$A:$A=$A179)*(TEXT(DATA_LOG!$B:$B,"yyyy-MM-dd")=TEXT(DATE($P$3,MONTH(1&amp;$N$3),VALUE(LEFT(L$5,2))),"yyyy-MM-dd")),0)),""))</f>
        <v/>
      </c>
      <c r="M181" s="39" t="str">
        <f t="array" ref="M181">IF(OR($A179="",M$5=""),"",IFNA(INDEX(DATA_LOG!$C:$C,MATCH(1,(DATA_LOG!$A:$A=$A179)*(TEXT(DATA_LOG!$B:$B,"yyyy-MM-dd")=TEXT(DATE($P$3,MONTH(1&amp;$N$3),VALUE(LEFT(M$5,2))),"yyyy-MM-dd")),0)),""))</f>
        <v/>
      </c>
      <c r="N181" s="39" t="str">
        <f t="array" ref="N181">IF(OR($A179="",N$5=""),"",IFNA(INDEX(DATA_LOG!$C:$C,MATCH(1,(DATA_LOG!$A:$A=$A179)*(TEXT(DATA_LOG!$B:$B,"yyyy-MM-dd")=TEXT(DATE($P$3,MONTH(1&amp;$N$3),VALUE(LEFT(N$5,2))),"yyyy-MM-dd")),0)),""))</f>
        <v/>
      </c>
      <c r="O181" s="39" t="str">
        <f t="array" ref="O181">IF(OR($A179="",O$5=""),"",IFNA(INDEX(DATA_LOG!$C:$C,MATCH(1,(DATA_LOG!$A:$A=$A179)*(TEXT(DATA_LOG!$B:$B,"yyyy-MM-dd")=TEXT(DATE($P$3,MONTH(1&amp;$N$3),VALUE(LEFT(O$5,2))),"yyyy-MM-dd")),0)),""))</f>
        <v/>
      </c>
      <c r="P181" s="39" t="str">
        <f t="array" ref="P181">IF(OR($A179="",P$5=""),"",IFNA(INDEX(DATA_LOG!$C:$C,MATCH(1,(DATA_LOG!$A:$A=$A179)*(TEXT(DATA_LOG!$B:$B,"yyyy-MM-dd")=TEXT(DATE($P$3,MONTH(1&amp;$N$3),VALUE(LEFT(P$5,2))),"yyyy-MM-dd")),0)),""))</f>
        <v/>
      </c>
      <c r="Q181" s="39" t="str">
        <f t="array" ref="Q181">IF(OR($A179="",Q$5=""),"",IFNA(INDEX(DATA_LOG!$C:$C,MATCH(1,(DATA_LOG!$A:$A=$A179)*(TEXT(DATA_LOG!$B:$B,"yyyy-MM-dd")=TEXT(DATE($P$3,MONTH(1&amp;$N$3),VALUE(LEFT(Q$5,2))),"yyyy-MM-dd")),0)),""))</f>
        <v/>
      </c>
      <c r="R181" s="39" t="str">
        <f t="array" ref="R181">IF(OR($A179="",R$5=""),"",IFNA(INDEX(DATA_LOG!$C:$C,MATCH(1,(DATA_LOG!$A:$A=$A179)*(TEXT(DATA_LOG!$B:$B,"yyyy-MM-dd")=TEXT(DATE($P$3,MONTH(1&amp;$N$3),VALUE(LEFT(R$5,2))),"yyyy-MM-dd")),0)),""))</f>
        <v/>
      </c>
      <c r="S181" s="39" t="str">
        <f t="array" ref="S181">IF(OR($A179="",S$5=""),"",IFNA(INDEX(DATA_LOG!$C:$C,MATCH(1,(DATA_LOG!$A:$A=$A179)*(TEXT(DATA_LOG!$B:$B,"yyyy-MM-dd")=TEXT(DATE($P$3,MONTH(1&amp;$N$3),VALUE(LEFT(S$5,2))),"yyyy-MM-dd")),0)),""))</f>
        <v/>
      </c>
      <c r="T181" s="39" t="str">
        <f t="array" ref="T181">IF(OR($A179="",T$5=""),"",IFNA(INDEX(DATA_LOG!$C:$C,MATCH(1,(DATA_LOG!$A:$A=$A179)*(TEXT(DATA_LOG!$B:$B,"yyyy-MM-dd")=TEXT(DATE($P$3,MONTH(1&amp;$N$3),VALUE(LEFT(T$5,2))),"yyyy-MM-dd")),0)),""))</f>
        <v/>
      </c>
      <c r="U181" s="39" t="str">
        <f t="array" ref="U181">IF(OR($A179="",U$5=""),"",IFNA(INDEX(DATA_LOG!$C:$C,MATCH(1,(DATA_LOG!$A:$A=$A179)*(TEXT(DATA_LOG!$B:$B,"yyyy-MM-dd")=TEXT(DATE($P$3,MONTH(1&amp;$N$3),VALUE(LEFT(U$5,2))),"yyyy-MM-dd")),0)),""))</f>
        <v/>
      </c>
      <c r="V181" s="39" t="str">
        <f t="array" ref="V181">IF(OR($A179="",V$5=""),"",IFNA(INDEX(DATA_LOG!$C:$C,MATCH(1,(DATA_LOG!$A:$A=$A179)*(TEXT(DATA_LOG!$B:$B,"yyyy-MM-dd")=TEXT(DATE($P$3,MONTH(1&amp;$N$3),VALUE(LEFT(V$5,2))),"yyyy-MM-dd")),0)),""))</f>
        <v/>
      </c>
      <c r="W181" s="39" t="str">
        <f t="array" ref="W181">IF(OR($A179="",W$5=""),"",IFNA(INDEX(DATA_LOG!$C:$C,MATCH(1,(DATA_LOG!$A:$A=$A179)*(TEXT(DATA_LOG!$B:$B,"yyyy-MM-dd")=TEXT(DATE($P$3,MONTH(1&amp;$N$3),VALUE(LEFT(W$5,2))),"yyyy-MM-dd")),0)),""))</f>
        <v/>
      </c>
      <c r="X181" s="39" t="str">
        <f t="array" ref="X181">IF(OR($A179="",X$5=""),"",IFNA(INDEX(DATA_LOG!$C:$C,MATCH(1,(DATA_LOG!$A:$A=$A179)*(TEXT(DATA_LOG!$B:$B,"yyyy-MM-dd")=TEXT(DATE($P$3,MONTH(1&amp;$N$3),VALUE(LEFT(X$5,2))),"yyyy-MM-dd")),0)),""))</f>
        <v/>
      </c>
      <c r="Y181" s="39" t="str">
        <f t="array" ref="Y181">IF(OR($A179="",Y$5=""),"",IFNA(INDEX(DATA_LOG!$C:$C,MATCH(1,(DATA_LOG!$A:$A=$A179)*(TEXT(DATA_LOG!$B:$B,"yyyy-MM-dd")=TEXT(DATE($P$3,MONTH(1&amp;$N$3),VALUE(LEFT(Y$5,2))),"yyyy-MM-dd")),0)),""))</f>
        <v/>
      </c>
      <c r="Z181" s="39" t="str">
        <f t="array" ref="Z181">IF(OR($A179="",Z$5=""),"",IFNA(INDEX(DATA_LOG!$C:$C,MATCH(1,(DATA_LOG!$A:$A=$A179)*(TEXT(DATA_LOG!$B:$B,"yyyy-MM-dd")=TEXT(DATE($P$3,MONTH(1&amp;$N$3),VALUE(LEFT(Z$5,2))),"yyyy-MM-dd")),0)),""))</f>
        <v/>
      </c>
      <c r="AA181" s="39" t="str">
        <f t="array" ref="AA181">IF(OR($A179="",AA$5=""),"",IFNA(INDEX(DATA_LOG!$C:$C,MATCH(1,(DATA_LOG!$A:$A=$A179)*(TEXT(DATA_LOG!$B:$B,"yyyy-MM-dd")=TEXT(DATE($P$3,MONTH(1&amp;$N$3),VALUE(LEFT(AA$5,2))),"yyyy-MM-dd")),0)),""))</f>
        <v/>
      </c>
      <c r="AB181" s="39" t="str">
        <f t="array" ref="AB181">IF(OR($A179="",AB$5=""),"",IFNA(INDEX(DATA_LOG!$C:$C,MATCH(1,(DATA_LOG!$A:$A=$A179)*(TEXT(DATA_LOG!$B:$B,"yyyy-MM-dd")=TEXT(DATE($P$3,MONTH(1&amp;$N$3),VALUE(LEFT(AB$5,2))),"yyyy-MM-dd")),0)),""))</f>
        <v/>
      </c>
      <c r="AC181" s="39" t="str">
        <f t="array" ref="AC181">IF(OR($A179="",AC$5=""),"",IFNA(INDEX(DATA_LOG!$C:$C,MATCH(1,(DATA_LOG!$A:$A=$A179)*(TEXT(DATA_LOG!$B:$B,"yyyy-MM-dd")=TEXT(DATE($P$3,MONTH(1&amp;$N$3),VALUE(LEFT(AC$5,2))),"yyyy-MM-dd")),0)),""))</f>
        <v/>
      </c>
      <c r="AD181" s="39" t="str">
        <f t="array" ref="AD181">IF(OR($A179="",AD$5=""),"",IFNA(INDEX(DATA_LOG!$C:$C,MATCH(1,(DATA_LOG!$A:$A=$A179)*(TEXT(DATA_LOG!$B:$B,"yyyy-MM-dd")=TEXT(DATE($P$3,MONTH(1&amp;$N$3),VALUE(LEFT(AD$5,2))),"yyyy-MM-dd")),0)),""))</f>
        <v/>
      </c>
      <c r="AE181" s="39" t="str">
        <f t="array" ref="AE181">IF(OR($A179="",AE$5=""),"",IFNA(INDEX(DATA_LOG!$C:$C,MATCH(1,(DATA_LOG!$A:$A=$A179)*(TEXT(DATA_LOG!$B:$B,"yyyy-MM-dd")=TEXT(DATE($P$3,MONTH(1&amp;$N$3),VALUE(LEFT(AE$5,2))),"yyyy-MM-dd")),0)),""))</f>
        <v/>
      </c>
      <c r="AF181" s="39" t="str">
        <f t="array" ref="AF181">IF(OR($A179="",AF$5=""),"",IFNA(INDEX(DATA_LOG!$C:$C,MATCH(1,(DATA_LOG!$A:$A=$A179)*(TEXT(DATA_LOG!$B:$B,"yyyy-MM-dd")=TEXT(DATE($P$3,MONTH(1&amp;$N$3),VALUE(LEFT(AF$5,2))),"yyyy-MM-dd")),0)),""))</f>
        <v/>
      </c>
    </row>
    <row r="182">
      <c r="A182" s="37" t="str">
        <f>IF($A179="", "", "OUT")</f>
        <v/>
      </c>
      <c r="B182" s="39" t="str">
        <f t="array" ref="B182">IF(OR($A179="",B$5=""),"",IFNA(INDEX(DATA_LOG!$D:$D,MATCH(1,(DATA_LOG!$A:$A=$A179)*(TEXT(DATA_LOG!$B:$B,"yyyy-MM-dd")=TEXT(DATE($P$3,MONTH(1&amp;$N$3),VALUE(LEFT(B$5,2))),"yyyy-MM-dd")),0)),""))</f>
        <v/>
      </c>
      <c r="C182" s="39" t="str">
        <f t="array" ref="C182">IF(OR($A179="",C$5=""),"",IFNA(INDEX(DATA_LOG!$D:$D,MATCH(1,(DATA_LOG!$A:$A=$A179)*(TEXT(DATA_LOG!$B:$B,"yyyy-MM-dd")=TEXT(DATE($P$3,MONTH(1&amp;$N$3),VALUE(LEFT(C$5,2))),"yyyy-MM-dd")),0)),""))</f>
        <v/>
      </c>
      <c r="D182" s="39" t="str">
        <f t="array" ref="D182">IF(OR($A179="",D$5=""),"",IFNA(INDEX(DATA_LOG!$D:$D,MATCH(1,(DATA_LOG!$A:$A=$A179)*(TEXT(DATA_LOG!$B:$B,"yyyy-MM-dd")=TEXT(DATE($P$3,MONTH(1&amp;$N$3),VALUE(LEFT(D$5,2))),"yyyy-MM-dd")),0)),""))</f>
        <v/>
      </c>
      <c r="E182" s="39" t="str">
        <f t="array" ref="E182">IF(OR($A179="",E$5=""),"",IFNA(INDEX(DATA_LOG!$D:$D,MATCH(1,(DATA_LOG!$A:$A=$A179)*(TEXT(DATA_LOG!$B:$B,"yyyy-MM-dd")=TEXT(DATE($P$3,MONTH(1&amp;$N$3),VALUE(LEFT(E$5,2))),"yyyy-MM-dd")),0)),""))</f>
        <v/>
      </c>
      <c r="F182" s="39" t="str">
        <f t="array" ref="F182">IF(OR($A179="",F$5=""),"",IFNA(INDEX(DATA_LOG!$D:$D,MATCH(1,(DATA_LOG!$A:$A=$A179)*(TEXT(DATA_LOG!$B:$B,"yyyy-MM-dd")=TEXT(DATE($P$3,MONTH(1&amp;$N$3),VALUE(LEFT(F$5,2))),"yyyy-MM-dd")),0)),""))</f>
        <v/>
      </c>
      <c r="G182" s="39" t="str">
        <f t="array" ref="G182">IF(OR($A179="",G$5=""),"",IFNA(INDEX(DATA_LOG!$D:$D,MATCH(1,(DATA_LOG!$A:$A=$A179)*(TEXT(DATA_LOG!$B:$B,"yyyy-MM-dd")=TEXT(DATE($P$3,MONTH(1&amp;$N$3),VALUE(LEFT(G$5,2))),"yyyy-MM-dd")),0)),""))</f>
        <v/>
      </c>
      <c r="H182" s="39" t="str">
        <f t="array" ref="H182">IF(OR($A179="",H$5=""),"",IFNA(INDEX(DATA_LOG!$D:$D,MATCH(1,(DATA_LOG!$A:$A=$A179)*(TEXT(DATA_LOG!$B:$B,"yyyy-MM-dd")=TEXT(DATE($P$3,MONTH(1&amp;$N$3),VALUE(LEFT(H$5,2))),"yyyy-MM-dd")),0)),""))</f>
        <v/>
      </c>
      <c r="I182" s="39" t="str">
        <f t="array" ref="I182">IF(OR($A179="",I$5=""),"",IFNA(INDEX(DATA_LOG!$D:$D,MATCH(1,(DATA_LOG!$A:$A=$A179)*(TEXT(DATA_LOG!$B:$B,"yyyy-MM-dd")=TEXT(DATE($P$3,MONTH(1&amp;$N$3),VALUE(LEFT(I$5,2))),"yyyy-MM-dd")),0)),""))</f>
        <v/>
      </c>
      <c r="J182" s="39" t="str">
        <f t="array" ref="J182">IF(OR($A179="",J$5=""),"",IFNA(INDEX(DATA_LOG!$D:$D,MATCH(1,(DATA_LOG!$A:$A=$A179)*(TEXT(DATA_LOG!$B:$B,"yyyy-MM-dd")=TEXT(DATE($P$3,MONTH(1&amp;$N$3),VALUE(LEFT(J$5,2))),"yyyy-MM-dd")),0)),""))</f>
        <v/>
      </c>
      <c r="K182" s="39" t="str">
        <f t="array" ref="K182">IF(OR($A179="",K$5=""),"",IFNA(INDEX(DATA_LOG!$D:$D,MATCH(1,(DATA_LOG!$A:$A=$A179)*(TEXT(DATA_LOG!$B:$B,"yyyy-MM-dd")=TEXT(DATE($P$3,MONTH(1&amp;$N$3),VALUE(LEFT(K$5,2))),"yyyy-MM-dd")),0)),""))</f>
        <v/>
      </c>
      <c r="L182" s="39" t="str">
        <f t="array" ref="L182">IF(OR($A179="",L$5=""),"",IFNA(INDEX(DATA_LOG!$D:$D,MATCH(1,(DATA_LOG!$A:$A=$A179)*(TEXT(DATA_LOG!$B:$B,"yyyy-MM-dd")=TEXT(DATE($P$3,MONTH(1&amp;$N$3),VALUE(LEFT(L$5,2))),"yyyy-MM-dd")),0)),""))</f>
        <v/>
      </c>
      <c r="M182" s="39" t="str">
        <f t="array" ref="M182">IF(OR($A179="",M$5=""),"",IFNA(INDEX(DATA_LOG!$D:$D,MATCH(1,(DATA_LOG!$A:$A=$A179)*(TEXT(DATA_LOG!$B:$B,"yyyy-MM-dd")=TEXT(DATE($P$3,MONTH(1&amp;$N$3),VALUE(LEFT(M$5,2))),"yyyy-MM-dd")),0)),""))</f>
        <v/>
      </c>
      <c r="N182" s="39" t="str">
        <f t="array" ref="N182">IF(OR($A179="",N$5=""),"",IFNA(INDEX(DATA_LOG!$D:$D,MATCH(1,(DATA_LOG!$A:$A=$A179)*(TEXT(DATA_LOG!$B:$B,"yyyy-MM-dd")=TEXT(DATE($P$3,MONTH(1&amp;$N$3),VALUE(LEFT(N$5,2))),"yyyy-MM-dd")),0)),""))</f>
        <v/>
      </c>
      <c r="O182" s="39" t="str">
        <f t="array" ref="O182">IF(OR($A179="",O$5=""),"",IFNA(INDEX(DATA_LOG!$D:$D,MATCH(1,(DATA_LOG!$A:$A=$A179)*(TEXT(DATA_LOG!$B:$B,"yyyy-MM-dd")=TEXT(DATE($P$3,MONTH(1&amp;$N$3),VALUE(LEFT(O$5,2))),"yyyy-MM-dd")),0)),""))</f>
        <v/>
      </c>
      <c r="P182" s="39" t="str">
        <f t="array" ref="P182">IF(OR($A179="",P$5=""),"",IFNA(INDEX(DATA_LOG!$D:$D,MATCH(1,(DATA_LOG!$A:$A=$A179)*(TEXT(DATA_LOG!$B:$B,"yyyy-MM-dd")=TEXT(DATE($P$3,MONTH(1&amp;$N$3),VALUE(LEFT(P$5,2))),"yyyy-MM-dd")),0)),""))</f>
        <v/>
      </c>
      <c r="Q182" s="39" t="str">
        <f t="array" ref="Q182">IF(OR($A179="",Q$5=""),"",IFNA(INDEX(DATA_LOG!$D:$D,MATCH(1,(DATA_LOG!$A:$A=$A179)*(TEXT(DATA_LOG!$B:$B,"yyyy-MM-dd")=TEXT(DATE($P$3,MONTH(1&amp;$N$3),VALUE(LEFT(Q$5,2))),"yyyy-MM-dd")),0)),""))</f>
        <v/>
      </c>
      <c r="R182" s="39" t="str">
        <f t="array" ref="R182">IF(OR($A179="",R$5=""),"",IFNA(INDEX(DATA_LOG!$D:$D,MATCH(1,(DATA_LOG!$A:$A=$A179)*(TEXT(DATA_LOG!$B:$B,"yyyy-MM-dd")=TEXT(DATE($P$3,MONTH(1&amp;$N$3),VALUE(LEFT(R$5,2))),"yyyy-MM-dd")),0)),""))</f>
        <v/>
      </c>
      <c r="S182" s="39" t="str">
        <f t="array" ref="S182">IF(OR($A179="",S$5=""),"",IFNA(INDEX(DATA_LOG!$D:$D,MATCH(1,(DATA_LOG!$A:$A=$A179)*(TEXT(DATA_LOG!$B:$B,"yyyy-MM-dd")=TEXT(DATE($P$3,MONTH(1&amp;$N$3),VALUE(LEFT(S$5,2))),"yyyy-MM-dd")),0)),""))</f>
        <v/>
      </c>
      <c r="T182" s="39" t="str">
        <f t="array" ref="T182">IF(OR($A179="",T$5=""),"",IFNA(INDEX(DATA_LOG!$D:$D,MATCH(1,(DATA_LOG!$A:$A=$A179)*(TEXT(DATA_LOG!$B:$B,"yyyy-MM-dd")=TEXT(DATE($P$3,MONTH(1&amp;$N$3),VALUE(LEFT(T$5,2))),"yyyy-MM-dd")),0)),""))</f>
        <v/>
      </c>
      <c r="U182" s="39" t="str">
        <f t="array" ref="U182">IF(OR($A179="",U$5=""),"",IFNA(INDEX(DATA_LOG!$D:$D,MATCH(1,(DATA_LOG!$A:$A=$A179)*(TEXT(DATA_LOG!$B:$B,"yyyy-MM-dd")=TEXT(DATE($P$3,MONTH(1&amp;$N$3),VALUE(LEFT(U$5,2))),"yyyy-MM-dd")),0)),""))</f>
        <v/>
      </c>
      <c r="V182" s="39" t="str">
        <f t="array" ref="V182">IF(OR($A179="",V$5=""),"",IFNA(INDEX(DATA_LOG!$D:$D,MATCH(1,(DATA_LOG!$A:$A=$A179)*(TEXT(DATA_LOG!$B:$B,"yyyy-MM-dd")=TEXT(DATE($P$3,MONTH(1&amp;$N$3),VALUE(LEFT(V$5,2))),"yyyy-MM-dd")),0)),""))</f>
        <v/>
      </c>
      <c r="W182" s="39" t="str">
        <f t="array" ref="W182">IF(OR($A179="",W$5=""),"",IFNA(INDEX(DATA_LOG!$D:$D,MATCH(1,(DATA_LOG!$A:$A=$A179)*(TEXT(DATA_LOG!$B:$B,"yyyy-MM-dd")=TEXT(DATE($P$3,MONTH(1&amp;$N$3),VALUE(LEFT(W$5,2))),"yyyy-MM-dd")),0)),""))</f>
        <v/>
      </c>
      <c r="X182" s="39" t="str">
        <f t="array" ref="X182">IF(OR($A179="",X$5=""),"",IFNA(INDEX(DATA_LOG!$D:$D,MATCH(1,(DATA_LOG!$A:$A=$A179)*(TEXT(DATA_LOG!$B:$B,"yyyy-MM-dd")=TEXT(DATE($P$3,MONTH(1&amp;$N$3),VALUE(LEFT(X$5,2))),"yyyy-MM-dd")),0)),""))</f>
        <v/>
      </c>
      <c r="Y182" s="39" t="str">
        <f t="array" ref="Y182">IF(OR($A179="",Y$5=""),"",IFNA(INDEX(DATA_LOG!$D:$D,MATCH(1,(DATA_LOG!$A:$A=$A179)*(TEXT(DATA_LOG!$B:$B,"yyyy-MM-dd")=TEXT(DATE($P$3,MONTH(1&amp;$N$3),VALUE(LEFT(Y$5,2))),"yyyy-MM-dd")),0)),""))</f>
        <v/>
      </c>
      <c r="Z182" s="39" t="str">
        <f t="array" ref="Z182">IF(OR($A179="",Z$5=""),"",IFNA(INDEX(DATA_LOG!$D:$D,MATCH(1,(DATA_LOG!$A:$A=$A179)*(TEXT(DATA_LOG!$B:$B,"yyyy-MM-dd")=TEXT(DATE($P$3,MONTH(1&amp;$N$3),VALUE(LEFT(Z$5,2))),"yyyy-MM-dd")),0)),""))</f>
        <v/>
      </c>
      <c r="AA182" s="39" t="str">
        <f t="array" ref="AA182">IF(OR($A179="",AA$5=""),"",IFNA(INDEX(DATA_LOG!$D:$D,MATCH(1,(DATA_LOG!$A:$A=$A179)*(TEXT(DATA_LOG!$B:$B,"yyyy-MM-dd")=TEXT(DATE($P$3,MONTH(1&amp;$N$3),VALUE(LEFT(AA$5,2))),"yyyy-MM-dd")),0)),""))</f>
        <v/>
      </c>
      <c r="AB182" s="39" t="str">
        <f t="array" ref="AB182">IF(OR($A179="",AB$5=""),"",IFNA(INDEX(DATA_LOG!$D:$D,MATCH(1,(DATA_LOG!$A:$A=$A179)*(TEXT(DATA_LOG!$B:$B,"yyyy-MM-dd")=TEXT(DATE($P$3,MONTH(1&amp;$N$3),VALUE(LEFT(AB$5,2))),"yyyy-MM-dd")),0)),""))</f>
        <v/>
      </c>
      <c r="AC182" s="39" t="str">
        <f t="array" ref="AC182">IF(OR($A179="",AC$5=""),"",IFNA(INDEX(DATA_LOG!$D:$D,MATCH(1,(DATA_LOG!$A:$A=$A179)*(TEXT(DATA_LOG!$B:$B,"yyyy-MM-dd")=TEXT(DATE($P$3,MONTH(1&amp;$N$3),VALUE(LEFT(AC$5,2))),"yyyy-MM-dd")),0)),""))</f>
        <v/>
      </c>
      <c r="AD182" s="39" t="str">
        <f t="array" ref="AD182">IF(OR($A179="",AD$5=""),"",IFNA(INDEX(DATA_LOG!$D:$D,MATCH(1,(DATA_LOG!$A:$A=$A179)*(TEXT(DATA_LOG!$B:$B,"yyyy-MM-dd")=TEXT(DATE($P$3,MONTH(1&amp;$N$3),VALUE(LEFT(AD$5,2))),"yyyy-MM-dd")),0)),""))</f>
        <v/>
      </c>
      <c r="AE182" s="39" t="str">
        <f t="array" ref="AE182">IF(OR($A179="",AE$5=""),"",IFNA(INDEX(DATA_LOG!$D:$D,MATCH(1,(DATA_LOG!$A:$A=$A179)*(TEXT(DATA_LOG!$B:$B,"yyyy-MM-dd")=TEXT(DATE($P$3,MONTH(1&amp;$N$3),VALUE(LEFT(AE$5,2))),"yyyy-MM-dd")),0)),""))</f>
        <v/>
      </c>
      <c r="AF182" s="39" t="str">
        <f t="array" ref="AF182">IF(OR($A179="",AF$5=""),"",IFNA(INDEX(DATA_LOG!$D:$D,MATCH(1,(DATA_LOG!$A:$A=$A179)*(TEXT(DATA_LOG!$B:$B,"yyyy-MM-dd")=TEXT(DATE($P$3,MONTH(1&amp;$N$3),VALUE(LEFT(AF$5,2))),"yyyy-MM-dd")),0)),""))</f>
        <v/>
      </c>
    </row>
    <row r="183">
      <c r="A183" s="40" t="str">
        <f>IF($A179="", "", "TOTAL")</f>
        <v/>
      </c>
      <c r="B183" s="41" t="str">
        <f t="shared" ref="B183:AF183" si="26">IF(AND(B181&lt;&gt;"",B182&lt;&gt;""),TEXT(MOD(B182-B181,1),"hh:mm"),"")</f>
        <v/>
      </c>
      <c r="C183" s="34" t="str">
        <f t="shared" si="26"/>
        <v/>
      </c>
      <c r="D183" s="34" t="str">
        <f t="shared" si="26"/>
        <v/>
      </c>
      <c r="E183" s="34" t="str">
        <f t="shared" si="26"/>
        <v/>
      </c>
      <c r="F183" s="34" t="str">
        <f t="shared" si="26"/>
        <v/>
      </c>
      <c r="G183" s="34" t="str">
        <f t="shared" si="26"/>
        <v/>
      </c>
      <c r="H183" s="34" t="str">
        <f t="shared" si="26"/>
        <v/>
      </c>
      <c r="I183" s="34" t="str">
        <f t="shared" si="26"/>
        <v/>
      </c>
      <c r="J183" s="34" t="str">
        <f t="shared" si="26"/>
        <v/>
      </c>
      <c r="K183" s="34" t="str">
        <f t="shared" si="26"/>
        <v/>
      </c>
      <c r="L183" s="34" t="str">
        <f t="shared" si="26"/>
        <v/>
      </c>
      <c r="M183" s="34" t="str">
        <f t="shared" si="26"/>
        <v/>
      </c>
      <c r="N183" s="34" t="str">
        <f t="shared" si="26"/>
        <v/>
      </c>
      <c r="O183" s="34" t="str">
        <f t="shared" si="26"/>
        <v/>
      </c>
      <c r="P183" s="34" t="str">
        <f t="shared" si="26"/>
        <v/>
      </c>
      <c r="Q183" s="34" t="str">
        <f t="shared" si="26"/>
        <v/>
      </c>
      <c r="R183" s="34" t="str">
        <f t="shared" si="26"/>
        <v/>
      </c>
      <c r="S183" s="34" t="str">
        <f t="shared" si="26"/>
        <v/>
      </c>
      <c r="T183" s="34" t="str">
        <f t="shared" si="26"/>
        <v/>
      </c>
      <c r="U183" s="34" t="str">
        <f t="shared" si="26"/>
        <v/>
      </c>
      <c r="V183" s="34" t="str">
        <f t="shared" si="26"/>
        <v/>
      </c>
      <c r="W183" s="34" t="str">
        <f t="shared" si="26"/>
        <v/>
      </c>
      <c r="X183" s="34" t="str">
        <f t="shared" si="26"/>
        <v/>
      </c>
      <c r="Y183" s="34" t="str">
        <f t="shared" si="26"/>
        <v/>
      </c>
      <c r="Z183" s="34" t="str">
        <f t="shared" si="26"/>
        <v/>
      </c>
      <c r="AA183" s="34" t="str">
        <f t="shared" si="26"/>
        <v/>
      </c>
      <c r="AB183" s="34" t="str">
        <f t="shared" si="26"/>
        <v/>
      </c>
      <c r="AC183" s="34" t="str">
        <f t="shared" si="26"/>
        <v/>
      </c>
      <c r="AD183" s="34" t="str">
        <f t="shared" si="26"/>
        <v/>
      </c>
      <c r="AE183" s="34" t="str">
        <f t="shared" si="26"/>
        <v/>
      </c>
      <c r="AF183" s="34" t="str">
        <f t="shared" si="26"/>
        <v/>
      </c>
    </row>
    <row r="184">
      <c r="A184" s="42" t="str">
        <f>IF($A179="", "", "STATUS")</f>
        <v/>
      </c>
      <c r="B184" s="43" t="str">
        <f>IFERROR(__xludf.DUMMYFUNCTION("IF($A179="""","""",IF(B$5="""","""",LET(logStatus,IFNA(INDEX(DATA_LOG!$E:$E,MATCH(1,(DATA_LOG!$A:$A=$A179)*(TEXT(DATA_LOG!$B:$B,""yyyy-MM-dd"")=TEXT(DATE($P$3,MONTH(1&amp;$N$3),VALUE(LEFT(B$5,2))),""yyyy-MM-dd"")),0)),""""),IF(logStatus&lt;&gt;"""",UPPER(logStatus)"&amp;",IF(B183&lt;&gt;"""",IF(VALUE(B183)&gt;=9/24,""FD"",""HD""),IF(REGEXMATCH(B$5,""SUN""),""WO"",""-""))))))"),"")</f>
        <v/>
      </c>
      <c r="C184" s="43" t="str">
        <f>IFERROR(__xludf.DUMMYFUNCTION("IF($A179="""","""",IF(C$5="""","""",LET(logStatus,IFNA(INDEX(DATA_LOG!$E:$E,MATCH(1,(DATA_LOG!$A:$A=$A179)*(TEXT(DATA_LOG!$B:$B,""yyyy-MM-dd"")=TEXT(DATE($P$3,MONTH(1&amp;$N$3),VALUE(LEFT(C$5,2))),""yyyy-MM-dd"")),0)),""""),IF(logStatus&lt;&gt;"""",UPPER(logStatus)"&amp;",IF(C183&lt;&gt;"""",IF(VALUE(C183)&gt;=9/24,""FD"",""HD""),IF(REGEXMATCH(C$5,""SUN""),""WO"",""-""))))))"),"")</f>
        <v/>
      </c>
      <c r="D184" s="43" t="str">
        <f>IFERROR(__xludf.DUMMYFUNCTION("IF($A179="""","""",IF(D$5="""","""",LET(logStatus,IFNA(INDEX(DATA_LOG!$E:$E,MATCH(1,(DATA_LOG!$A:$A=$A179)*(TEXT(DATA_LOG!$B:$B,""yyyy-MM-dd"")=TEXT(DATE($P$3,MONTH(1&amp;$N$3),VALUE(LEFT(D$5,2))),""yyyy-MM-dd"")),0)),""""),IF(logStatus&lt;&gt;"""",UPPER(logStatus)"&amp;",IF(D183&lt;&gt;"""",IF(VALUE(D183)&gt;=9/24,""FD"",""HD""),IF(REGEXMATCH(D$5,""SUN""),""WO"",""-""))))))"),"")</f>
        <v/>
      </c>
      <c r="E184" s="43" t="str">
        <f>IFERROR(__xludf.DUMMYFUNCTION("IF($A179="""","""",IF(E$5="""","""",LET(logStatus,IFNA(INDEX(DATA_LOG!$E:$E,MATCH(1,(DATA_LOG!$A:$A=$A179)*(TEXT(DATA_LOG!$B:$B,""yyyy-MM-dd"")=TEXT(DATE($P$3,MONTH(1&amp;$N$3),VALUE(LEFT(E$5,2))),""yyyy-MM-dd"")),0)),""""),IF(logStatus&lt;&gt;"""",UPPER(logStatus)"&amp;",IF(E183&lt;&gt;"""",IF(VALUE(E183)&gt;=9/24,""FD"",""HD""),IF(REGEXMATCH(E$5,""SUN""),""WO"",""-""))))))"),"")</f>
        <v/>
      </c>
      <c r="F184" s="43" t="str">
        <f>IFERROR(__xludf.DUMMYFUNCTION("IF($A179="""","""",IF(F$5="""","""",LET(logStatus,IFNA(INDEX(DATA_LOG!$E:$E,MATCH(1,(DATA_LOG!$A:$A=$A179)*(TEXT(DATA_LOG!$B:$B,""yyyy-MM-dd"")=TEXT(DATE($P$3,MONTH(1&amp;$N$3),VALUE(LEFT(F$5,2))),""yyyy-MM-dd"")),0)),""""),IF(logStatus&lt;&gt;"""",UPPER(logStatus)"&amp;",IF(F183&lt;&gt;"""",IF(VALUE(F183)&gt;=9/24,""FD"",""HD""),IF(REGEXMATCH(F$5,""SUN""),""WO"",""-""))))))"),"")</f>
        <v/>
      </c>
      <c r="G184" s="43" t="str">
        <f>IFERROR(__xludf.DUMMYFUNCTION("IF($A179="""","""",IF(G$5="""","""",LET(logStatus,IFNA(INDEX(DATA_LOG!$E:$E,MATCH(1,(DATA_LOG!$A:$A=$A179)*(TEXT(DATA_LOG!$B:$B,""yyyy-MM-dd"")=TEXT(DATE($P$3,MONTH(1&amp;$N$3),VALUE(LEFT(G$5,2))),""yyyy-MM-dd"")),0)),""""),IF(logStatus&lt;&gt;"""",UPPER(logStatus)"&amp;",IF(G183&lt;&gt;"""",IF(VALUE(G183)&gt;=9/24,""FD"",""HD""),IF(REGEXMATCH(G$5,""SUN""),""WO"",""-""))))))"),"")</f>
        <v/>
      </c>
      <c r="H184" s="43" t="str">
        <f>IFERROR(__xludf.DUMMYFUNCTION("IF($A179="""","""",IF(H$5="""","""",LET(logStatus,IFNA(INDEX(DATA_LOG!$E:$E,MATCH(1,(DATA_LOG!$A:$A=$A179)*(TEXT(DATA_LOG!$B:$B,""yyyy-MM-dd"")=TEXT(DATE($P$3,MONTH(1&amp;$N$3),VALUE(LEFT(H$5,2))),""yyyy-MM-dd"")),0)),""""),IF(logStatus&lt;&gt;"""",UPPER(logStatus)"&amp;",IF(H183&lt;&gt;"""",IF(VALUE(H183)&gt;=9/24,""FD"",""HD""),IF(REGEXMATCH(H$5,""SUN""),""WO"",""-""))))))"),"")</f>
        <v/>
      </c>
      <c r="I184" s="43" t="str">
        <f>IFERROR(__xludf.DUMMYFUNCTION("IF($A179="""","""",IF(I$5="""","""",LET(logStatus,IFNA(INDEX(DATA_LOG!$E:$E,MATCH(1,(DATA_LOG!$A:$A=$A179)*(TEXT(DATA_LOG!$B:$B,""yyyy-MM-dd"")=TEXT(DATE($P$3,MONTH(1&amp;$N$3),VALUE(LEFT(I$5,2))),""yyyy-MM-dd"")),0)),""""),IF(logStatus&lt;&gt;"""",UPPER(logStatus)"&amp;",IF(I183&lt;&gt;"""",IF(VALUE(I183)&gt;=9/24,""FD"",""HD""),IF(REGEXMATCH(I$5,""SUN""),""WO"",""-""))))))"),"")</f>
        <v/>
      </c>
      <c r="J184" s="43" t="str">
        <f>IFERROR(__xludf.DUMMYFUNCTION("IF($A179="""","""",IF(J$5="""","""",LET(logStatus,IFNA(INDEX(DATA_LOG!$E:$E,MATCH(1,(DATA_LOG!$A:$A=$A179)*(TEXT(DATA_LOG!$B:$B,""yyyy-MM-dd"")=TEXT(DATE($P$3,MONTH(1&amp;$N$3),VALUE(LEFT(J$5,2))),""yyyy-MM-dd"")),0)),""""),IF(logStatus&lt;&gt;"""",UPPER(logStatus)"&amp;",IF(J183&lt;&gt;"""",IF(VALUE(J183)&gt;=9/24,""FD"",""HD""),IF(REGEXMATCH(J$5,""SUN""),""WO"",""-""))))))"),"")</f>
        <v/>
      </c>
      <c r="K184" s="43" t="str">
        <f>IFERROR(__xludf.DUMMYFUNCTION("IF($A179="""","""",IF(K$5="""","""",LET(logStatus,IFNA(INDEX(DATA_LOG!$E:$E,MATCH(1,(DATA_LOG!$A:$A=$A179)*(TEXT(DATA_LOG!$B:$B,""yyyy-MM-dd"")=TEXT(DATE($P$3,MONTH(1&amp;$N$3),VALUE(LEFT(K$5,2))),""yyyy-MM-dd"")),0)),""""),IF(logStatus&lt;&gt;"""",UPPER(logStatus)"&amp;",IF(K183&lt;&gt;"""",IF(VALUE(K183)&gt;=9/24,""FD"",""HD""),IF(REGEXMATCH(K$5,""SUN""),""WO"",""-""))))))"),"")</f>
        <v/>
      </c>
      <c r="L184" s="43" t="str">
        <f>IFERROR(__xludf.DUMMYFUNCTION("IF($A179="""","""",IF(L$5="""","""",LET(logStatus,IFNA(INDEX(DATA_LOG!$E:$E,MATCH(1,(DATA_LOG!$A:$A=$A179)*(TEXT(DATA_LOG!$B:$B,""yyyy-MM-dd"")=TEXT(DATE($P$3,MONTH(1&amp;$N$3),VALUE(LEFT(L$5,2))),""yyyy-MM-dd"")),0)),""""),IF(logStatus&lt;&gt;"""",UPPER(logStatus)"&amp;",IF(L183&lt;&gt;"""",IF(VALUE(L183)&gt;=9/24,""FD"",""HD""),IF(REGEXMATCH(L$5,""SUN""),""WO"",""-""))))))"),"")</f>
        <v/>
      </c>
      <c r="M184" s="43" t="str">
        <f>IFERROR(__xludf.DUMMYFUNCTION("IF($A179="""","""",IF(M$5="""","""",LET(logStatus,IFNA(INDEX(DATA_LOG!$E:$E,MATCH(1,(DATA_LOG!$A:$A=$A179)*(TEXT(DATA_LOG!$B:$B,""yyyy-MM-dd"")=TEXT(DATE($P$3,MONTH(1&amp;$N$3),VALUE(LEFT(M$5,2))),""yyyy-MM-dd"")),0)),""""),IF(logStatus&lt;&gt;"""",UPPER(logStatus)"&amp;",IF(M183&lt;&gt;"""",IF(VALUE(M183)&gt;=9/24,""FD"",""HD""),IF(REGEXMATCH(M$5,""SUN""),""WO"",""-""))))))"),"")</f>
        <v/>
      </c>
      <c r="N184" s="43" t="str">
        <f>IFERROR(__xludf.DUMMYFUNCTION("IF($A179="""","""",IF(N$5="""","""",LET(logStatus,IFNA(INDEX(DATA_LOG!$E:$E,MATCH(1,(DATA_LOG!$A:$A=$A179)*(TEXT(DATA_LOG!$B:$B,""yyyy-MM-dd"")=TEXT(DATE($P$3,MONTH(1&amp;$N$3),VALUE(LEFT(N$5,2))),""yyyy-MM-dd"")),0)),""""),IF(logStatus&lt;&gt;"""",UPPER(logStatus)"&amp;",IF(N183&lt;&gt;"""",IF(VALUE(N183)&gt;=9/24,""FD"",""HD""),IF(REGEXMATCH(N$5,""SUN""),""WO"",""-""))))))"),"")</f>
        <v/>
      </c>
      <c r="O184" s="43" t="str">
        <f>IFERROR(__xludf.DUMMYFUNCTION("IF($A179="""","""",IF(O$5="""","""",LET(logStatus,IFNA(INDEX(DATA_LOG!$E:$E,MATCH(1,(DATA_LOG!$A:$A=$A179)*(TEXT(DATA_LOG!$B:$B,""yyyy-MM-dd"")=TEXT(DATE($P$3,MONTH(1&amp;$N$3),VALUE(LEFT(O$5,2))),""yyyy-MM-dd"")),0)),""""),IF(logStatus&lt;&gt;"""",UPPER(logStatus)"&amp;",IF(O183&lt;&gt;"""",IF(VALUE(O183)&gt;=9/24,""FD"",""HD""),IF(REGEXMATCH(O$5,""SUN""),""WO"",""-""))))))"),"")</f>
        <v/>
      </c>
      <c r="P184" s="43" t="str">
        <f>IFERROR(__xludf.DUMMYFUNCTION("IF($A179="""","""",IF(P$5="""","""",LET(logStatus,IFNA(INDEX(DATA_LOG!$E:$E,MATCH(1,(DATA_LOG!$A:$A=$A179)*(TEXT(DATA_LOG!$B:$B,""yyyy-MM-dd"")=TEXT(DATE($P$3,MONTH(1&amp;$N$3),VALUE(LEFT(P$5,2))),""yyyy-MM-dd"")),0)),""""),IF(logStatus&lt;&gt;"""",UPPER(logStatus)"&amp;",IF(P183&lt;&gt;"""",IF(VALUE(P183)&gt;=9/24,""FD"",""HD""),IF(REGEXMATCH(P$5,""SUN""),""WO"",""-""))))))"),"")</f>
        <v/>
      </c>
      <c r="Q184" s="43" t="str">
        <f>IFERROR(__xludf.DUMMYFUNCTION("IF($A179="""","""",IF(Q$5="""","""",LET(logStatus,IFNA(INDEX(DATA_LOG!$E:$E,MATCH(1,(DATA_LOG!$A:$A=$A179)*(TEXT(DATA_LOG!$B:$B,""yyyy-MM-dd"")=TEXT(DATE($P$3,MONTH(1&amp;$N$3),VALUE(LEFT(Q$5,2))),""yyyy-MM-dd"")),0)),""""),IF(logStatus&lt;&gt;"""",UPPER(logStatus)"&amp;",IF(Q183&lt;&gt;"""",IF(VALUE(Q183)&gt;=9/24,""FD"",""HD""),IF(REGEXMATCH(Q$5,""SUN""),""WO"",""-""))))))"),"")</f>
        <v/>
      </c>
      <c r="R184" s="43" t="str">
        <f>IFERROR(__xludf.DUMMYFUNCTION("IF($A179="""","""",IF(R$5="""","""",LET(logStatus,IFNA(INDEX(DATA_LOG!$E:$E,MATCH(1,(DATA_LOG!$A:$A=$A179)*(TEXT(DATA_LOG!$B:$B,""yyyy-MM-dd"")=TEXT(DATE($P$3,MONTH(1&amp;$N$3),VALUE(LEFT(R$5,2))),""yyyy-MM-dd"")),0)),""""),IF(logStatus&lt;&gt;"""",UPPER(logStatus)"&amp;",IF(R183&lt;&gt;"""",IF(VALUE(R183)&gt;=9/24,""FD"",""HD""),IF(REGEXMATCH(R$5,""SUN""),""WO"",""-""))))))"),"")</f>
        <v/>
      </c>
      <c r="S184" s="43" t="str">
        <f>IFERROR(__xludf.DUMMYFUNCTION("IF($A179="""","""",IF(S$5="""","""",LET(logStatus,IFNA(INDEX(DATA_LOG!$E:$E,MATCH(1,(DATA_LOG!$A:$A=$A179)*(TEXT(DATA_LOG!$B:$B,""yyyy-MM-dd"")=TEXT(DATE($P$3,MONTH(1&amp;$N$3),VALUE(LEFT(S$5,2))),""yyyy-MM-dd"")),0)),""""),IF(logStatus&lt;&gt;"""",UPPER(logStatus)"&amp;",IF(S183&lt;&gt;"""",IF(VALUE(S183)&gt;=9/24,""FD"",""HD""),IF(REGEXMATCH(S$5,""SUN""),""WO"",""-""))))))"),"")</f>
        <v/>
      </c>
      <c r="T184" s="43" t="str">
        <f>IFERROR(__xludf.DUMMYFUNCTION("IF($A179="""","""",IF(T$5="""","""",LET(logStatus,IFNA(INDEX(DATA_LOG!$E:$E,MATCH(1,(DATA_LOG!$A:$A=$A179)*(TEXT(DATA_LOG!$B:$B,""yyyy-MM-dd"")=TEXT(DATE($P$3,MONTH(1&amp;$N$3),VALUE(LEFT(T$5,2))),""yyyy-MM-dd"")),0)),""""),IF(logStatus&lt;&gt;"""",UPPER(logStatus)"&amp;",IF(T183&lt;&gt;"""",IF(VALUE(T183)&gt;=9/24,""FD"",""HD""),IF(REGEXMATCH(T$5,""SUN""),""WO"",""-""))))))"),"")</f>
        <v/>
      </c>
      <c r="U184" s="43" t="str">
        <f>IFERROR(__xludf.DUMMYFUNCTION("IF($A179="""","""",IF(U$5="""","""",LET(logStatus,IFNA(INDEX(DATA_LOG!$E:$E,MATCH(1,(DATA_LOG!$A:$A=$A179)*(TEXT(DATA_LOG!$B:$B,""yyyy-MM-dd"")=TEXT(DATE($P$3,MONTH(1&amp;$N$3),VALUE(LEFT(U$5,2))),""yyyy-MM-dd"")),0)),""""),IF(logStatus&lt;&gt;"""",UPPER(logStatus)"&amp;",IF(U183&lt;&gt;"""",IF(VALUE(U183)&gt;=9/24,""FD"",""HD""),IF(REGEXMATCH(U$5,""SUN""),""WO"",""-""))))))"),"")</f>
        <v/>
      </c>
      <c r="V184" s="43" t="str">
        <f>IFERROR(__xludf.DUMMYFUNCTION("IF($A179="""","""",IF(V$5="""","""",LET(logStatus,IFNA(INDEX(DATA_LOG!$E:$E,MATCH(1,(DATA_LOG!$A:$A=$A179)*(TEXT(DATA_LOG!$B:$B,""yyyy-MM-dd"")=TEXT(DATE($P$3,MONTH(1&amp;$N$3),VALUE(LEFT(V$5,2))),""yyyy-MM-dd"")),0)),""""),IF(logStatus&lt;&gt;"""",UPPER(logStatus)"&amp;",IF(V183&lt;&gt;"""",IF(VALUE(V183)&gt;=9/24,""FD"",""HD""),IF(REGEXMATCH(V$5,""SUN""),""WO"",""-""))))))"),"")</f>
        <v/>
      </c>
      <c r="W184" s="43" t="str">
        <f>IFERROR(__xludf.DUMMYFUNCTION("IF($A179="""","""",IF(W$5="""","""",LET(logStatus,IFNA(INDEX(DATA_LOG!$E:$E,MATCH(1,(DATA_LOG!$A:$A=$A179)*(TEXT(DATA_LOG!$B:$B,""yyyy-MM-dd"")=TEXT(DATE($P$3,MONTH(1&amp;$N$3),VALUE(LEFT(W$5,2))),""yyyy-MM-dd"")),0)),""""),IF(logStatus&lt;&gt;"""",UPPER(logStatus)"&amp;",IF(W183&lt;&gt;"""",IF(VALUE(W183)&gt;=9/24,""FD"",""HD""),IF(REGEXMATCH(W$5,""SUN""),""WO"",""-""))))))"),"")</f>
        <v/>
      </c>
      <c r="X184" s="43" t="str">
        <f>IFERROR(__xludf.DUMMYFUNCTION("IF($A179="""","""",IF(X$5="""","""",LET(logStatus,IFNA(INDEX(DATA_LOG!$E:$E,MATCH(1,(DATA_LOG!$A:$A=$A179)*(TEXT(DATA_LOG!$B:$B,""yyyy-MM-dd"")=TEXT(DATE($P$3,MONTH(1&amp;$N$3),VALUE(LEFT(X$5,2))),""yyyy-MM-dd"")),0)),""""),IF(logStatus&lt;&gt;"""",UPPER(logStatus)"&amp;",IF(X183&lt;&gt;"""",IF(VALUE(X183)&gt;=9/24,""FD"",""HD""),IF(REGEXMATCH(X$5,""SUN""),""WO"",""-""))))))"),"")</f>
        <v/>
      </c>
      <c r="Y184" s="43" t="str">
        <f>IFERROR(__xludf.DUMMYFUNCTION("IF($A179="""","""",IF(Y$5="""","""",LET(logStatus,IFNA(INDEX(DATA_LOG!$E:$E,MATCH(1,(DATA_LOG!$A:$A=$A179)*(TEXT(DATA_LOG!$B:$B,""yyyy-MM-dd"")=TEXT(DATE($P$3,MONTH(1&amp;$N$3),VALUE(LEFT(Y$5,2))),""yyyy-MM-dd"")),0)),""""),IF(logStatus&lt;&gt;"""",UPPER(logStatus)"&amp;",IF(Y183&lt;&gt;"""",IF(VALUE(Y183)&gt;=9/24,""FD"",""HD""),IF(REGEXMATCH(Y$5,""SUN""),""WO"",""-""))))))"),"")</f>
        <v/>
      </c>
      <c r="Z184" s="43" t="str">
        <f>IFERROR(__xludf.DUMMYFUNCTION("IF($A179="""","""",IF(Z$5="""","""",LET(logStatus,IFNA(INDEX(DATA_LOG!$E:$E,MATCH(1,(DATA_LOG!$A:$A=$A179)*(TEXT(DATA_LOG!$B:$B,""yyyy-MM-dd"")=TEXT(DATE($P$3,MONTH(1&amp;$N$3),VALUE(LEFT(Z$5,2))),""yyyy-MM-dd"")),0)),""""),IF(logStatus&lt;&gt;"""",UPPER(logStatus)"&amp;",IF(Z183&lt;&gt;"""",IF(VALUE(Z183)&gt;=9/24,""FD"",""HD""),IF(REGEXMATCH(Z$5,""SUN""),""WO"",""-""))))))"),"")</f>
        <v/>
      </c>
      <c r="AA184" s="43" t="str">
        <f>IFERROR(__xludf.DUMMYFUNCTION("IF($A179="""","""",IF(AA$5="""","""",LET(logStatus,IFNA(INDEX(DATA_LOG!$E:$E,MATCH(1,(DATA_LOG!$A:$A=$A179)*(TEXT(DATA_LOG!$B:$B,""yyyy-MM-dd"")=TEXT(DATE($P$3,MONTH(1&amp;$N$3),VALUE(LEFT(AA$5,2))),""yyyy-MM-dd"")),0)),""""),IF(logStatus&lt;&gt;"""",UPPER(logStatu"&amp;"s),IF(AA183&lt;&gt;"""",IF(VALUE(AA183)&gt;=9/24,""FD"",""HD""),IF(REGEXMATCH(AA$5,""SUN""),""WO"",""-""))))))"),"")</f>
        <v/>
      </c>
      <c r="AB184" s="43" t="str">
        <f>IFERROR(__xludf.DUMMYFUNCTION("IF($A179="""","""",IF(AB$5="""","""",LET(logStatus,IFNA(INDEX(DATA_LOG!$E:$E,MATCH(1,(DATA_LOG!$A:$A=$A179)*(TEXT(DATA_LOG!$B:$B,""yyyy-MM-dd"")=TEXT(DATE($P$3,MONTH(1&amp;$N$3),VALUE(LEFT(AB$5,2))),""yyyy-MM-dd"")),0)),""""),IF(logStatus&lt;&gt;"""",UPPER(logStatu"&amp;"s),IF(AB183&lt;&gt;"""",IF(VALUE(AB183)&gt;=9/24,""FD"",""HD""),IF(REGEXMATCH(AB$5,""SUN""),""WO"",""-""))))))"),"")</f>
        <v/>
      </c>
      <c r="AC184" s="43" t="str">
        <f>IFERROR(__xludf.DUMMYFUNCTION("IF($A179="""","""",IF(AC$5="""","""",LET(logStatus,IFNA(INDEX(DATA_LOG!$E:$E,MATCH(1,(DATA_LOG!$A:$A=$A179)*(TEXT(DATA_LOG!$B:$B,""yyyy-MM-dd"")=TEXT(DATE($P$3,MONTH(1&amp;$N$3),VALUE(LEFT(AC$5,2))),""yyyy-MM-dd"")),0)),""""),IF(logStatus&lt;&gt;"""",UPPER(logStatu"&amp;"s),IF(AC183&lt;&gt;"""",IF(VALUE(AC183)&gt;=9/24,""FD"",""HD""),IF(REGEXMATCH(AC$5,""SUN""),""WO"",""-""))))))"),"")</f>
        <v/>
      </c>
      <c r="AD184" s="43" t="str">
        <f>IFERROR(__xludf.DUMMYFUNCTION("IF($A179="""","""",IF(AD$5="""","""",LET(logStatus,IFNA(INDEX(DATA_LOG!$E:$E,MATCH(1,(DATA_LOG!$A:$A=$A179)*(TEXT(DATA_LOG!$B:$B,""yyyy-MM-dd"")=TEXT(DATE($P$3,MONTH(1&amp;$N$3),VALUE(LEFT(AD$5,2))),""yyyy-MM-dd"")),0)),""""),IF(logStatus&lt;&gt;"""",UPPER(logStatu"&amp;"s),IF(AD183&lt;&gt;"""",IF(VALUE(AD183)&gt;=9/24,""FD"",""HD""),IF(REGEXMATCH(AD$5,""SUN""),""WO"",""-""))))))"),"")</f>
        <v/>
      </c>
      <c r="AE184" s="43" t="str">
        <f>IFERROR(__xludf.DUMMYFUNCTION("IF($A179="""","""",IF(AE$5="""","""",LET(logStatus,IFNA(INDEX(DATA_LOG!$E:$E,MATCH(1,(DATA_LOG!$A:$A=$A179)*(TEXT(DATA_LOG!$B:$B,""yyyy-MM-dd"")=TEXT(DATE($P$3,MONTH(1&amp;$N$3),VALUE(LEFT(AE$5,2))),""yyyy-MM-dd"")),0)),""""),IF(logStatus&lt;&gt;"""",UPPER(logStatu"&amp;"s),IF(AE183&lt;&gt;"""",IF(VALUE(AE183)&gt;=9/24,""FD"",""HD""),IF(REGEXMATCH(AE$5,""SUN""),""WO"",""-""))))))"),"")</f>
        <v/>
      </c>
      <c r="AF184" s="43" t="str">
        <f>IFERROR(__xludf.DUMMYFUNCTION("IF($A179="""","""",IF(AF$5="""","""",LET(logStatus,IFNA(INDEX(DATA_LOG!$E:$E,MATCH(1,(DATA_LOG!$A:$A=$A179)*(TEXT(DATA_LOG!$B:$B,""yyyy-MM-dd"")=TEXT(DATE($P$3,MONTH(1&amp;$N$3),VALUE(LEFT(AF$5,2))),""yyyy-MM-dd"")),0)),""""),IF(logStatus&lt;&gt;"""",UPPER(logStatu"&amp;"s),IF(AF183&lt;&gt;"""",IF(VALUE(AF183)&gt;=9/24,""FD"",""HD""),IF(REGEXMATCH(AF$5,""SUN""),""WO"",""-""))))))"),"")</f>
        <v/>
      </c>
    </row>
    <row r="185">
      <c r="A185" s="44"/>
    </row>
    <row r="186">
      <c r="A186" s="25" t="str">
        <f t="array" ref="A186">INDEX(EMPLOYEE_LIST!$A:$A,INT((ROW()-4)/7)+2)</f>
        <v/>
      </c>
      <c r="B186" s="26"/>
      <c r="C186" s="27"/>
      <c r="D186" s="28" t="str">
        <f>IF(A186="", "", IFERROR(VLOOKUP(A186, EMPLOYEE_LIST!$A:$H, 2, FALSE), ""))</f>
        <v/>
      </c>
      <c r="E186" s="26"/>
      <c r="F186" s="26"/>
      <c r="G186" s="27"/>
      <c r="H186" s="29" t="str">
        <f>IF(A186="", "", IFERROR(VLOOKUP(A186, EMPLOYEE_LIST!$A:$H, 3, FALSE), ""))</f>
        <v/>
      </c>
      <c r="I186" s="26"/>
      <c r="J186" s="26"/>
      <c r="K186" s="27"/>
      <c r="L186" s="29" t="str">
        <f>IF(A186="", "", IFERROR(VLOOKUP(A186, EMPLOYEE_LIST!$A:$H, 4, FALSE), ""))</f>
        <v/>
      </c>
      <c r="M186" s="26"/>
      <c r="N186" s="26"/>
      <c r="O186" s="27"/>
      <c r="P186" s="30" t="str">
        <f>IF($A186="", "", "Full Day: " &amp; COUNTIF(B191:AF191, "FD"))</f>
        <v/>
      </c>
      <c r="Q186" s="26"/>
      <c r="R186" s="27"/>
      <c r="S186" s="31" t="str">
        <f>IF($A186="", "", "HALF Day: " &amp; COUNTIF(B191:AF191, "HD"))</f>
        <v/>
      </c>
      <c r="T186" s="26"/>
      <c r="U186" s="27"/>
      <c r="V186" s="31" t="str">
        <f>IF($A186="", "", "ABSENT: " &amp; COUNTIF(B191:AF191, "A"))</f>
        <v/>
      </c>
      <c r="W186" s="26"/>
      <c r="X186" s="27"/>
      <c r="Y186" s="31" t="str">
        <f>IF($A186="", "", "WEEK OFF: " &amp; COUNTIF(B191:AF191, "WO"))</f>
        <v/>
      </c>
      <c r="Z186" s="26"/>
      <c r="AA186" s="27"/>
      <c r="AB186" s="31" t="str">
        <f>IF($A186="", "", "LEAVE: " &amp; COUNTIF(B191:AF191, "L"))</f>
        <v/>
      </c>
      <c r="AC186" s="27"/>
      <c r="AD186" s="31" t="str">
        <f>IF($A186="", "", "HOLIDAY: " &amp; COUNTIF(B191:AF191, "HL"))</f>
        <v/>
      </c>
      <c r="AE186" s="26"/>
      <c r="AF186" s="27"/>
    </row>
    <row r="187">
      <c r="A187" s="32" t="str">
        <f>IF($A186="", "", "DATE")</f>
        <v/>
      </c>
      <c r="B187" s="33" t="str">
        <f t="array" ref="B187">IF($A186="","",LET(mNum,MONTH(1&amp;$N$3),start,DATE($P$3,mNum,1),days,DAY(EOMONTH(start,0)),MAP(SEQUENCE(1,days,0),LAMBDA(n,UPPER(TEXT(start+n,"dd (ddd)"))))))</f>
        <v/>
      </c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>
      <c r="A188" s="37" t="str">
        <f>IF($A186="", "", "IN")</f>
        <v/>
      </c>
      <c r="B188" s="39" t="str">
        <f t="array" ref="B188">IF(OR($A186="",B$5=""),"",IFNA(INDEX(DATA_LOG!$C:$C,MATCH(1,(DATA_LOG!$A:$A=$A186)*(TEXT(DATA_LOG!$B:$B,"yyyy-MM-dd")=TEXT(DATE($P$3,MONTH(1&amp;$N$3),VALUE(LEFT(B$5,2))),"yyyy-MM-dd")),0)),""))</f>
        <v/>
      </c>
      <c r="C188" s="39" t="str">
        <f t="array" ref="C188">IF(OR($A186="",C$5=""),"",IFNA(INDEX(DATA_LOG!$C:$C,MATCH(1,(DATA_LOG!$A:$A=$A186)*(TEXT(DATA_LOG!$B:$B,"yyyy-MM-dd")=TEXT(DATE($P$3,MONTH(1&amp;$N$3),VALUE(LEFT(C$5,2))),"yyyy-MM-dd")),0)),""))</f>
        <v/>
      </c>
      <c r="D188" s="39" t="str">
        <f t="array" ref="D188">IF(OR($A186="",D$5=""),"",IFNA(INDEX(DATA_LOG!$C:$C,MATCH(1,(DATA_LOG!$A:$A=$A186)*(TEXT(DATA_LOG!$B:$B,"yyyy-MM-dd")=TEXT(DATE($P$3,MONTH(1&amp;$N$3),VALUE(LEFT(D$5,2))),"yyyy-MM-dd")),0)),""))</f>
        <v/>
      </c>
      <c r="E188" s="39" t="str">
        <f t="array" ref="E188">IF(OR($A186="",E$5=""),"",IFNA(INDEX(DATA_LOG!$C:$C,MATCH(1,(DATA_LOG!$A:$A=$A186)*(TEXT(DATA_LOG!$B:$B,"yyyy-MM-dd")=TEXT(DATE($P$3,MONTH(1&amp;$N$3),VALUE(LEFT(E$5,2))),"yyyy-MM-dd")),0)),""))</f>
        <v/>
      </c>
      <c r="F188" s="39" t="str">
        <f t="array" ref="F188">IF(OR($A186="",F$5=""),"",IFNA(INDEX(DATA_LOG!$C:$C,MATCH(1,(DATA_LOG!$A:$A=$A186)*(TEXT(DATA_LOG!$B:$B,"yyyy-MM-dd")=TEXT(DATE($P$3,MONTH(1&amp;$N$3),VALUE(LEFT(F$5,2))),"yyyy-MM-dd")),0)),""))</f>
        <v/>
      </c>
      <c r="G188" s="39" t="str">
        <f t="array" ref="G188">IF(OR($A186="",G$5=""),"",IFNA(INDEX(DATA_LOG!$C:$C,MATCH(1,(DATA_LOG!$A:$A=$A186)*(TEXT(DATA_LOG!$B:$B,"yyyy-MM-dd")=TEXT(DATE($P$3,MONTH(1&amp;$N$3),VALUE(LEFT(G$5,2))),"yyyy-MM-dd")),0)),""))</f>
        <v/>
      </c>
      <c r="H188" s="39" t="str">
        <f t="array" ref="H188">IF(OR($A186="",H$5=""),"",IFNA(INDEX(DATA_LOG!$C:$C,MATCH(1,(DATA_LOG!$A:$A=$A186)*(TEXT(DATA_LOG!$B:$B,"yyyy-MM-dd")=TEXT(DATE($P$3,MONTH(1&amp;$N$3),VALUE(LEFT(H$5,2))),"yyyy-MM-dd")),0)),""))</f>
        <v/>
      </c>
      <c r="I188" s="39" t="str">
        <f t="array" ref="I188">IF(OR($A186="",I$5=""),"",IFNA(INDEX(DATA_LOG!$C:$C,MATCH(1,(DATA_LOG!$A:$A=$A186)*(TEXT(DATA_LOG!$B:$B,"yyyy-MM-dd")=TEXT(DATE($P$3,MONTH(1&amp;$N$3),VALUE(LEFT(I$5,2))),"yyyy-MM-dd")),0)),""))</f>
        <v/>
      </c>
      <c r="J188" s="39" t="str">
        <f t="array" ref="J188">IF(OR($A186="",J$5=""),"",IFNA(INDEX(DATA_LOG!$C:$C,MATCH(1,(DATA_LOG!$A:$A=$A186)*(TEXT(DATA_LOG!$B:$B,"yyyy-MM-dd")=TEXT(DATE($P$3,MONTH(1&amp;$N$3),VALUE(LEFT(J$5,2))),"yyyy-MM-dd")),0)),""))</f>
        <v/>
      </c>
      <c r="K188" s="39" t="str">
        <f t="array" ref="K188">IF(OR($A186="",K$5=""),"",IFNA(INDEX(DATA_LOG!$C:$C,MATCH(1,(DATA_LOG!$A:$A=$A186)*(TEXT(DATA_LOG!$B:$B,"yyyy-MM-dd")=TEXT(DATE($P$3,MONTH(1&amp;$N$3),VALUE(LEFT(K$5,2))),"yyyy-MM-dd")),0)),""))</f>
        <v/>
      </c>
      <c r="L188" s="39" t="str">
        <f t="array" ref="L188">IF(OR($A186="",L$5=""),"",IFNA(INDEX(DATA_LOG!$C:$C,MATCH(1,(DATA_LOG!$A:$A=$A186)*(TEXT(DATA_LOG!$B:$B,"yyyy-MM-dd")=TEXT(DATE($P$3,MONTH(1&amp;$N$3),VALUE(LEFT(L$5,2))),"yyyy-MM-dd")),0)),""))</f>
        <v/>
      </c>
      <c r="M188" s="39" t="str">
        <f t="array" ref="M188">IF(OR($A186="",M$5=""),"",IFNA(INDEX(DATA_LOG!$C:$C,MATCH(1,(DATA_LOG!$A:$A=$A186)*(TEXT(DATA_LOG!$B:$B,"yyyy-MM-dd")=TEXT(DATE($P$3,MONTH(1&amp;$N$3),VALUE(LEFT(M$5,2))),"yyyy-MM-dd")),0)),""))</f>
        <v/>
      </c>
      <c r="N188" s="39" t="str">
        <f t="array" ref="N188">IF(OR($A186="",N$5=""),"",IFNA(INDEX(DATA_LOG!$C:$C,MATCH(1,(DATA_LOG!$A:$A=$A186)*(TEXT(DATA_LOG!$B:$B,"yyyy-MM-dd")=TEXT(DATE($P$3,MONTH(1&amp;$N$3),VALUE(LEFT(N$5,2))),"yyyy-MM-dd")),0)),""))</f>
        <v/>
      </c>
      <c r="O188" s="39" t="str">
        <f t="array" ref="O188">IF(OR($A186="",O$5=""),"",IFNA(INDEX(DATA_LOG!$C:$C,MATCH(1,(DATA_LOG!$A:$A=$A186)*(TEXT(DATA_LOG!$B:$B,"yyyy-MM-dd")=TEXT(DATE($P$3,MONTH(1&amp;$N$3),VALUE(LEFT(O$5,2))),"yyyy-MM-dd")),0)),""))</f>
        <v/>
      </c>
      <c r="P188" s="39" t="str">
        <f t="array" ref="P188">IF(OR($A186="",P$5=""),"",IFNA(INDEX(DATA_LOG!$C:$C,MATCH(1,(DATA_LOG!$A:$A=$A186)*(TEXT(DATA_LOG!$B:$B,"yyyy-MM-dd")=TEXT(DATE($P$3,MONTH(1&amp;$N$3),VALUE(LEFT(P$5,2))),"yyyy-MM-dd")),0)),""))</f>
        <v/>
      </c>
      <c r="Q188" s="39" t="str">
        <f t="array" ref="Q188">IF(OR($A186="",Q$5=""),"",IFNA(INDEX(DATA_LOG!$C:$C,MATCH(1,(DATA_LOG!$A:$A=$A186)*(TEXT(DATA_LOG!$B:$B,"yyyy-MM-dd")=TEXT(DATE($P$3,MONTH(1&amp;$N$3),VALUE(LEFT(Q$5,2))),"yyyy-MM-dd")),0)),""))</f>
        <v/>
      </c>
      <c r="R188" s="39" t="str">
        <f t="array" ref="R188">IF(OR($A186="",R$5=""),"",IFNA(INDEX(DATA_LOG!$C:$C,MATCH(1,(DATA_LOG!$A:$A=$A186)*(TEXT(DATA_LOG!$B:$B,"yyyy-MM-dd")=TEXT(DATE($P$3,MONTH(1&amp;$N$3),VALUE(LEFT(R$5,2))),"yyyy-MM-dd")),0)),""))</f>
        <v/>
      </c>
      <c r="S188" s="39" t="str">
        <f t="array" ref="S188">IF(OR($A186="",S$5=""),"",IFNA(INDEX(DATA_LOG!$C:$C,MATCH(1,(DATA_LOG!$A:$A=$A186)*(TEXT(DATA_LOG!$B:$B,"yyyy-MM-dd")=TEXT(DATE($P$3,MONTH(1&amp;$N$3),VALUE(LEFT(S$5,2))),"yyyy-MM-dd")),0)),""))</f>
        <v/>
      </c>
      <c r="T188" s="39" t="str">
        <f t="array" ref="T188">IF(OR($A186="",T$5=""),"",IFNA(INDEX(DATA_LOG!$C:$C,MATCH(1,(DATA_LOG!$A:$A=$A186)*(TEXT(DATA_LOG!$B:$B,"yyyy-MM-dd")=TEXT(DATE($P$3,MONTH(1&amp;$N$3),VALUE(LEFT(T$5,2))),"yyyy-MM-dd")),0)),""))</f>
        <v/>
      </c>
      <c r="U188" s="39" t="str">
        <f t="array" ref="U188">IF(OR($A186="",U$5=""),"",IFNA(INDEX(DATA_LOG!$C:$C,MATCH(1,(DATA_LOG!$A:$A=$A186)*(TEXT(DATA_LOG!$B:$B,"yyyy-MM-dd")=TEXT(DATE($P$3,MONTH(1&amp;$N$3),VALUE(LEFT(U$5,2))),"yyyy-MM-dd")),0)),""))</f>
        <v/>
      </c>
      <c r="V188" s="39" t="str">
        <f t="array" ref="V188">IF(OR($A186="",V$5=""),"",IFNA(INDEX(DATA_LOG!$C:$C,MATCH(1,(DATA_LOG!$A:$A=$A186)*(TEXT(DATA_LOG!$B:$B,"yyyy-MM-dd")=TEXT(DATE($P$3,MONTH(1&amp;$N$3),VALUE(LEFT(V$5,2))),"yyyy-MM-dd")),0)),""))</f>
        <v/>
      </c>
      <c r="W188" s="39" t="str">
        <f t="array" ref="W188">IF(OR($A186="",W$5=""),"",IFNA(INDEX(DATA_LOG!$C:$C,MATCH(1,(DATA_LOG!$A:$A=$A186)*(TEXT(DATA_LOG!$B:$B,"yyyy-MM-dd")=TEXT(DATE($P$3,MONTH(1&amp;$N$3),VALUE(LEFT(W$5,2))),"yyyy-MM-dd")),0)),""))</f>
        <v/>
      </c>
      <c r="X188" s="39" t="str">
        <f t="array" ref="X188">IF(OR($A186="",X$5=""),"",IFNA(INDEX(DATA_LOG!$C:$C,MATCH(1,(DATA_LOG!$A:$A=$A186)*(TEXT(DATA_LOG!$B:$B,"yyyy-MM-dd")=TEXT(DATE($P$3,MONTH(1&amp;$N$3),VALUE(LEFT(X$5,2))),"yyyy-MM-dd")),0)),""))</f>
        <v/>
      </c>
      <c r="Y188" s="39" t="str">
        <f t="array" ref="Y188">IF(OR($A186="",Y$5=""),"",IFNA(INDEX(DATA_LOG!$C:$C,MATCH(1,(DATA_LOG!$A:$A=$A186)*(TEXT(DATA_LOG!$B:$B,"yyyy-MM-dd")=TEXT(DATE($P$3,MONTH(1&amp;$N$3),VALUE(LEFT(Y$5,2))),"yyyy-MM-dd")),0)),""))</f>
        <v/>
      </c>
      <c r="Z188" s="39" t="str">
        <f t="array" ref="Z188">IF(OR($A186="",Z$5=""),"",IFNA(INDEX(DATA_LOG!$C:$C,MATCH(1,(DATA_LOG!$A:$A=$A186)*(TEXT(DATA_LOG!$B:$B,"yyyy-MM-dd")=TEXT(DATE($P$3,MONTH(1&amp;$N$3),VALUE(LEFT(Z$5,2))),"yyyy-MM-dd")),0)),""))</f>
        <v/>
      </c>
      <c r="AA188" s="39" t="str">
        <f t="array" ref="AA188">IF(OR($A186="",AA$5=""),"",IFNA(INDEX(DATA_LOG!$C:$C,MATCH(1,(DATA_LOG!$A:$A=$A186)*(TEXT(DATA_LOG!$B:$B,"yyyy-MM-dd")=TEXT(DATE($P$3,MONTH(1&amp;$N$3),VALUE(LEFT(AA$5,2))),"yyyy-MM-dd")),0)),""))</f>
        <v/>
      </c>
      <c r="AB188" s="39" t="str">
        <f t="array" ref="AB188">IF(OR($A186="",AB$5=""),"",IFNA(INDEX(DATA_LOG!$C:$C,MATCH(1,(DATA_LOG!$A:$A=$A186)*(TEXT(DATA_LOG!$B:$B,"yyyy-MM-dd")=TEXT(DATE($P$3,MONTH(1&amp;$N$3),VALUE(LEFT(AB$5,2))),"yyyy-MM-dd")),0)),""))</f>
        <v/>
      </c>
      <c r="AC188" s="39" t="str">
        <f t="array" ref="AC188">IF(OR($A186="",AC$5=""),"",IFNA(INDEX(DATA_LOG!$C:$C,MATCH(1,(DATA_LOG!$A:$A=$A186)*(TEXT(DATA_LOG!$B:$B,"yyyy-MM-dd")=TEXT(DATE($P$3,MONTH(1&amp;$N$3),VALUE(LEFT(AC$5,2))),"yyyy-MM-dd")),0)),""))</f>
        <v/>
      </c>
      <c r="AD188" s="39" t="str">
        <f t="array" ref="AD188">IF(OR($A186="",AD$5=""),"",IFNA(INDEX(DATA_LOG!$C:$C,MATCH(1,(DATA_LOG!$A:$A=$A186)*(TEXT(DATA_LOG!$B:$B,"yyyy-MM-dd")=TEXT(DATE($P$3,MONTH(1&amp;$N$3),VALUE(LEFT(AD$5,2))),"yyyy-MM-dd")),0)),""))</f>
        <v/>
      </c>
      <c r="AE188" s="39" t="str">
        <f t="array" ref="AE188">IF(OR($A186="",AE$5=""),"",IFNA(INDEX(DATA_LOG!$C:$C,MATCH(1,(DATA_LOG!$A:$A=$A186)*(TEXT(DATA_LOG!$B:$B,"yyyy-MM-dd")=TEXT(DATE($P$3,MONTH(1&amp;$N$3),VALUE(LEFT(AE$5,2))),"yyyy-MM-dd")),0)),""))</f>
        <v/>
      </c>
      <c r="AF188" s="39" t="str">
        <f t="array" ref="AF188">IF(OR($A186="",AF$5=""),"",IFNA(INDEX(DATA_LOG!$C:$C,MATCH(1,(DATA_LOG!$A:$A=$A186)*(TEXT(DATA_LOG!$B:$B,"yyyy-MM-dd")=TEXT(DATE($P$3,MONTH(1&amp;$N$3),VALUE(LEFT(AF$5,2))),"yyyy-MM-dd")),0)),""))</f>
        <v/>
      </c>
    </row>
    <row r="189">
      <c r="A189" s="37" t="str">
        <f>IF($A186="", "", "OUT")</f>
        <v/>
      </c>
      <c r="B189" s="39" t="str">
        <f t="array" ref="B189">IF(OR($A186="",B$5=""),"",IFNA(INDEX(DATA_LOG!$D:$D,MATCH(1,(DATA_LOG!$A:$A=$A186)*(TEXT(DATA_LOG!$B:$B,"yyyy-MM-dd")=TEXT(DATE($P$3,MONTH(1&amp;$N$3),VALUE(LEFT(B$5,2))),"yyyy-MM-dd")),0)),""))</f>
        <v/>
      </c>
      <c r="C189" s="39" t="str">
        <f t="array" ref="C189">IF(OR($A186="",C$5=""),"",IFNA(INDEX(DATA_LOG!$D:$D,MATCH(1,(DATA_LOG!$A:$A=$A186)*(TEXT(DATA_LOG!$B:$B,"yyyy-MM-dd")=TEXT(DATE($P$3,MONTH(1&amp;$N$3),VALUE(LEFT(C$5,2))),"yyyy-MM-dd")),0)),""))</f>
        <v/>
      </c>
      <c r="D189" s="39" t="str">
        <f t="array" ref="D189">IF(OR($A186="",D$5=""),"",IFNA(INDEX(DATA_LOG!$D:$D,MATCH(1,(DATA_LOG!$A:$A=$A186)*(TEXT(DATA_LOG!$B:$B,"yyyy-MM-dd")=TEXT(DATE($P$3,MONTH(1&amp;$N$3),VALUE(LEFT(D$5,2))),"yyyy-MM-dd")),0)),""))</f>
        <v/>
      </c>
      <c r="E189" s="39" t="str">
        <f t="array" ref="E189">IF(OR($A186="",E$5=""),"",IFNA(INDEX(DATA_LOG!$D:$D,MATCH(1,(DATA_LOG!$A:$A=$A186)*(TEXT(DATA_LOG!$B:$B,"yyyy-MM-dd")=TEXT(DATE($P$3,MONTH(1&amp;$N$3),VALUE(LEFT(E$5,2))),"yyyy-MM-dd")),0)),""))</f>
        <v/>
      </c>
      <c r="F189" s="39" t="str">
        <f t="array" ref="F189">IF(OR($A186="",F$5=""),"",IFNA(INDEX(DATA_LOG!$D:$D,MATCH(1,(DATA_LOG!$A:$A=$A186)*(TEXT(DATA_LOG!$B:$B,"yyyy-MM-dd")=TEXT(DATE($P$3,MONTH(1&amp;$N$3),VALUE(LEFT(F$5,2))),"yyyy-MM-dd")),0)),""))</f>
        <v/>
      </c>
      <c r="G189" s="39" t="str">
        <f t="array" ref="G189">IF(OR($A186="",G$5=""),"",IFNA(INDEX(DATA_LOG!$D:$D,MATCH(1,(DATA_LOG!$A:$A=$A186)*(TEXT(DATA_LOG!$B:$B,"yyyy-MM-dd")=TEXT(DATE($P$3,MONTH(1&amp;$N$3),VALUE(LEFT(G$5,2))),"yyyy-MM-dd")),0)),""))</f>
        <v/>
      </c>
      <c r="H189" s="39" t="str">
        <f t="array" ref="H189">IF(OR($A186="",H$5=""),"",IFNA(INDEX(DATA_LOG!$D:$D,MATCH(1,(DATA_LOG!$A:$A=$A186)*(TEXT(DATA_LOG!$B:$B,"yyyy-MM-dd")=TEXT(DATE($P$3,MONTH(1&amp;$N$3),VALUE(LEFT(H$5,2))),"yyyy-MM-dd")),0)),""))</f>
        <v/>
      </c>
      <c r="I189" s="39" t="str">
        <f t="array" ref="I189">IF(OR($A186="",I$5=""),"",IFNA(INDEX(DATA_LOG!$D:$D,MATCH(1,(DATA_LOG!$A:$A=$A186)*(TEXT(DATA_LOG!$B:$B,"yyyy-MM-dd")=TEXT(DATE($P$3,MONTH(1&amp;$N$3),VALUE(LEFT(I$5,2))),"yyyy-MM-dd")),0)),""))</f>
        <v/>
      </c>
      <c r="J189" s="39" t="str">
        <f t="array" ref="J189">IF(OR($A186="",J$5=""),"",IFNA(INDEX(DATA_LOG!$D:$D,MATCH(1,(DATA_LOG!$A:$A=$A186)*(TEXT(DATA_LOG!$B:$B,"yyyy-MM-dd")=TEXT(DATE($P$3,MONTH(1&amp;$N$3),VALUE(LEFT(J$5,2))),"yyyy-MM-dd")),0)),""))</f>
        <v/>
      </c>
      <c r="K189" s="39" t="str">
        <f t="array" ref="K189">IF(OR($A186="",K$5=""),"",IFNA(INDEX(DATA_LOG!$D:$D,MATCH(1,(DATA_LOG!$A:$A=$A186)*(TEXT(DATA_LOG!$B:$B,"yyyy-MM-dd")=TEXT(DATE($P$3,MONTH(1&amp;$N$3),VALUE(LEFT(K$5,2))),"yyyy-MM-dd")),0)),""))</f>
        <v/>
      </c>
      <c r="L189" s="39" t="str">
        <f t="array" ref="L189">IF(OR($A186="",L$5=""),"",IFNA(INDEX(DATA_LOG!$D:$D,MATCH(1,(DATA_LOG!$A:$A=$A186)*(TEXT(DATA_LOG!$B:$B,"yyyy-MM-dd")=TEXT(DATE($P$3,MONTH(1&amp;$N$3),VALUE(LEFT(L$5,2))),"yyyy-MM-dd")),0)),""))</f>
        <v/>
      </c>
      <c r="M189" s="39" t="str">
        <f t="array" ref="M189">IF(OR($A186="",M$5=""),"",IFNA(INDEX(DATA_LOG!$D:$D,MATCH(1,(DATA_LOG!$A:$A=$A186)*(TEXT(DATA_LOG!$B:$B,"yyyy-MM-dd")=TEXT(DATE($P$3,MONTH(1&amp;$N$3),VALUE(LEFT(M$5,2))),"yyyy-MM-dd")),0)),""))</f>
        <v/>
      </c>
      <c r="N189" s="39" t="str">
        <f t="array" ref="N189">IF(OR($A186="",N$5=""),"",IFNA(INDEX(DATA_LOG!$D:$D,MATCH(1,(DATA_LOG!$A:$A=$A186)*(TEXT(DATA_LOG!$B:$B,"yyyy-MM-dd")=TEXT(DATE($P$3,MONTH(1&amp;$N$3),VALUE(LEFT(N$5,2))),"yyyy-MM-dd")),0)),""))</f>
        <v/>
      </c>
      <c r="O189" s="39" t="str">
        <f t="array" ref="O189">IF(OR($A186="",O$5=""),"",IFNA(INDEX(DATA_LOG!$D:$D,MATCH(1,(DATA_LOG!$A:$A=$A186)*(TEXT(DATA_LOG!$B:$B,"yyyy-MM-dd")=TEXT(DATE($P$3,MONTH(1&amp;$N$3),VALUE(LEFT(O$5,2))),"yyyy-MM-dd")),0)),""))</f>
        <v/>
      </c>
      <c r="P189" s="39" t="str">
        <f t="array" ref="P189">IF(OR($A186="",P$5=""),"",IFNA(INDEX(DATA_LOG!$D:$D,MATCH(1,(DATA_LOG!$A:$A=$A186)*(TEXT(DATA_LOG!$B:$B,"yyyy-MM-dd")=TEXT(DATE($P$3,MONTH(1&amp;$N$3),VALUE(LEFT(P$5,2))),"yyyy-MM-dd")),0)),""))</f>
        <v/>
      </c>
      <c r="Q189" s="39" t="str">
        <f t="array" ref="Q189">IF(OR($A186="",Q$5=""),"",IFNA(INDEX(DATA_LOG!$D:$D,MATCH(1,(DATA_LOG!$A:$A=$A186)*(TEXT(DATA_LOG!$B:$B,"yyyy-MM-dd")=TEXT(DATE($P$3,MONTH(1&amp;$N$3),VALUE(LEFT(Q$5,2))),"yyyy-MM-dd")),0)),""))</f>
        <v/>
      </c>
      <c r="R189" s="39" t="str">
        <f t="array" ref="R189">IF(OR($A186="",R$5=""),"",IFNA(INDEX(DATA_LOG!$D:$D,MATCH(1,(DATA_LOG!$A:$A=$A186)*(TEXT(DATA_LOG!$B:$B,"yyyy-MM-dd")=TEXT(DATE($P$3,MONTH(1&amp;$N$3),VALUE(LEFT(R$5,2))),"yyyy-MM-dd")),0)),""))</f>
        <v/>
      </c>
      <c r="S189" s="39" t="str">
        <f t="array" ref="S189">IF(OR($A186="",S$5=""),"",IFNA(INDEX(DATA_LOG!$D:$D,MATCH(1,(DATA_LOG!$A:$A=$A186)*(TEXT(DATA_LOG!$B:$B,"yyyy-MM-dd")=TEXT(DATE($P$3,MONTH(1&amp;$N$3),VALUE(LEFT(S$5,2))),"yyyy-MM-dd")),0)),""))</f>
        <v/>
      </c>
      <c r="T189" s="39" t="str">
        <f t="array" ref="T189">IF(OR($A186="",T$5=""),"",IFNA(INDEX(DATA_LOG!$D:$D,MATCH(1,(DATA_LOG!$A:$A=$A186)*(TEXT(DATA_LOG!$B:$B,"yyyy-MM-dd")=TEXT(DATE($P$3,MONTH(1&amp;$N$3),VALUE(LEFT(T$5,2))),"yyyy-MM-dd")),0)),""))</f>
        <v/>
      </c>
      <c r="U189" s="39" t="str">
        <f t="array" ref="U189">IF(OR($A186="",U$5=""),"",IFNA(INDEX(DATA_LOG!$D:$D,MATCH(1,(DATA_LOG!$A:$A=$A186)*(TEXT(DATA_LOG!$B:$B,"yyyy-MM-dd")=TEXT(DATE($P$3,MONTH(1&amp;$N$3),VALUE(LEFT(U$5,2))),"yyyy-MM-dd")),0)),""))</f>
        <v/>
      </c>
      <c r="V189" s="39" t="str">
        <f t="array" ref="V189">IF(OR($A186="",V$5=""),"",IFNA(INDEX(DATA_LOG!$D:$D,MATCH(1,(DATA_LOG!$A:$A=$A186)*(TEXT(DATA_LOG!$B:$B,"yyyy-MM-dd")=TEXT(DATE($P$3,MONTH(1&amp;$N$3),VALUE(LEFT(V$5,2))),"yyyy-MM-dd")),0)),""))</f>
        <v/>
      </c>
      <c r="W189" s="39" t="str">
        <f t="array" ref="W189">IF(OR($A186="",W$5=""),"",IFNA(INDEX(DATA_LOG!$D:$D,MATCH(1,(DATA_LOG!$A:$A=$A186)*(TEXT(DATA_LOG!$B:$B,"yyyy-MM-dd")=TEXT(DATE($P$3,MONTH(1&amp;$N$3),VALUE(LEFT(W$5,2))),"yyyy-MM-dd")),0)),""))</f>
        <v/>
      </c>
      <c r="X189" s="39" t="str">
        <f t="array" ref="X189">IF(OR($A186="",X$5=""),"",IFNA(INDEX(DATA_LOG!$D:$D,MATCH(1,(DATA_LOG!$A:$A=$A186)*(TEXT(DATA_LOG!$B:$B,"yyyy-MM-dd")=TEXT(DATE($P$3,MONTH(1&amp;$N$3),VALUE(LEFT(X$5,2))),"yyyy-MM-dd")),0)),""))</f>
        <v/>
      </c>
      <c r="Y189" s="39" t="str">
        <f t="array" ref="Y189">IF(OR($A186="",Y$5=""),"",IFNA(INDEX(DATA_LOG!$D:$D,MATCH(1,(DATA_LOG!$A:$A=$A186)*(TEXT(DATA_LOG!$B:$B,"yyyy-MM-dd")=TEXT(DATE($P$3,MONTH(1&amp;$N$3),VALUE(LEFT(Y$5,2))),"yyyy-MM-dd")),0)),""))</f>
        <v/>
      </c>
      <c r="Z189" s="39" t="str">
        <f t="array" ref="Z189">IF(OR($A186="",Z$5=""),"",IFNA(INDEX(DATA_LOG!$D:$D,MATCH(1,(DATA_LOG!$A:$A=$A186)*(TEXT(DATA_LOG!$B:$B,"yyyy-MM-dd")=TEXT(DATE($P$3,MONTH(1&amp;$N$3),VALUE(LEFT(Z$5,2))),"yyyy-MM-dd")),0)),""))</f>
        <v/>
      </c>
      <c r="AA189" s="39" t="str">
        <f t="array" ref="AA189">IF(OR($A186="",AA$5=""),"",IFNA(INDEX(DATA_LOG!$D:$D,MATCH(1,(DATA_LOG!$A:$A=$A186)*(TEXT(DATA_LOG!$B:$B,"yyyy-MM-dd")=TEXT(DATE($P$3,MONTH(1&amp;$N$3),VALUE(LEFT(AA$5,2))),"yyyy-MM-dd")),0)),""))</f>
        <v/>
      </c>
      <c r="AB189" s="39" t="str">
        <f t="array" ref="AB189">IF(OR($A186="",AB$5=""),"",IFNA(INDEX(DATA_LOG!$D:$D,MATCH(1,(DATA_LOG!$A:$A=$A186)*(TEXT(DATA_LOG!$B:$B,"yyyy-MM-dd")=TEXT(DATE($P$3,MONTH(1&amp;$N$3),VALUE(LEFT(AB$5,2))),"yyyy-MM-dd")),0)),""))</f>
        <v/>
      </c>
      <c r="AC189" s="39" t="str">
        <f t="array" ref="AC189">IF(OR($A186="",AC$5=""),"",IFNA(INDEX(DATA_LOG!$D:$D,MATCH(1,(DATA_LOG!$A:$A=$A186)*(TEXT(DATA_LOG!$B:$B,"yyyy-MM-dd")=TEXT(DATE($P$3,MONTH(1&amp;$N$3),VALUE(LEFT(AC$5,2))),"yyyy-MM-dd")),0)),""))</f>
        <v/>
      </c>
      <c r="AD189" s="39" t="str">
        <f t="array" ref="AD189">IF(OR($A186="",AD$5=""),"",IFNA(INDEX(DATA_LOG!$D:$D,MATCH(1,(DATA_LOG!$A:$A=$A186)*(TEXT(DATA_LOG!$B:$B,"yyyy-MM-dd")=TEXT(DATE($P$3,MONTH(1&amp;$N$3),VALUE(LEFT(AD$5,2))),"yyyy-MM-dd")),0)),""))</f>
        <v/>
      </c>
      <c r="AE189" s="39" t="str">
        <f t="array" ref="AE189">IF(OR($A186="",AE$5=""),"",IFNA(INDEX(DATA_LOG!$D:$D,MATCH(1,(DATA_LOG!$A:$A=$A186)*(TEXT(DATA_LOG!$B:$B,"yyyy-MM-dd")=TEXT(DATE($P$3,MONTH(1&amp;$N$3),VALUE(LEFT(AE$5,2))),"yyyy-MM-dd")),0)),""))</f>
        <v/>
      </c>
      <c r="AF189" s="39" t="str">
        <f t="array" ref="AF189">IF(OR($A186="",AF$5=""),"",IFNA(INDEX(DATA_LOG!$D:$D,MATCH(1,(DATA_LOG!$A:$A=$A186)*(TEXT(DATA_LOG!$B:$B,"yyyy-MM-dd")=TEXT(DATE($P$3,MONTH(1&amp;$N$3),VALUE(LEFT(AF$5,2))),"yyyy-MM-dd")),0)),""))</f>
        <v/>
      </c>
    </row>
    <row r="190">
      <c r="A190" s="40" t="str">
        <f>IF($A186="", "", "TOTAL")</f>
        <v/>
      </c>
      <c r="B190" s="41" t="str">
        <f t="shared" ref="B190:AF190" si="27">IF(AND(B188&lt;&gt;"",B189&lt;&gt;""),TEXT(MOD(B189-B188,1),"hh:mm"),"")</f>
        <v/>
      </c>
      <c r="C190" s="34" t="str">
        <f t="shared" si="27"/>
        <v/>
      </c>
      <c r="D190" s="34" t="str">
        <f t="shared" si="27"/>
        <v/>
      </c>
      <c r="E190" s="34" t="str">
        <f t="shared" si="27"/>
        <v/>
      </c>
      <c r="F190" s="34" t="str">
        <f t="shared" si="27"/>
        <v/>
      </c>
      <c r="G190" s="34" t="str">
        <f t="shared" si="27"/>
        <v/>
      </c>
      <c r="H190" s="34" t="str">
        <f t="shared" si="27"/>
        <v/>
      </c>
      <c r="I190" s="34" t="str">
        <f t="shared" si="27"/>
        <v/>
      </c>
      <c r="J190" s="34" t="str">
        <f t="shared" si="27"/>
        <v/>
      </c>
      <c r="K190" s="34" t="str">
        <f t="shared" si="27"/>
        <v/>
      </c>
      <c r="L190" s="34" t="str">
        <f t="shared" si="27"/>
        <v/>
      </c>
      <c r="M190" s="34" t="str">
        <f t="shared" si="27"/>
        <v/>
      </c>
      <c r="N190" s="34" t="str">
        <f t="shared" si="27"/>
        <v/>
      </c>
      <c r="O190" s="34" t="str">
        <f t="shared" si="27"/>
        <v/>
      </c>
      <c r="P190" s="34" t="str">
        <f t="shared" si="27"/>
        <v/>
      </c>
      <c r="Q190" s="34" t="str">
        <f t="shared" si="27"/>
        <v/>
      </c>
      <c r="R190" s="34" t="str">
        <f t="shared" si="27"/>
        <v/>
      </c>
      <c r="S190" s="34" t="str">
        <f t="shared" si="27"/>
        <v/>
      </c>
      <c r="T190" s="34" t="str">
        <f t="shared" si="27"/>
        <v/>
      </c>
      <c r="U190" s="34" t="str">
        <f t="shared" si="27"/>
        <v/>
      </c>
      <c r="V190" s="34" t="str">
        <f t="shared" si="27"/>
        <v/>
      </c>
      <c r="W190" s="34" t="str">
        <f t="shared" si="27"/>
        <v/>
      </c>
      <c r="X190" s="34" t="str">
        <f t="shared" si="27"/>
        <v/>
      </c>
      <c r="Y190" s="34" t="str">
        <f t="shared" si="27"/>
        <v/>
      </c>
      <c r="Z190" s="34" t="str">
        <f t="shared" si="27"/>
        <v/>
      </c>
      <c r="AA190" s="34" t="str">
        <f t="shared" si="27"/>
        <v/>
      </c>
      <c r="AB190" s="34" t="str">
        <f t="shared" si="27"/>
        <v/>
      </c>
      <c r="AC190" s="34" t="str">
        <f t="shared" si="27"/>
        <v/>
      </c>
      <c r="AD190" s="34" t="str">
        <f t="shared" si="27"/>
        <v/>
      </c>
      <c r="AE190" s="34" t="str">
        <f t="shared" si="27"/>
        <v/>
      </c>
      <c r="AF190" s="34" t="str">
        <f t="shared" si="27"/>
        <v/>
      </c>
    </row>
    <row r="191">
      <c r="A191" s="42" t="str">
        <f>IF($A186="", "", "STATUS")</f>
        <v/>
      </c>
      <c r="B191" s="43" t="str">
        <f>IFERROR(__xludf.DUMMYFUNCTION("IF($A186="""","""",IF(B$5="""","""",LET(logStatus,IFNA(INDEX(DATA_LOG!$E:$E,MATCH(1,(DATA_LOG!$A:$A=$A186)*(TEXT(DATA_LOG!$B:$B,""yyyy-MM-dd"")=TEXT(DATE($P$3,MONTH(1&amp;$N$3),VALUE(LEFT(B$5,2))),""yyyy-MM-dd"")),0)),""""),IF(logStatus&lt;&gt;"""",UPPER(logStatus)"&amp;",IF(B190&lt;&gt;"""",IF(VALUE(B190)&gt;=9/24,""FD"",""HD""),IF(REGEXMATCH(B$5,""SUN""),""WO"",""-""))))))"),"")</f>
        <v/>
      </c>
      <c r="C191" s="43" t="str">
        <f>IFERROR(__xludf.DUMMYFUNCTION("IF($A186="""","""",IF(C$5="""","""",LET(logStatus,IFNA(INDEX(DATA_LOG!$E:$E,MATCH(1,(DATA_LOG!$A:$A=$A186)*(TEXT(DATA_LOG!$B:$B,""yyyy-MM-dd"")=TEXT(DATE($P$3,MONTH(1&amp;$N$3),VALUE(LEFT(C$5,2))),""yyyy-MM-dd"")),0)),""""),IF(logStatus&lt;&gt;"""",UPPER(logStatus)"&amp;",IF(C190&lt;&gt;"""",IF(VALUE(C190)&gt;=9/24,""FD"",""HD""),IF(REGEXMATCH(C$5,""SUN""),""WO"",""-""))))))"),"")</f>
        <v/>
      </c>
      <c r="D191" s="43" t="str">
        <f>IFERROR(__xludf.DUMMYFUNCTION("IF($A186="""","""",IF(D$5="""","""",LET(logStatus,IFNA(INDEX(DATA_LOG!$E:$E,MATCH(1,(DATA_LOG!$A:$A=$A186)*(TEXT(DATA_LOG!$B:$B,""yyyy-MM-dd"")=TEXT(DATE($P$3,MONTH(1&amp;$N$3),VALUE(LEFT(D$5,2))),""yyyy-MM-dd"")),0)),""""),IF(logStatus&lt;&gt;"""",UPPER(logStatus)"&amp;",IF(D190&lt;&gt;"""",IF(VALUE(D190)&gt;=9/24,""FD"",""HD""),IF(REGEXMATCH(D$5,""SUN""),""WO"",""-""))))))"),"")</f>
        <v/>
      </c>
      <c r="E191" s="43" t="str">
        <f>IFERROR(__xludf.DUMMYFUNCTION("IF($A186="""","""",IF(E$5="""","""",LET(logStatus,IFNA(INDEX(DATA_LOG!$E:$E,MATCH(1,(DATA_LOG!$A:$A=$A186)*(TEXT(DATA_LOG!$B:$B,""yyyy-MM-dd"")=TEXT(DATE($P$3,MONTH(1&amp;$N$3),VALUE(LEFT(E$5,2))),""yyyy-MM-dd"")),0)),""""),IF(logStatus&lt;&gt;"""",UPPER(logStatus)"&amp;",IF(E190&lt;&gt;"""",IF(VALUE(E190)&gt;=9/24,""FD"",""HD""),IF(REGEXMATCH(E$5,""SUN""),""WO"",""-""))))))"),"")</f>
        <v/>
      </c>
      <c r="F191" s="43" t="str">
        <f>IFERROR(__xludf.DUMMYFUNCTION("IF($A186="""","""",IF(F$5="""","""",LET(logStatus,IFNA(INDEX(DATA_LOG!$E:$E,MATCH(1,(DATA_LOG!$A:$A=$A186)*(TEXT(DATA_LOG!$B:$B,""yyyy-MM-dd"")=TEXT(DATE($P$3,MONTH(1&amp;$N$3),VALUE(LEFT(F$5,2))),""yyyy-MM-dd"")),0)),""""),IF(logStatus&lt;&gt;"""",UPPER(logStatus)"&amp;",IF(F190&lt;&gt;"""",IF(VALUE(F190)&gt;=9/24,""FD"",""HD""),IF(REGEXMATCH(F$5,""SUN""),""WO"",""-""))))))"),"")</f>
        <v/>
      </c>
      <c r="G191" s="43" t="str">
        <f>IFERROR(__xludf.DUMMYFUNCTION("IF($A186="""","""",IF(G$5="""","""",LET(logStatus,IFNA(INDEX(DATA_LOG!$E:$E,MATCH(1,(DATA_LOG!$A:$A=$A186)*(TEXT(DATA_LOG!$B:$B,""yyyy-MM-dd"")=TEXT(DATE($P$3,MONTH(1&amp;$N$3),VALUE(LEFT(G$5,2))),""yyyy-MM-dd"")),0)),""""),IF(logStatus&lt;&gt;"""",UPPER(logStatus)"&amp;",IF(G190&lt;&gt;"""",IF(VALUE(G190)&gt;=9/24,""FD"",""HD""),IF(REGEXMATCH(G$5,""SUN""),""WO"",""-""))))))"),"")</f>
        <v/>
      </c>
      <c r="H191" s="43" t="str">
        <f>IFERROR(__xludf.DUMMYFUNCTION("IF($A186="""","""",IF(H$5="""","""",LET(logStatus,IFNA(INDEX(DATA_LOG!$E:$E,MATCH(1,(DATA_LOG!$A:$A=$A186)*(TEXT(DATA_LOG!$B:$B,""yyyy-MM-dd"")=TEXT(DATE($P$3,MONTH(1&amp;$N$3),VALUE(LEFT(H$5,2))),""yyyy-MM-dd"")),0)),""""),IF(logStatus&lt;&gt;"""",UPPER(logStatus)"&amp;",IF(H190&lt;&gt;"""",IF(VALUE(H190)&gt;=9/24,""FD"",""HD""),IF(REGEXMATCH(H$5,""SUN""),""WO"",""-""))))))"),"")</f>
        <v/>
      </c>
      <c r="I191" s="43" t="str">
        <f>IFERROR(__xludf.DUMMYFUNCTION("IF($A186="""","""",IF(I$5="""","""",LET(logStatus,IFNA(INDEX(DATA_LOG!$E:$E,MATCH(1,(DATA_LOG!$A:$A=$A186)*(TEXT(DATA_LOG!$B:$B,""yyyy-MM-dd"")=TEXT(DATE($P$3,MONTH(1&amp;$N$3),VALUE(LEFT(I$5,2))),""yyyy-MM-dd"")),0)),""""),IF(logStatus&lt;&gt;"""",UPPER(logStatus)"&amp;",IF(I190&lt;&gt;"""",IF(VALUE(I190)&gt;=9/24,""FD"",""HD""),IF(REGEXMATCH(I$5,""SUN""),""WO"",""-""))))))"),"")</f>
        <v/>
      </c>
      <c r="J191" s="43" t="str">
        <f>IFERROR(__xludf.DUMMYFUNCTION("IF($A186="""","""",IF(J$5="""","""",LET(logStatus,IFNA(INDEX(DATA_LOG!$E:$E,MATCH(1,(DATA_LOG!$A:$A=$A186)*(TEXT(DATA_LOG!$B:$B,""yyyy-MM-dd"")=TEXT(DATE($P$3,MONTH(1&amp;$N$3),VALUE(LEFT(J$5,2))),""yyyy-MM-dd"")),0)),""""),IF(logStatus&lt;&gt;"""",UPPER(logStatus)"&amp;",IF(J190&lt;&gt;"""",IF(VALUE(J190)&gt;=9/24,""FD"",""HD""),IF(REGEXMATCH(J$5,""SUN""),""WO"",""-""))))))"),"")</f>
        <v/>
      </c>
      <c r="K191" s="43" t="str">
        <f>IFERROR(__xludf.DUMMYFUNCTION("IF($A186="""","""",IF(K$5="""","""",LET(logStatus,IFNA(INDEX(DATA_LOG!$E:$E,MATCH(1,(DATA_LOG!$A:$A=$A186)*(TEXT(DATA_LOG!$B:$B,""yyyy-MM-dd"")=TEXT(DATE($P$3,MONTH(1&amp;$N$3),VALUE(LEFT(K$5,2))),""yyyy-MM-dd"")),0)),""""),IF(logStatus&lt;&gt;"""",UPPER(logStatus)"&amp;",IF(K190&lt;&gt;"""",IF(VALUE(K190)&gt;=9/24,""FD"",""HD""),IF(REGEXMATCH(K$5,""SUN""),""WO"",""-""))))))"),"")</f>
        <v/>
      </c>
      <c r="L191" s="43" t="str">
        <f>IFERROR(__xludf.DUMMYFUNCTION("IF($A186="""","""",IF(L$5="""","""",LET(logStatus,IFNA(INDEX(DATA_LOG!$E:$E,MATCH(1,(DATA_LOG!$A:$A=$A186)*(TEXT(DATA_LOG!$B:$B,""yyyy-MM-dd"")=TEXT(DATE($P$3,MONTH(1&amp;$N$3),VALUE(LEFT(L$5,2))),""yyyy-MM-dd"")),0)),""""),IF(logStatus&lt;&gt;"""",UPPER(logStatus)"&amp;",IF(L190&lt;&gt;"""",IF(VALUE(L190)&gt;=9/24,""FD"",""HD""),IF(REGEXMATCH(L$5,""SUN""),""WO"",""-""))))))"),"")</f>
        <v/>
      </c>
      <c r="M191" s="43" t="str">
        <f>IFERROR(__xludf.DUMMYFUNCTION("IF($A186="""","""",IF(M$5="""","""",LET(logStatus,IFNA(INDEX(DATA_LOG!$E:$E,MATCH(1,(DATA_LOG!$A:$A=$A186)*(TEXT(DATA_LOG!$B:$B,""yyyy-MM-dd"")=TEXT(DATE($P$3,MONTH(1&amp;$N$3),VALUE(LEFT(M$5,2))),""yyyy-MM-dd"")),0)),""""),IF(logStatus&lt;&gt;"""",UPPER(logStatus)"&amp;",IF(M190&lt;&gt;"""",IF(VALUE(M190)&gt;=9/24,""FD"",""HD""),IF(REGEXMATCH(M$5,""SUN""),""WO"",""-""))))))"),"")</f>
        <v/>
      </c>
      <c r="N191" s="43" t="str">
        <f>IFERROR(__xludf.DUMMYFUNCTION("IF($A186="""","""",IF(N$5="""","""",LET(logStatus,IFNA(INDEX(DATA_LOG!$E:$E,MATCH(1,(DATA_LOG!$A:$A=$A186)*(TEXT(DATA_LOG!$B:$B,""yyyy-MM-dd"")=TEXT(DATE($P$3,MONTH(1&amp;$N$3),VALUE(LEFT(N$5,2))),""yyyy-MM-dd"")),0)),""""),IF(logStatus&lt;&gt;"""",UPPER(logStatus)"&amp;",IF(N190&lt;&gt;"""",IF(VALUE(N190)&gt;=9/24,""FD"",""HD""),IF(REGEXMATCH(N$5,""SUN""),""WO"",""-""))))))"),"")</f>
        <v/>
      </c>
      <c r="O191" s="43" t="str">
        <f>IFERROR(__xludf.DUMMYFUNCTION("IF($A186="""","""",IF(O$5="""","""",LET(logStatus,IFNA(INDEX(DATA_LOG!$E:$E,MATCH(1,(DATA_LOG!$A:$A=$A186)*(TEXT(DATA_LOG!$B:$B,""yyyy-MM-dd"")=TEXT(DATE($P$3,MONTH(1&amp;$N$3),VALUE(LEFT(O$5,2))),""yyyy-MM-dd"")),0)),""""),IF(logStatus&lt;&gt;"""",UPPER(logStatus)"&amp;",IF(O190&lt;&gt;"""",IF(VALUE(O190)&gt;=9/24,""FD"",""HD""),IF(REGEXMATCH(O$5,""SUN""),""WO"",""-""))))))"),"")</f>
        <v/>
      </c>
      <c r="P191" s="43" t="str">
        <f>IFERROR(__xludf.DUMMYFUNCTION("IF($A186="""","""",IF(P$5="""","""",LET(logStatus,IFNA(INDEX(DATA_LOG!$E:$E,MATCH(1,(DATA_LOG!$A:$A=$A186)*(TEXT(DATA_LOG!$B:$B,""yyyy-MM-dd"")=TEXT(DATE($P$3,MONTH(1&amp;$N$3),VALUE(LEFT(P$5,2))),""yyyy-MM-dd"")),0)),""""),IF(logStatus&lt;&gt;"""",UPPER(logStatus)"&amp;",IF(P190&lt;&gt;"""",IF(VALUE(P190)&gt;=9/24,""FD"",""HD""),IF(REGEXMATCH(P$5,""SUN""),""WO"",""-""))))))"),"")</f>
        <v/>
      </c>
      <c r="Q191" s="43" t="str">
        <f>IFERROR(__xludf.DUMMYFUNCTION("IF($A186="""","""",IF(Q$5="""","""",LET(logStatus,IFNA(INDEX(DATA_LOG!$E:$E,MATCH(1,(DATA_LOG!$A:$A=$A186)*(TEXT(DATA_LOG!$B:$B,""yyyy-MM-dd"")=TEXT(DATE($P$3,MONTH(1&amp;$N$3),VALUE(LEFT(Q$5,2))),""yyyy-MM-dd"")),0)),""""),IF(logStatus&lt;&gt;"""",UPPER(logStatus)"&amp;",IF(Q190&lt;&gt;"""",IF(VALUE(Q190)&gt;=9/24,""FD"",""HD""),IF(REGEXMATCH(Q$5,""SUN""),""WO"",""-""))))))"),"")</f>
        <v/>
      </c>
      <c r="R191" s="43" t="str">
        <f>IFERROR(__xludf.DUMMYFUNCTION("IF($A186="""","""",IF(R$5="""","""",LET(logStatus,IFNA(INDEX(DATA_LOG!$E:$E,MATCH(1,(DATA_LOG!$A:$A=$A186)*(TEXT(DATA_LOG!$B:$B,""yyyy-MM-dd"")=TEXT(DATE($P$3,MONTH(1&amp;$N$3),VALUE(LEFT(R$5,2))),""yyyy-MM-dd"")),0)),""""),IF(logStatus&lt;&gt;"""",UPPER(logStatus)"&amp;",IF(R190&lt;&gt;"""",IF(VALUE(R190)&gt;=9/24,""FD"",""HD""),IF(REGEXMATCH(R$5,""SUN""),""WO"",""-""))))))"),"")</f>
        <v/>
      </c>
      <c r="S191" s="43" t="str">
        <f>IFERROR(__xludf.DUMMYFUNCTION("IF($A186="""","""",IF(S$5="""","""",LET(logStatus,IFNA(INDEX(DATA_LOG!$E:$E,MATCH(1,(DATA_LOG!$A:$A=$A186)*(TEXT(DATA_LOG!$B:$B,""yyyy-MM-dd"")=TEXT(DATE($P$3,MONTH(1&amp;$N$3),VALUE(LEFT(S$5,2))),""yyyy-MM-dd"")),0)),""""),IF(logStatus&lt;&gt;"""",UPPER(logStatus)"&amp;",IF(S190&lt;&gt;"""",IF(VALUE(S190)&gt;=9/24,""FD"",""HD""),IF(REGEXMATCH(S$5,""SUN""),""WO"",""-""))))))"),"")</f>
        <v/>
      </c>
      <c r="T191" s="43" t="str">
        <f>IFERROR(__xludf.DUMMYFUNCTION("IF($A186="""","""",IF(T$5="""","""",LET(logStatus,IFNA(INDEX(DATA_LOG!$E:$E,MATCH(1,(DATA_LOG!$A:$A=$A186)*(TEXT(DATA_LOG!$B:$B,""yyyy-MM-dd"")=TEXT(DATE($P$3,MONTH(1&amp;$N$3),VALUE(LEFT(T$5,2))),""yyyy-MM-dd"")),0)),""""),IF(logStatus&lt;&gt;"""",UPPER(logStatus)"&amp;",IF(T190&lt;&gt;"""",IF(VALUE(T190)&gt;=9/24,""FD"",""HD""),IF(REGEXMATCH(T$5,""SUN""),""WO"",""-""))))))"),"")</f>
        <v/>
      </c>
      <c r="U191" s="43" t="str">
        <f>IFERROR(__xludf.DUMMYFUNCTION("IF($A186="""","""",IF(U$5="""","""",LET(logStatus,IFNA(INDEX(DATA_LOG!$E:$E,MATCH(1,(DATA_LOG!$A:$A=$A186)*(TEXT(DATA_LOG!$B:$B,""yyyy-MM-dd"")=TEXT(DATE($P$3,MONTH(1&amp;$N$3),VALUE(LEFT(U$5,2))),""yyyy-MM-dd"")),0)),""""),IF(logStatus&lt;&gt;"""",UPPER(logStatus)"&amp;",IF(U190&lt;&gt;"""",IF(VALUE(U190)&gt;=9/24,""FD"",""HD""),IF(REGEXMATCH(U$5,""SUN""),""WO"",""-""))))))"),"")</f>
        <v/>
      </c>
      <c r="V191" s="43" t="str">
        <f>IFERROR(__xludf.DUMMYFUNCTION("IF($A186="""","""",IF(V$5="""","""",LET(logStatus,IFNA(INDEX(DATA_LOG!$E:$E,MATCH(1,(DATA_LOG!$A:$A=$A186)*(TEXT(DATA_LOG!$B:$B,""yyyy-MM-dd"")=TEXT(DATE($P$3,MONTH(1&amp;$N$3),VALUE(LEFT(V$5,2))),""yyyy-MM-dd"")),0)),""""),IF(logStatus&lt;&gt;"""",UPPER(logStatus)"&amp;",IF(V190&lt;&gt;"""",IF(VALUE(V190)&gt;=9/24,""FD"",""HD""),IF(REGEXMATCH(V$5,""SUN""),""WO"",""-""))))))"),"")</f>
        <v/>
      </c>
      <c r="W191" s="43" t="str">
        <f>IFERROR(__xludf.DUMMYFUNCTION("IF($A186="""","""",IF(W$5="""","""",LET(logStatus,IFNA(INDEX(DATA_LOG!$E:$E,MATCH(1,(DATA_LOG!$A:$A=$A186)*(TEXT(DATA_LOG!$B:$B,""yyyy-MM-dd"")=TEXT(DATE($P$3,MONTH(1&amp;$N$3),VALUE(LEFT(W$5,2))),""yyyy-MM-dd"")),0)),""""),IF(logStatus&lt;&gt;"""",UPPER(logStatus)"&amp;",IF(W190&lt;&gt;"""",IF(VALUE(W190)&gt;=9/24,""FD"",""HD""),IF(REGEXMATCH(W$5,""SUN""),""WO"",""-""))))))"),"")</f>
        <v/>
      </c>
      <c r="X191" s="43" t="str">
        <f>IFERROR(__xludf.DUMMYFUNCTION("IF($A186="""","""",IF(X$5="""","""",LET(logStatus,IFNA(INDEX(DATA_LOG!$E:$E,MATCH(1,(DATA_LOG!$A:$A=$A186)*(TEXT(DATA_LOG!$B:$B,""yyyy-MM-dd"")=TEXT(DATE($P$3,MONTH(1&amp;$N$3),VALUE(LEFT(X$5,2))),""yyyy-MM-dd"")),0)),""""),IF(logStatus&lt;&gt;"""",UPPER(logStatus)"&amp;",IF(X190&lt;&gt;"""",IF(VALUE(X190)&gt;=9/24,""FD"",""HD""),IF(REGEXMATCH(X$5,""SUN""),""WO"",""-""))))))"),"")</f>
        <v/>
      </c>
      <c r="Y191" s="43" t="str">
        <f>IFERROR(__xludf.DUMMYFUNCTION("IF($A186="""","""",IF(Y$5="""","""",LET(logStatus,IFNA(INDEX(DATA_LOG!$E:$E,MATCH(1,(DATA_LOG!$A:$A=$A186)*(TEXT(DATA_LOG!$B:$B,""yyyy-MM-dd"")=TEXT(DATE($P$3,MONTH(1&amp;$N$3),VALUE(LEFT(Y$5,2))),""yyyy-MM-dd"")),0)),""""),IF(logStatus&lt;&gt;"""",UPPER(logStatus)"&amp;",IF(Y190&lt;&gt;"""",IF(VALUE(Y190)&gt;=9/24,""FD"",""HD""),IF(REGEXMATCH(Y$5,""SUN""),""WO"",""-""))))))"),"")</f>
        <v/>
      </c>
      <c r="Z191" s="43" t="str">
        <f>IFERROR(__xludf.DUMMYFUNCTION("IF($A186="""","""",IF(Z$5="""","""",LET(logStatus,IFNA(INDEX(DATA_LOG!$E:$E,MATCH(1,(DATA_LOG!$A:$A=$A186)*(TEXT(DATA_LOG!$B:$B,""yyyy-MM-dd"")=TEXT(DATE($P$3,MONTH(1&amp;$N$3),VALUE(LEFT(Z$5,2))),""yyyy-MM-dd"")),0)),""""),IF(logStatus&lt;&gt;"""",UPPER(logStatus)"&amp;",IF(Z190&lt;&gt;"""",IF(VALUE(Z190)&gt;=9/24,""FD"",""HD""),IF(REGEXMATCH(Z$5,""SUN""),""WO"",""-""))))))"),"")</f>
        <v/>
      </c>
      <c r="AA191" s="43" t="str">
        <f>IFERROR(__xludf.DUMMYFUNCTION("IF($A186="""","""",IF(AA$5="""","""",LET(logStatus,IFNA(INDEX(DATA_LOG!$E:$E,MATCH(1,(DATA_LOG!$A:$A=$A186)*(TEXT(DATA_LOG!$B:$B,""yyyy-MM-dd"")=TEXT(DATE($P$3,MONTH(1&amp;$N$3),VALUE(LEFT(AA$5,2))),""yyyy-MM-dd"")),0)),""""),IF(logStatus&lt;&gt;"""",UPPER(logStatu"&amp;"s),IF(AA190&lt;&gt;"""",IF(VALUE(AA190)&gt;=9/24,""FD"",""HD""),IF(REGEXMATCH(AA$5,""SUN""),""WO"",""-""))))))"),"")</f>
        <v/>
      </c>
      <c r="AB191" s="43" t="str">
        <f>IFERROR(__xludf.DUMMYFUNCTION("IF($A186="""","""",IF(AB$5="""","""",LET(logStatus,IFNA(INDEX(DATA_LOG!$E:$E,MATCH(1,(DATA_LOG!$A:$A=$A186)*(TEXT(DATA_LOG!$B:$B,""yyyy-MM-dd"")=TEXT(DATE($P$3,MONTH(1&amp;$N$3),VALUE(LEFT(AB$5,2))),""yyyy-MM-dd"")),0)),""""),IF(logStatus&lt;&gt;"""",UPPER(logStatu"&amp;"s),IF(AB190&lt;&gt;"""",IF(VALUE(AB190)&gt;=9/24,""FD"",""HD""),IF(REGEXMATCH(AB$5,""SUN""),""WO"",""-""))))))"),"")</f>
        <v/>
      </c>
      <c r="AC191" s="43" t="str">
        <f>IFERROR(__xludf.DUMMYFUNCTION("IF($A186="""","""",IF(AC$5="""","""",LET(logStatus,IFNA(INDEX(DATA_LOG!$E:$E,MATCH(1,(DATA_LOG!$A:$A=$A186)*(TEXT(DATA_LOG!$B:$B,""yyyy-MM-dd"")=TEXT(DATE($P$3,MONTH(1&amp;$N$3),VALUE(LEFT(AC$5,2))),""yyyy-MM-dd"")),0)),""""),IF(logStatus&lt;&gt;"""",UPPER(logStatu"&amp;"s),IF(AC190&lt;&gt;"""",IF(VALUE(AC190)&gt;=9/24,""FD"",""HD""),IF(REGEXMATCH(AC$5,""SUN""),""WO"",""-""))))))"),"")</f>
        <v/>
      </c>
      <c r="AD191" s="43" t="str">
        <f>IFERROR(__xludf.DUMMYFUNCTION("IF($A186="""","""",IF(AD$5="""","""",LET(logStatus,IFNA(INDEX(DATA_LOG!$E:$E,MATCH(1,(DATA_LOG!$A:$A=$A186)*(TEXT(DATA_LOG!$B:$B,""yyyy-MM-dd"")=TEXT(DATE($P$3,MONTH(1&amp;$N$3),VALUE(LEFT(AD$5,2))),""yyyy-MM-dd"")),0)),""""),IF(logStatus&lt;&gt;"""",UPPER(logStatu"&amp;"s),IF(AD190&lt;&gt;"""",IF(VALUE(AD190)&gt;=9/24,""FD"",""HD""),IF(REGEXMATCH(AD$5,""SUN""),""WO"",""-""))))))"),"")</f>
        <v/>
      </c>
      <c r="AE191" s="43" t="str">
        <f>IFERROR(__xludf.DUMMYFUNCTION("IF($A186="""","""",IF(AE$5="""","""",LET(logStatus,IFNA(INDEX(DATA_LOG!$E:$E,MATCH(1,(DATA_LOG!$A:$A=$A186)*(TEXT(DATA_LOG!$B:$B,""yyyy-MM-dd"")=TEXT(DATE($P$3,MONTH(1&amp;$N$3),VALUE(LEFT(AE$5,2))),""yyyy-MM-dd"")),0)),""""),IF(logStatus&lt;&gt;"""",UPPER(logStatu"&amp;"s),IF(AE190&lt;&gt;"""",IF(VALUE(AE190)&gt;=9/24,""FD"",""HD""),IF(REGEXMATCH(AE$5,""SUN""),""WO"",""-""))))))"),"")</f>
        <v/>
      </c>
      <c r="AF191" s="43" t="str">
        <f>IFERROR(__xludf.DUMMYFUNCTION("IF($A186="""","""",IF(AF$5="""","""",LET(logStatus,IFNA(INDEX(DATA_LOG!$E:$E,MATCH(1,(DATA_LOG!$A:$A=$A186)*(TEXT(DATA_LOG!$B:$B,""yyyy-MM-dd"")=TEXT(DATE($P$3,MONTH(1&amp;$N$3),VALUE(LEFT(AF$5,2))),""yyyy-MM-dd"")),0)),""""),IF(logStatus&lt;&gt;"""",UPPER(logStatu"&amp;"s),IF(AF190&lt;&gt;"""",IF(VALUE(AF190)&gt;=9/24,""FD"",""HD""),IF(REGEXMATCH(AF$5,""SUN""),""WO"",""-""))))))"),"")</f>
        <v/>
      </c>
    </row>
    <row r="192">
      <c r="A192" s="44"/>
    </row>
    <row r="193">
      <c r="A193" s="25" t="str">
        <f t="array" ref="A193">INDEX(EMPLOYEE_LIST!$A:$A,INT((ROW()-4)/7)+2)</f>
        <v/>
      </c>
      <c r="B193" s="26"/>
      <c r="C193" s="27"/>
      <c r="D193" s="28" t="str">
        <f>IF(A193="", "", IFERROR(VLOOKUP(A193, EMPLOYEE_LIST!$A:$H, 2, FALSE), ""))</f>
        <v/>
      </c>
      <c r="E193" s="26"/>
      <c r="F193" s="26"/>
      <c r="G193" s="27"/>
      <c r="H193" s="29" t="str">
        <f>IF(A193="", "", IFERROR(VLOOKUP(A193, EMPLOYEE_LIST!$A:$H, 3, FALSE), ""))</f>
        <v/>
      </c>
      <c r="I193" s="26"/>
      <c r="J193" s="26"/>
      <c r="K193" s="27"/>
      <c r="L193" s="29" t="str">
        <f>IF(A193="", "", IFERROR(VLOOKUP(A193, EMPLOYEE_LIST!$A:$H, 4, FALSE), ""))</f>
        <v/>
      </c>
      <c r="M193" s="26"/>
      <c r="N193" s="26"/>
      <c r="O193" s="27"/>
      <c r="P193" s="30" t="str">
        <f>IF($A193="", "", "Full Day: " &amp; COUNTIF(B198:AF198, "FD"))</f>
        <v/>
      </c>
      <c r="Q193" s="26"/>
      <c r="R193" s="27"/>
      <c r="S193" s="31" t="str">
        <f>IF($A193="", "", "HALF Day: " &amp; COUNTIF(B198:AF198, "HD"))</f>
        <v/>
      </c>
      <c r="T193" s="26"/>
      <c r="U193" s="27"/>
      <c r="V193" s="31" t="str">
        <f>IF($A193="", "", "ABSENT: " &amp; COUNTIF(B198:AF198, "A"))</f>
        <v/>
      </c>
      <c r="W193" s="26"/>
      <c r="X193" s="27"/>
      <c r="Y193" s="31" t="str">
        <f>IF($A193="", "", "WEEK OFF: " &amp; COUNTIF(B198:AF198, "WO"))</f>
        <v/>
      </c>
      <c r="Z193" s="26"/>
      <c r="AA193" s="27"/>
      <c r="AB193" s="31" t="str">
        <f>IF($A193="", "", "LEAVE: " &amp; COUNTIF(B198:AF198, "L"))</f>
        <v/>
      </c>
      <c r="AC193" s="27"/>
      <c r="AD193" s="31" t="str">
        <f>IF($A193="", "", "HOLIDAY: " &amp; COUNTIF(B198:AF198, "HL"))</f>
        <v/>
      </c>
      <c r="AE193" s="26"/>
      <c r="AF193" s="27"/>
    </row>
    <row r="194">
      <c r="A194" s="32" t="str">
        <f>IF($A193="", "", "DATE")</f>
        <v/>
      </c>
      <c r="B194" s="33" t="str">
        <f t="array" ref="B194">IF($A193="","",LET(mNum,MONTH(1&amp;$N$3),start,DATE($P$3,mNum,1),days,DAY(EOMONTH(start,0)),MAP(SEQUENCE(1,days,0),LAMBDA(n,UPPER(TEXT(start+n,"dd (ddd)"))))))</f>
        <v/>
      </c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>
      <c r="A195" s="37" t="str">
        <f>IF($A193="", "", "IN")</f>
        <v/>
      </c>
      <c r="B195" s="39" t="str">
        <f t="array" ref="B195">IF(OR($A193="",B$5=""),"",IFNA(INDEX(DATA_LOG!$C:$C,MATCH(1,(DATA_LOG!$A:$A=$A193)*(TEXT(DATA_LOG!$B:$B,"yyyy-MM-dd")=TEXT(DATE($P$3,MONTH(1&amp;$N$3),VALUE(LEFT(B$5,2))),"yyyy-MM-dd")),0)),""))</f>
        <v/>
      </c>
      <c r="C195" s="39" t="str">
        <f t="array" ref="C195">IF(OR($A193="",C$5=""),"",IFNA(INDEX(DATA_LOG!$C:$C,MATCH(1,(DATA_LOG!$A:$A=$A193)*(TEXT(DATA_LOG!$B:$B,"yyyy-MM-dd")=TEXT(DATE($P$3,MONTH(1&amp;$N$3),VALUE(LEFT(C$5,2))),"yyyy-MM-dd")),0)),""))</f>
        <v/>
      </c>
      <c r="D195" s="39" t="str">
        <f t="array" ref="D195">IF(OR($A193="",D$5=""),"",IFNA(INDEX(DATA_LOG!$C:$C,MATCH(1,(DATA_LOG!$A:$A=$A193)*(TEXT(DATA_LOG!$B:$B,"yyyy-MM-dd")=TEXT(DATE($P$3,MONTH(1&amp;$N$3),VALUE(LEFT(D$5,2))),"yyyy-MM-dd")),0)),""))</f>
        <v/>
      </c>
      <c r="E195" s="39" t="str">
        <f t="array" ref="E195">IF(OR($A193="",E$5=""),"",IFNA(INDEX(DATA_LOG!$C:$C,MATCH(1,(DATA_LOG!$A:$A=$A193)*(TEXT(DATA_LOG!$B:$B,"yyyy-MM-dd")=TEXT(DATE($P$3,MONTH(1&amp;$N$3),VALUE(LEFT(E$5,2))),"yyyy-MM-dd")),0)),""))</f>
        <v/>
      </c>
      <c r="F195" s="39" t="str">
        <f t="array" ref="F195">IF(OR($A193="",F$5=""),"",IFNA(INDEX(DATA_LOG!$C:$C,MATCH(1,(DATA_LOG!$A:$A=$A193)*(TEXT(DATA_LOG!$B:$B,"yyyy-MM-dd")=TEXT(DATE($P$3,MONTH(1&amp;$N$3),VALUE(LEFT(F$5,2))),"yyyy-MM-dd")),0)),""))</f>
        <v/>
      </c>
      <c r="G195" s="39" t="str">
        <f t="array" ref="G195">IF(OR($A193="",G$5=""),"",IFNA(INDEX(DATA_LOG!$C:$C,MATCH(1,(DATA_LOG!$A:$A=$A193)*(TEXT(DATA_LOG!$B:$B,"yyyy-MM-dd")=TEXT(DATE($P$3,MONTH(1&amp;$N$3),VALUE(LEFT(G$5,2))),"yyyy-MM-dd")),0)),""))</f>
        <v/>
      </c>
      <c r="H195" s="39" t="str">
        <f t="array" ref="H195">IF(OR($A193="",H$5=""),"",IFNA(INDEX(DATA_LOG!$C:$C,MATCH(1,(DATA_LOG!$A:$A=$A193)*(TEXT(DATA_LOG!$B:$B,"yyyy-MM-dd")=TEXT(DATE($P$3,MONTH(1&amp;$N$3),VALUE(LEFT(H$5,2))),"yyyy-MM-dd")),0)),""))</f>
        <v/>
      </c>
      <c r="I195" s="39" t="str">
        <f t="array" ref="I195">IF(OR($A193="",I$5=""),"",IFNA(INDEX(DATA_LOG!$C:$C,MATCH(1,(DATA_LOG!$A:$A=$A193)*(TEXT(DATA_LOG!$B:$B,"yyyy-MM-dd")=TEXT(DATE($P$3,MONTH(1&amp;$N$3),VALUE(LEFT(I$5,2))),"yyyy-MM-dd")),0)),""))</f>
        <v/>
      </c>
      <c r="J195" s="39" t="str">
        <f t="array" ref="J195">IF(OR($A193="",J$5=""),"",IFNA(INDEX(DATA_LOG!$C:$C,MATCH(1,(DATA_LOG!$A:$A=$A193)*(TEXT(DATA_LOG!$B:$B,"yyyy-MM-dd")=TEXT(DATE($P$3,MONTH(1&amp;$N$3),VALUE(LEFT(J$5,2))),"yyyy-MM-dd")),0)),""))</f>
        <v/>
      </c>
      <c r="K195" s="39" t="str">
        <f t="array" ref="K195">IF(OR($A193="",K$5=""),"",IFNA(INDEX(DATA_LOG!$C:$C,MATCH(1,(DATA_LOG!$A:$A=$A193)*(TEXT(DATA_LOG!$B:$B,"yyyy-MM-dd")=TEXT(DATE($P$3,MONTH(1&amp;$N$3),VALUE(LEFT(K$5,2))),"yyyy-MM-dd")),0)),""))</f>
        <v/>
      </c>
      <c r="L195" s="39" t="str">
        <f t="array" ref="L195">IF(OR($A193="",L$5=""),"",IFNA(INDEX(DATA_LOG!$C:$C,MATCH(1,(DATA_LOG!$A:$A=$A193)*(TEXT(DATA_LOG!$B:$B,"yyyy-MM-dd")=TEXT(DATE($P$3,MONTH(1&amp;$N$3),VALUE(LEFT(L$5,2))),"yyyy-MM-dd")),0)),""))</f>
        <v/>
      </c>
      <c r="M195" s="39" t="str">
        <f t="array" ref="M195">IF(OR($A193="",M$5=""),"",IFNA(INDEX(DATA_LOG!$C:$C,MATCH(1,(DATA_LOG!$A:$A=$A193)*(TEXT(DATA_LOG!$B:$B,"yyyy-MM-dd")=TEXT(DATE($P$3,MONTH(1&amp;$N$3),VALUE(LEFT(M$5,2))),"yyyy-MM-dd")),0)),""))</f>
        <v/>
      </c>
      <c r="N195" s="39" t="str">
        <f t="array" ref="N195">IF(OR($A193="",N$5=""),"",IFNA(INDEX(DATA_LOG!$C:$C,MATCH(1,(DATA_LOG!$A:$A=$A193)*(TEXT(DATA_LOG!$B:$B,"yyyy-MM-dd")=TEXT(DATE($P$3,MONTH(1&amp;$N$3),VALUE(LEFT(N$5,2))),"yyyy-MM-dd")),0)),""))</f>
        <v/>
      </c>
      <c r="O195" s="39" t="str">
        <f t="array" ref="O195">IF(OR($A193="",O$5=""),"",IFNA(INDEX(DATA_LOG!$C:$C,MATCH(1,(DATA_LOG!$A:$A=$A193)*(TEXT(DATA_LOG!$B:$B,"yyyy-MM-dd")=TEXT(DATE($P$3,MONTH(1&amp;$N$3),VALUE(LEFT(O$5,2))),"yyyy-MM-dd")),0)),""))</f>
        <v/>
      </c>
      <c r="P195" s="39" t="str">
        <f t="array" ref="P195">IF(OR($A193="",P$5=""),"",IFNA(INDEX(DATA_LOG!$C:$C,MATCH(1,(DATA_LOG!$A:$A=$A193)*(TEXT(DATA_LOG!$B:$B,"yyyy-MM-dd")=TEXT(DATE($P$3,MONTH(1&amp;$N$3),VALUE(LEFT(P$5,2))),"yyyy-MM-dd")),0)),""))</f>
        <v/>
      </c>
      <c r="Q195" s="39" t="str">
        <f t="array" ref="Q195">IF(OR($A193="",Q$5=""),"",IFNA(INDEX(DATA_LOG!$C:$C,MATCH(1,(DATA_LOG!$A:$A=$A193)*(TEXT(DATA_LOG!$B:$B,"yyyy-MM-dd")=TEXT(DATE($P$3,MONTH(1&amp;$N$3),VALUE(LEFT(Q$5,2))),"yyyy-MM-dd")),0)),""))</f>
        <v/>
      </c>
      <c r="R195" s="39" t="str">
        <f t="array" ref="R195">IF(OR($A193="",R$5=""),"",IFNA(INDEX(DATA_LOG!$C:$C,MATCH(1,(DATA_LOG!$A:$A=$A193)*(TEXT(DATA_LOG!$B:$B,"yyyy-MM-dd")=TEXT(DATE($P$3,MONTH(1&amp;$N$3),VALUE(LEFT(R$5,2))),"yyyy-MM-dd")),0)),""))</f>
        <v/>
      </c>
      <c r="S195" s="39" t="str">
        <f t="array" ref="S195">IF(OR($A193="",S$5=""),"",IFNA(INDEX(DATA_LOG!$C:$C,MATCH(1,(DATA_LOG!$A:$A=$A193)*(TEXT(DATA_LOG!$B:$B,"yyyy-MM-dd")=TEXT(DATE($P$3,MONTH(1&amp;$N$3),VALUE(LEFT(S$5,2))),"yyyy-MM-dd")),0)),""))</f>
        <v/>
      </c>
      <c r="T195" s="39" t="str">
        <f t="array" ref="T195">IF(OR($A193="",T$5=""),"",IFNA(INDEX(DATA_LOG!$C:$C,MATCH(1,(DATA_LOG!$A:$A=$A193)*(TEXT(DATA_LOG!$B:$B,"yyyy-MM-dd")=TEXT(DATE($P$3,MONTH(1&amp;$N$3),VALUE(LEFT(T$5,2))),"yyyy-MM-dd")),0)),""))</f>
        <v/>
      </c>
      <c r="U195" s="39" t="str">
        <f t="array" ref="U195">IF(OR($A193="",U$5=""),"",IFNA(INDEX(DATA_LOG!$C:$C,MATCH(1,(DATA_LOG!$A:$A=$A193)*(TEXT(DATA_LOG!$B:$B,"yyyy-MM-dd")=TEXT(DATE($P$3,MONTH(1&amp;$N$3),VALUE(LEFT(U$5,2))),"yyyy-MM-dd")),0)),""))</f>
        <v/>
      </c>
      <c r="V195" s="39" t="str">
        <f t="array" ref="V195">IF(OR($A193="",V$5=""),"",IFNA(INDEX(DATA_LOG!$C:$C,MATCH(1,(DATA_LOG!$A:$A=$A193)*(TEXT(DATA_LOG!$B:$B,"yyyy-MM-dd")=TEXT(DATE($P$3,MONTH(1&amp;$N$3),VALUE(LEFT(V$5,2))),"yyyy-MM-dd")),0)),""))</f>
        <v/>
      </c>
      <c r="W195" s="39" t="str">
        <f t="array" ref="W195">IF(OR($A193="",W$5=""),"",IFNA(INDEX(DATA_LOG!$C:$C,MATCH(1,(DATA_LOG!$A:$A=$A193)*(TEXT(DATA_LOG!$B:$B,"yyyy-MM-dd")=TEXT(DATE($P$3,MONTH(1&amp;$N$3),VALUE(LEFT(W$5,2))),"yyyy-MM-dd")),0)),""))</f>
        <v/>
      </c>
      <c r="X195" s="39" t="str">
        <f t="array" ref="X195">IF(OR($A193="",X$5=""),"",IFNA(INDEX(DATA_LOG!$C:$C,MATCH(1,(DATA_LOG!$A:$A=$A193)*(TEXT(DATA_LOG!$B:$B,"yyyy-MM-dd")=TEXT(DATE($P$3,MONTH(1&amp;$N$3),VALUE(LEFT(X$5,2))),"yyyy-MM-dd")),0)),""))</f>
        <v/>
      </c>
      <c r="Y195" s="39" t="str">
        <f t="array" ref="Y195">IF(OR($A193="",Y$5=""),"",IFNA(INDEX(DATA_LOG!$C:$C,MATCH(1,(DATA_LOG!$A:$A=$A193)*(TEXT(DATA_LOG!$B:$B,"yyyy-MM-dd")=TEXT(DATE($P$3,MONTH(1&amp;$N$3),VALUE(LEFT(Y$5,2))),"yyyy-MM-dd")),0)),""))</f>
        <v/>
      </c>
      <c r="Z195" s="39" t="str">
        <f t="array" ref="Z195">IF(OR($A193="",Z$5=""),"",IFNA(INDEX(DATA_LOG!$C:$C,MATCH(1,(DATA_LOG!$A:$A=$A193)*(TEXT(DATA_LOG!$B:$B,"yyyy-MM-dd")=TEXT(DATE($P$3,MONTH(1&amp;$N$3),VALUE(LEFT(Z$5,2))),"yyyy-MM-dd")),0)),""))</f>
        <v/>
      </c>
      <c r="AA195" s="39" t="str">
        <f t="array" ref="AA195">IF(OR($A193="",AA$5=""),"",IFNA(INDEX(DATA_LOG!$C:$C,MATCH(1,(DATA_LOG!$A:$A=$A193)*(TEXT(DATA_LOG!$B:$B,"yyyy-MM-dd")=TEXT(DATE($P$3,MONTH(1&amp;$N$3),VALUE(LEFT(AA$5,2))),"yyyy-MM-dd")),0)),""))</f>
        <v/>
      </c>
      <c r="AB195" s="39" t="str">
        <f t="array" ref="AB195">IF(OR($A193="",AB$5=""),"",IFNA(INDEX(DATA_LOG!$C:$C,MATCH(1,(DATA_LOG!$A:$A=$A193)*(TEXT(DATA_LOG!$B:$B,"yyyy-MM-dd")=TEXT(DATE($P$3,MONTH(1&amp;$N$3),VALUE(LEFT(AB$5,2))),"yyyy-MM-dd")),0)),""))</f>
        <v/>
      </c>
      <c r="AC195" s="39" t="str">
        <f t="array" ref="AC195">IF(OR($A193="",AC$5=""),"",IFNA(INDEX(DATA_LOG!$C:$C,MATCH(1,(DATA_LOG!$A:$A=$A193)*(TEXT(DATA_LOG!$B:$B,"yyyy-MM-dd")=TEXT(DATE($P$3,MONTH(1&amp;$N$3),VALUE(LEFT(AC$5,2))),"yyyy-MM-dd")),0)),""))</f>
        <v/>
      </c>
      <c r="AD195" s="39" t="str">
        <f t="array" ref="AD195">IF(OR($A193="",AD$5=""),"",IFNA(INDEX(DATA_LOG!$C:$C,MATCH(1,(DATA_LOG!$A:$A=$A193)*(TEXT(DATA_LOG!$B:$B,"yyyy-MM-dd")=TEXT(DATE($P$3,MONTH(1&amp;$N$3),VALUE(LEFT(AD$5,2))),"yyyy-MM-dd")),0)),""))</f>
        <v/>
      </c>
      <c r="AE195" s="39" t="str">
        <f t="array" ref="AE195">IF(OR($A193="",AE$5=""),"",IFNA(INDEX(DATA_LOG!$C:$C,MATCH(1,(DATA_LOG!$A:$A=$A193)*(TEXT(DATA_LOG!$B:$B,"yyyy-MM-dd")=TEXT(DATE($P$3,MONTH(1&amp;$N$3),VALUE(LEFT(AE$5,2))),"yyyy-MM-dd")),0)),""))</f>
        <v/>
      </c>
      <c r="AF195" s="39" t="str">
        <f t="array" ref="AF195">IF(OR($A193="",AF$5=""),"",IFNA(INDEX(DATA_LOG!$C:$C,MATCH(1,(DATA_LOG!$A:$A=$A193)*(TEXT(DATA_LOG!$B:$B,"yyyy-MM-dd")=TEXT(DATE($P$3,MONTH(1&amp;$N$3),VALUE(LEFT(AF$5,2))),"yyyy-MM-dd")),0)),""))</f>
        <v/>
      </c>
    </row>
    <row r="196">
      <c r="A196" s="37" t="str">
        <f>IF($A193="", "", "OUT")</f>
        <v/>
      </c>
      <c r="B196" s="39" t="str">
        <f t="array" ref="B196">IF(OR($A193="",B$5=""),"",IFNA(INDEX(DATA_LOG!$D:$D,MATCH(1,(DATA_LOG!$A:$A=$A193)*(TEXT(DATA_LOG!$B:$B,"yyyy-MM-dd")=TEXT(DATE($P$3,MONTH(1&amp;$N$3),VALUE(LEFT(B$5,2))),"yyyy-MM-dd")),0)),""))</f>
        <v/>
      </c>
      <c r="C196" s="39" t="str">
        <f t="array" ref="C196">IF(OR($A193="",C$5=""),"",IFNA(INDEX(DATA_LOG!$D:$D,MATCH(1,(DATA_LOG!$A:$A=$A193)*(TEXT(DATA_LOG!$B:$B,"yyyy-MM-dd")=TEXT(DATE($P$3,MONTH(1&amp;$N$3),VALUE(LEFT(C$5,2))),"yyyy-MM-dd")),0)),""))</f>
        <v/>
      </c>
      <c r="D196" s="39" t="str">
        <f t="array" ref="D196">IF(OR($A193="",D$5=""),"",IFNA(INDEX(DATA_LOG!$D:$D,MATCH(1,(DATA_LOG!$A:$A=$A193)*(TEXT(DATA_LOG!$B:$B,"yyyy-MM-dd")=TEXT(DATE($P$3,MONTH(1&amp;$N$3),VALUE(LEFT(D$5,2))),"yyyy-MM-dd")),0)),""))</f>
        <v/>
      </c>
      <c r="E196" s="39" t="str">
        <f t="array" ref="E196">IF(OR($A193="",E$5=""),"",IFNA(INDEX(DATA_LOG!$D:$D,MATCH(1,(DATA_LOG!$A:$A=$A193)*(TEXT(DATA_LOG!$B:$B,"yyyy-MM-dd")=TEXT(DATE($P$3,MONTH(1&amp;$N$3),VALUE(LEFT(E$5,2))),"yyyy-MM-dd")),0)),""))</f>
        <v/>
      </c>
      <c r="F196" s="39" t="str">
        <f t="array" ref="F196">IF(OR($A193="",F$5=""),"",IFNA(INDEX(DATA_LOG!$D:$D,MATCH(1,(DATA_LOG!$A:$A=$A193)*(TEXT(DATA_LOG!$B:$B,"yyyy-MM-dd")=TEXT(DATE($P$3,MONTH(1&amp;$N$3),VALUE(LEFT(F$5,2))),"yyyy-MM-dd")),0)),""))</f>
        <v/>
      </c>
      <c r="G196" s="39" t="str">
        <f t="array" ref="G196">IF(OR($A193="",G$5=""),"",IFNA(INDEX(DATA_LOG!$D:$D,MATCH(1,(DATA_LOG!$A:$A=$A193)*(TEXT(DATA_LOG!$B:$B,"yyyy-MM-dd")=TEXT(DATE($P$3,MONTH(1&amp;$N$3),VALUE(LEFT(G$5,2))),"yyyy-MM-dd")),0)),""))</f>
        <v/>
      </c>
      <c r="H196" s="39" t="str">
        <f t="array" ref="H196">IF(OR($A193="",H$5=""),"",IFNA(INDEX(DATA_LOG!$D:$D,MATCH(1,(DATA_LOG!$A:$A=$A193)*(TEXT(DATA_LOG!$B:$B,"yyyy-MM-dd")=TEXT(DATE($P$3,MONTH(1&amp;$N$3),VALUE(LEFT(H$5,2))),"yyyy-MM-dd")),0)),""))</f>
        <v/>
      </c>
      <c r="I196" s="39" t="str">
        <f t="array" ref="I196">IF(OR($A193="",I$5=""),"",IFNA(INDEX(DATA_LOG!$D:$D,MATCH(1,(DATA_LOG!$A:$A=$A193)*(TEXT(DATA_LOG!$B:$B,"yyyy-MM-dd")=TEXT(DATE($P$3,MONTH(1&amp;$N$3),VALUE(LEFT(I$5,2))),"yyyy-MM-dd")),0)),""))</f>
        <v/>
      </c>
      <c r="J196" s="39" t="str">
        <f t="array" ref="J196">IF(OR($A193="",J$5=""),"",IFNA(INDEX(DATA_LOG!$D:$D,MATCH(1,(DATA_LOG!$A:$A=$A193)*(TEXT(DATA_LOG!$B:$B,"yyyy-MM-dd")=TEXT(DATE($P$3,MONTH(1&amp;$N$3),VALUE(LEFT(J$5,2))),"yyyy-MM-dd")),0)),""))</f>
        <v/>
      </c>
      <c r="K196" s="39" t="str">
        <f t="array" ref="K196">IF(OR($A193="",K$5=""),"",IFNA(INDEX(DATA_LOG!$D:$D,MATCH(1,(DATA_LOG!$A:$A=$A193)*(TEXT(DATA_LOG!$B:$B,"yyyy-MM-dd")=TEXT(DATE($P$3,MONTH(1&amp;$N$3),VALUE(LEFT(K$5,2))),"yyyy-MM-dd")),0)),""))</f>
        <v/>
      </c>
      <c r="L196" s="39" t="str">
        <f t="array" ref="L196">IF(OR($A193="",L$5=""),"",IFNA(INDEX(DATA_LOG!$D:$D,MATCH(1,(DATA_LOG!$A:$A=$A193)*(TEXT(DATA_LOG!$B:$B,"yyyy-MM-dd")=TEXT(DATE($P$3,MONTH(1&amp;$N$3),VALUE(LEFT(L$5,2))),"yyyy-MM-dd")),0)),""))</f>
        <v/>
      </c>
      <c r="M196" s="39" t="str">
        <f t="array" ref="M196">IF(OR($A193="",M$5=""),"",IFNA(INDEX(DATA_LOG!$D:$D,MATCH(1,(DATA_LOG!$A:$A=$A193)*(TEXT(DATA_LOG!$B:$B,"yyyy-MM-dd")=TEXT(DATE($P$3,MONTH(1&amp;$N$3),VALUE(LEFT(M$5,2))),"yyyy-MM-dd")),0)),""))</f>
        <v/>
      </c>
      <c r="N196" s="39" t="str">
        <f t="array" ref="N196">IF(OR($A193="",N$5=""),"",IFNA(INDEX(DATA_LOG!$D:$D,MATCH(1,(DATA_LOG!$A:$A=$A193)*(TEXT(DATA_LOG!$B:$B,"yyyy-MM-dd")=TEXT(DATE($P$3,MONTH(1&amp;$N$3),VALUE(LEFT(N$5,2))),"yyyy-MM-dd")),0)),""))</f>
        <v/>
      </c>
      <c r="O196" s="39" t="str">
        <f t="array" ref="O196">IF(OR($A193="",O$5=""),"",IFNA(INDEX(DATA_LOG!$D:$D,MATCH(1,(DATA_LOG!$A:$A=$A193)*(TEXT(DATA_LOG!$B:$B,"yyyy-MM-dd")=TEXT(DATE($P$3,MONTH(1&amp;$N$3),VALUE(LEFT(O$5,2))),"yyyy-MM-dd")),0)),""))</f>
        <v/>
      </c>
      <c r="P196" s="39" t="str">
        <f t="array" ref="P196">IF(OR($A193="",P$5=""),"",IFNA(INDEX(DATA_LOG!$D:$D,MATCH(1,(DATA_LOG!$A:$A=$A193)*(TEXT(DATA_LOG!$B:$B,"yyyy-MM-dd")=TEXT(DATE($P$3,MONTH(1&amp;$N$3),VALUE(LEFT(P$5,2))),"yyyy-MM-dd")),0)),""))</f>
        <v/>
      </c>
      <c r="Q196" s="39" t="str">
        <f t="array" ref="Q196">IF(OR($A193="",Q$5=""),"",IFNA(INDEX(DATA_LOG!$D:$D,MATCH(1,(DATA_LOG!$A:$A=$A193)*(TEXT(DATA_LOG!$B:$B,"yyyy-MM-dd")=TEXT(DATE($P$3,MONTH(1&amp;$N$3),VALUE(LEFT(Q$5,2))),"yyyy-MM-dd")),0)),""))</f>
        <v/>
      </c>
      <c r="R196" s="39" t="str">
        <f t="array" ref="R196">IF(OR($A193="",R$5=""),"",IFNA(INDEX(DATA_LOG!$D:$D,MATCH(1,(DATA_LOG!$A:$A=$A193)*(TEXT(DATA_LOG!$B:$B,"yyyy-MM-dd")=TEXT(DATE($P$3,MONTH(1&amp;$N$3),VALUE(LEFT(R$5,2))),"yyyy-MM-dd")),0)),""))</f>
        <v/>
      </c>
      <c r="S196" s="39" t="str">
        <f t="array" ref="S196">IF(OR($A193="",S$5=""),"",IFNA(INDEX(DATA_LOG!$D:$D,MATCH(1,(DATA_LOG!$A:$A=$A193)*(TEXT(DATA_LOG!$B:$B,"yyyy-MM-dd")=TEXT(DATE($P$3,MONTH(1&amp;$N$3),VALUE(LEFT(S$5,2))),"yyyy-MM-dd")),0)),""))</f>
        <v/>
      </c>
      <c r="T196" s="39" t="str">
        <f t="array" ref="T196">IF(OR($A193="",T$5=""),"",IFNA(INDEX(DATA_LOG!$D:$D,MATCH(1,(DATA_LOG!$A:$A=$A193)*(TEXT(DATA_LOG!$B:$B,"yyyy-MM-dd")=TEXT(DATE($P$3,MONTH(1&amp;$N$3),VALUE(LEFT(T$5,2))),"yyyy-MM-dd")),0)),""))</f>
        <v/>
      </c>
      <c r="U196" s="39" t="str">
        <f t="array" ref="U196">IF(OR($A193="",U$5=""),"",IFNA(INDEX(DATA_LOG!$D:$D,MATCH(1,(DATA_LOG!$A:$A=$A193)*(TEXT(DATA_LOG!$B:$B,"yyyy-MM-dd")=TEXT(DATE($P$3,MONTH(1&amp;$N$3),VALUE(LEFT(U$5,2))),"yyyy-MM-dd")),0)),""))</f>
        <v/>
      </c>
      <c r="V196" s="39" t="str">
        <f t="array" ref="V196">IF(OR($A193="",V$5=""),"",IFNA(INDEX(DATA_LOG!$D:$D,MATCH(1,(DATA_LOG!$A:$A=$A193)*(TEXT(DATA_LOG!$B:$B,"yyyy-MM-dd")=TEXT(DATE($P$3,MONTH(1&amp;$N$3),VALUE(LEFT(V$5,2))),"yyyy-MM-dd")),0)),""))</f>
        <v/>
      </c>
      <c r="W196" s="39" t="str">
        <f t="array" ref="W196">IF(OR($A193="",W$5=""),"",IFNA(INDEX(DATA_LOG!$D:$D,MATCH(1,(DATA_LOG!$A:$A=$A193)*(TEXT(DATA_LOG!$B:$B,"yyyy-MM-dd")=TEXT(DATE($P$3,MONTH(1&amp;$N$3),VALUE(LEFT(W$5,2))),"yyyy-MM-dd")),0)),""))</f>
        <v/>
      </c>
      <c r="X196" s="39" t="str">
        <f t="array" ref="X196">IF(OR($A193="",X$5=""),"",IFNA(INDEX(DATA_LOG!$D:$D,MATCH(1,(DATA_LOG!$A:$A=$A193)*(TEXT(DATA_LOG!$B:$B,"yyyy-MM-dd")=TEXT(DATE($P$3,MONTH(1&amp;$N$3),VALUE(LEFT(X$5,2))),"yyyy-MM-dd")),0)),""))</f>
        <v/>
      </c>
      <c r="Y196" s="39" t="str">
        <f t="array" ref="Y196">IF(OR($A193="",Y$5=""),"",IFNA(INDEX(DATA_LOG!$D:$D,MATCH(1,(DATA_LOG!$A:$A=$A193)*(TEXT(DATA_LOG!$B:$B,"yyyy-MM-dd")=TEXT(DATE($P$3,MONTH(1&amp;$N$3),VALUE(LEFT(Y$5,2))),"yyyy-MM-dd")),0)),""))</f>
        <v/>
      </c>
      <c r="Z196" s="39" t="str">
        <f t="array" ref="Z196">IF(OR($A193="",Z$5=""),"",IFNA(INDEX(DATA_LOG!$D:$D,MATCH(1,(DATA_LOG!$A:$A=$A193)*(TEXT(DATA_LOG!$B:$B,"yyyy-MM-dd")=TEXT(DATE($P$3,MONTH(1&amp;$N$3),VALUE(LEFT(Z$5,2))),"yyyy-MM-dd")),0)),""))</f>
        <v/>
      </c>
      <c r="AA196" s="39" t="str">
        <f t="array" ref="AA196">IF(OR($A193="",AA$5=""),"",IFNA(INDEX(DATA_LOG!$D:$D,MATCH(1,(DATA_LOG!$A:$A=$A193)*(TEXT(DATA_LOG!$B:$B,"yyyy-MM-dd")=TEXT(DATE($P$3,MONTH(1&amp;$N$3),VALUE(LEFT(AA$5,2))),"yyyy-MM-dd")),0)),""))</f>
        <v/>
      </c>
      <c r="AB196" s="39" t="str">
        <f t="array" ref="AB196">IF(OR($A193="",AB$5=""),"",IFNA(INDEX(DATA_LOG!$D:$D,MATCH(1,(DATA_LOG!$A:$A=$A193)*(TEXT(DATA_LOG!$B:$B,"yyyy-MM-dd")=TEXT(DATE($P$3,MONTH(1&amp;$N$3),VALUE(LEFT(AB$5,2))),"yyyy-MM-dd")),0)),""))</f>
        <v/>
      </c>
      <c r="AC196" s="39" t="str">
        <f t="array" ref="AC196">IF(OR($A193="",AC$5=""),"",IFNA(INDEX(DATA_LOG!$D:$D,MATCH(1,(DATA_LOG!$A:$A=$A193)*(TEXT(DATA_LOG!$B:$B,"yyyy-MM-dd")=TEXT(DATE($P$3,MONTH(1&amp;$N$3),VALUE(LEFT(AC$5,2))),"yyyy-MM-dd")),0)),""))</f>
        <v/>
      </c>
      <c r="AD196" s="39" t="str">
        <f t="array" ref="AD196">IF(OR($A193="",AD$5=""),"",IFNA(INDEX(DATA_LOG!$D:$D,MATCH(1,(DATA_LOG!$A:$A=$A193)*(TEXT(DATA_LOG!$B:$B,"yyyy-MM-dd")=TEXT(DATE($P$3,MONTH(1&amp;$N$3),VALUE(LEFT(AD$5,2))),"yyyy-MM-dd")),0)),""))</f>
        <v/>
      </c>
      <c r="AE196" s="39" t="str">
        <f t="array" ref="AE196">IF(OR($A193="",AE$5=""),"",IFNA(INDEX(DATA_LOG!$D:$D,MATCH(1,(DATA_LOG!$A:$A=$A193)*(TEXT(DATA_LOG!$B:$B,"yyyy-MM-dd")=TEXT(DATE($P$3,MONTH(1&amp;$N$3),VALUE(LEFT(AE$5,2))),"yyyy-MM-dd")),0)),""))</f>
        <v/>
      </c>
      <c r="AF196" s="39" t="str">
        <f t="array" ref="AF196">IF(OR($A193="",AF$5=""),"",IFNA(INDEX(DATA_LOG!$D:$D,MATCH(1,(DATA_LOG!$A:$A=$A193)*(TEXT(DATA_LOG!$B:$B,"yyyy-MM-dd")=TEXT(DATE($P$3,MONTH(1&amp;$N$3),VALUE(LEFT(AF$5,2))),"yyyy-MM-dd")),0)),""))</f>
        <v/>
      </c>
    </row>
    <row r="197">
      <c r="A197" s="40" t="str">
        <f>IF($A193="", "", "TOTAL")</f>
        <v/>
      </c>
      <c r="B197" s="41" t="str">
        <f t="shared" ref="B197:AF197" si="28">IF(AND(B195&lt;&gt;"",B196&lt;&gt;""),TEXT(MOD(B196-B195,1),"hh:mm"),"")</f>
        <v/>
      </c>
      <c r="C197" s="34" t="str">
        <f t="shared" si="28"/>
        <v/>
      </c>
      <c r="D197" s="34" t="str">
        <f t="shared" si="28"/>
        <v/>
      </c>
      <c r="E197" s="34" t="str">
        <f t="shared" si="28"/>
        <v/>
      </c>
      <c r="F197" s="34" t="str">
        <f t="shared" si="28"/>
        <v/>
      </c>
      <c r="G197" s="34" t="str">
        <f t="shared" si="28"/>
        <v/>
      </c>
      <c r="H197" s="34" t="str">
        <f t="shared" si="28"/>
        <v/>
      </c>
      <c r="I197" s="34" t="str">
        <f t="shared" si="28"/>
        <v/>
      </c>
      <c r="J197" s="34" t="str">
        <f t="shared" si="28"/>
        <v/>
      </c>
      <c r="K197" s="34" t="str">
        <f t="shared" si="28"/>
        <v/>
      </c>
      <c r="L197" s="34" t="str">
        <f t="shared" si="28"/>
        <v/>
      </c>
      <c r="M197" s="34" t="str">
        <f t="shared" si="28"/>
        <v/>
      </c>
      <c r="N197" s="34" t="str">
        <f t="shared" si="28"/>
        <v/>
      </c>
      <c r="O197" s="34" t="str">
        <f t="shared" si="28"/>
        <v/>
      </c>
      <c r="P197" s="34" t="str">
        <f t="shared" si="28"/>
        <v/>
      </c>
      <c r="Q197" s="34" t="str">
        <f t="shared" si="28"/>
        <v/>
      </c>
      <c r="R197" s="34" t="str">
        <f t="shared" si="28"/>
        <v/>
      </c>
      <c r="S197" s="34" t="str">
        <f t="shared" si="28"/>
        <v/>
      </c>
      <c r="T197" s="34" t="str">
        <f t="shared" si="28"/>
        <v/>
      </c>
      <c r="U197" s="34" t="str">
        <f t="shared" si="28"/>
        <v/>
      </c>
      <c r="V197" s="34" t="str">
        <f t="shared" si="28"/>
        <v/>
      </c>
      <c r="W197" s="34" t="str">
        <f t="shared" si="28"/>
        <v/>
      </c>
      <c r="X197" s="34" t="str">
        <f t="shared" si="28"/>
        <v/>
      </c>
      <c r="Y197" s="34" t="str">
        <f t="shared" si="28"/>
        <v/>
      </c>
      <c r="Z197" s="34" t="str">
        <f t="shared" si="28"/>
        <v/>
      </c>
      <c r="AA197" s="34" t="str">
        <f t="shared" si="28"/>
        <v/>
      </c>
      <c r="AB197" s="34" t="str">
        <f t="shared" si="28"/>
        <v/>
      </c>
      <c r="AC197" s="34" t="str">
        <f t="shared" si="28"/>
        <v/>
      </c>
      <c r="AD197" s="34" t="str">
        <f t="shared" si="28"/>
        <v/>
      </c>
      <c r="AE197" s="34" t="str">
        <f t="shared" si="28"/>
        <v/>
      </c>
      <c r="AF197" s="34" t="str">
        <f t="shared" si="28"/>
        <v/>
      </c>
    </row>
    <row r="198">
      <c r="A198" s="42" t="str">
        <f>IF($A193="", "", "STATUS")</f>
        <v/>
      </c>
      <c r="B198" s="43" t="str">
        <f>IFERROR(__xludf.DUMMYFUNCTION("IF($A193="""","""",IF(B$5="""","""",LET(logStatus,IFNA(INDEX(DATA_LOG!$E:$E,MATCH(1,(DATA_LOG!$A:$A=$A193)*(TEXT(DATA_LOG!$B:$B,""yyyy-MM-dd"")=TEXT(DATE($P$3,MONTH(1&amp;$N$3),VALUE(LEFT(B$5,2))),""yyyy-MM-dd"")),0)),""""),IF(logStatus&lt;&gt;"""",UPPER(logStatus)"&amp;",IF(B197&lt;&gt;"""",IF(VALUE(B197)&gt;=9/24,""FD"",""HD""),IF(REGEXMATCH(B$5,""SUN""),""WO"",""-""))))))"),"")</f>
        <v/>
      </c>
      <c r="C198" s="43" t="str">
        <f>IFERROR(__xludf.DUMMYFUNCTION("IF($A193="""","""",IF(C$5="""","""",LET(logStatus,IFNA(INDEX(DATA_LOG!$E:$E,MATCH(1,(DATA_LOG!$A:$A=$A193)*(TEXT(DATA_LOG!$B:$B,""yyyy-MM-dd"")=TEXT(DATE($P$3,MONTH(1&amp;$N$3),VALUE(LEFT(C$5,2))),""yyyy-MM-dd"")),0)),""""),IF(logStatus&lt;&gt;"""",UPPER(logStatus)"&amp;",IF(C197&lt;&gt;"""",IF(VALUE(C197)&gt;=9/24,""FD"",""HD""),IF(REGEXMATCH(C$5,""SUN""),""WO"",""-""))))))"),"")</f>
        <v/>
      </c>
      <c r="D198" s="43" t="str">
        <f>IFERROR(__xludf.DUMMYFUNCTION("IF($A193="""","""",IF(D$5="""","""",LET(logStatus,IFNA(INDEX(DATA_LOG!$E:$E,MATCH(1,(DATA_LOG!$A:$A=$A193)*(TEXT(DATA_LOG!$B:$B,""yyyy-MM-dd"")=TEXT(DATE($P$3,MONTH(1&amp;$N$3),VALUE(LEFT(D$5,2))),""yyyy-MM-dd"")),0)),""""),IF(logStatus&lt;&gt;"""",UPPER(logStatus)"&amp;",IF(D197&lt;&gt;"""",IF(VALUE(D197)&gt;=9/24,""FD"",""HD""),IF(REGEXMATCH(D$5,""SUN""),""WO"",""-""))))))"),"")</f>
        <v/>
      </c>
      <c r="E198" s="43" t="str">
        <f>IFERROR(__xludf.DUMMYFUNCTION("IF($A193="""","""",IF(E$5="""","""",LET(logStatus,IFNA(INDEX(DATA_LOG!$E:$E,MATCH(1,(DATA_LOG!$A:$A=$A193)*(TEXT(DATA_LOG!$B:$B,""yyyy-MM-dd"")=TEXT(DATE($P$3,MONTH(1&amp;$N$3),VALUE(LEFT(E$5,2))),""yyyy-MM-dd"")),0)),""""),IF(logStatus&lt;&gt;"""",UPPER(logStatus)"&amp;",IF(E197&lt;&gt;"""",IF(VALUE(E197)&gt;=9/24,""FD"",""HD""),IF(REGEXMATCH(E$5,""SUN""),""WO"",""-""))))))"),"")</f>
        <v/>
      </c>
      <c r="F198" s="43" t="str">
        <f>IFERROR(__xludf.DUMMYFUNCTION("IF($A193="""","""",IF(F$5="""","""",LET(logStatus,IFNA(INDEX(DATA_LOG!$E:$E,MATCH(1,(DATA_LOG!$A:$A=$A193)*(TEXT(DATA_LOG!$B:$B,""yyyy-MM-dd"")=TEXT(DATE($P$3,MONTH(1&amp;$N$3),VALUE(LEFT(F$5,2))),""yyyy-MM-dd"")),0)),""""),IF(logStatus&lt;&gt;"""",UPPER(logStatus)"&amp;",IF(F197&lt;&gt;"""",IF(VALUE(F197)&gt;=9/24,""FD"",""HD""),IF(REGEXMATCH(F$5,""SUN""),""WO"",""-""))))))"),"")</f>
        <v/>
      </c>
      <c r="G198" s="43" t="str">
        <f>IFERROR(__xludf.DUMMYFUNCTION("IF($A193="""","""",IF(G$5="""","""",LET(logStatus,IFNA(INDEX(DATA_LOG!$E:$E,MATCH(1,(DATA_LOG!$A:$A=$A193)*(TEXT(DATA_LOG!$B:$B,""yyyy-MM-dd"")=TEXT(DATE($P$3,MONTH(1&amp;$N$3),VALUE(LEFT(G$5,2))),""yyyy-MM-dd"")),0)),""""),IF(logStatus&lt;&gt;"""",UPPER(logStatus)"&amp;",IF(G197&lt;&gt;"""",IF(VALUE(G197)&gt;=9/24,""FD"",""HD""),IF(REGEXMATCH(G$5,""SUN""),""WO"",""-""))))))"),"")</f>
        <v/>
      </c>
      <c r="H198" s="43" t="str">
        <f>IFERROR(__xludf.DUMMYFUNCTION("IF($A193="""","""",IF(H$5="""","""",LET(logStatus,IFNA(INDEX(DATA_LOG!$E:$E,MATCH(1,(DATA_LOG!$A:$A=$A193)*(TEXT(DATA_LOG!$B:$B,""yyyy-MM-dd"")=TEXT(DATE($P$3,MONTH(1&amp;$N$3),VALUE(LEFT(H$5,2))),""yyyy-MM-dd"")),0)),""""),IF(logStatus&lt;&gt;"""",UPPER(logStatus)"&amp;",IF(H197&lt;&gt;"""",IF(VALUE(H197)&gt;=9/24,""FD"",""HD""),IF(REGEXMATCH(H$5,""SUN""),""WO"",""-""))))))"),"")</f>
        <v/>
      </c>
      <c r="I198" s="43" t="str">
        <f>IFERROR(__xludf.DUMMYFUNCTION("IF($A193="""","""",IF(I$5="""","""",LET(logStatus,IFNA(INDEX(DATA_LOG!$E:$E,MATCH(1,(DATA_LOG!$A:$A=$A193)*(TEXT(DATA_LOG!$B:$B,""yyyy-MM-dd"")=TEXT(DATE($P$3,MONTH(1&amp;$N$3),VALUE(LEFT(I$5,2))),""yyyy-MM-dd"")),0)),""""),IF(logStatus&lt;&gt;"""",UPPER(logStatus)"&amp;",IF(I197&lt;&gt;"""",IF(VALUE(I197)&gt;=9/24,""FD"",""HD""),IF(REGEXMATCH(I$5,""SUN""),""WO"",""-""))))))"),"")</f>
        <v/>
      </c>
      <c r="J198" s="43" t="str">
        <f>IFERROR(__xludf.DUMMYFUNCTION("IF($A193="""","""",IF(J$5="""","""",LET(logStatus,IFNA(INDEX(DATA_LOG!$E:$E,MATCH(1,(DATA_LOG!$A:$A=$A193)*(TEXT(DATA_LOG!$B:$B,""yyyy-MM-dd"")=TEXT(DATE($P$3,MONTH(1&amp;$N$3),VALUE(LEFT(J$5,2))),""yyyy-MM-dd"")),0)),""""),IF(logStatus&lt;&gt;"""",UPPER(logStatus)"&amp;",IF(J197&lt;&gt;"""",IF(VALUE(J197)&gt;=9/24,""FD"",""HD""),IF(REGEXMATCH(J$5,""SUN""),""WO"",""-""))))))"),"")</f>
        <v/>
      </c>
      <c r="K198" s="43" t="str">
        <f>IFERROR(__xludf.DUMMYFUNCTION("IF($A193="""","""",IF(K$5="""","""",LET(logStatus,IFNA(INDEX(DATA_LOG!$E:$E,MATCH(1,(DATA_LOG!$A:$A=$A193)*(TEXT(DATA_LOG!$B:$B,""yyyy-MM-dd"")=TEXT(DATE($P$3,MONTH(1&amp;$N$3),VALUE(LEFT(K$5,2))),""yyyy-MM-dd"")),0)),""""),IF(logStatus&lt;&gt;"""",UPPER(logStatus)"&amp;",IF(K197&lt;&gt;"""",IF(VALUE(K197)&gt;=9/24,""FD"",""HD""),IF(REGEXMATCH(K$5,""SUN""),""WO"",""-""))))))"),"")</f>
        <v/>
      </c>
      <c r="L198" s="43" t="str">
        <f>IFERROR(__xludf.DUMMYFUNCTION("IF($A193="""","""",IF(L$5="""","""",LET(logStatus,IFNA(INDEX(DATA_LOG!$E:$E,MATCH(1,(DATA_LOG!$A:$A=$A193)*(TEXT(DATA_LOG!$B:$B,""yyyy-MM-dd"")=TEXT(DATE($P$3,MONTH(1&amp;$N$3),VALUE(LEFT(L$5,2))),""yyyy-MM-dd"")),0)),""""),IF(logStatus&lt;&gt;"""",UPPER(logStatus)"&amp;",IF(L197&lt;&gt;"""",IF(VALUE(L197)&gt;=9/24,""FD"",""HD""),IF(REGEXMATCH(L$5,""SUN""),""WO"",""-""))))))"),"")</f>
        <v/>
      </c>
      <c r="M198" s="43" t="str">
        <f>IFERROR(__xludf.DUMMYFUNCTION("IF($A193="""","""",IF(M$5="""","""",LET(logStatus,IFNA(INDEX(DATA_LOG!$E:$E,MATCH(1,(DATA_LOG!$A:$A=$A193)*(TEXT(DATA_LOG!$B:$B,""yyyy-MM-dd"")=TEXT(DATE($P$3,MONTH(1&amp;$N$3),VALUE(LEFT(M$5,2))),""yyyy-MM-dd"")),0)),""""),IF(logStatus&lt;&gt;"""",UPPER(logStatus)"&amp;",IF(M197&lt;&gt;"""",IF(VALUE(M197)&gt;=9/24,""FD"",""HD""),IF(REGEXMATCH(M$5,""SUN""),""WO"",""-""))))))"),"")</f>
        <v/>
      </c>
      <c r="N198" s="43" t="str">
        <f>IFERROR(__xludf.DUMMYFUNCTION("IF($A193="""","""",IF(N$5="""","""",LET(logStatus,IFNA(INDEX(DATA_LOG!$E:$E,MATCH(1,(DATA_LOG!$A:$A=$A193)*(TEXT(DATA_LOG!$B:$B,""yyyy-MM-dd"")=TEXT(DATE($P$3,MONTH(1&amp;$N$3),VALUE(LEFT(N$5,2))),""yyyy-MM-dd"")),0)),""""),IF(logStatus&lt;&gt;"""",UPPER(logStatus)"&amp;",IF(N197&lt;&gt;"""",IF(VALUE(N197)&gt;=9/24,""FD"",""HD""),IF(REGEXMATCH(N$5,""SUN""),""WO"",""-""))))))"),"")</f>
        <v/>
      </c>
      <c r="O198" s="43" t="str">
        <f>IFERROR(__xludf.DUMMYFUNCTION("IF($A193="""","""",IF(O$5="""","""",LET(logStatus,IFNA(INDEX(DATA_LOG!$E:$E,MATCH(1,(DATA_LOG!$A:$A=$A193)*(TEXT(DATA_LOG!$B:$B,""yyyy-MM-dd"")=TEXT(DATE($P$3,MONTH(1&amp;$N$3),VALUE(LEFT(O$5,2))),""yyyy-MM-dd"")),0)),""""),IF(logStatus&lt;&gt;"""",UPPER(logStatus)"&amp;",IF(O197&lt;&gt;"""",IF(VALUE(O197)&gt;=9/24,""FD"",""HD""),IF(REGEXMATCH(O$5,""SUN""),""WO"",""-""))))))"),"")</f>
        <v/>
      </c>
      <c r="P198" s="43" t="str">
        <f>IFERROR(__xludf.DUMMYFUNCTION("IF($A193="""","""",IF(P$5="""","""",LET(logStatus,IFNA(INDEX(DATA_LOG!$E:$E,MATCH(1,(DATA_LOG!$A:$A=$A193)*(TEXT(DATA_LOG!$B:$B,""yyyy-MM-dd"")=TEXT(DATE($P$3,MONTH(1&amp;$N$3),VALUE(LEFT(P$5,2))),""yyyy-MM-dd"")),0)),""""),IF(logStatus&lt;&gt;"""",UPPER(logStatus)"&amp;",IF(P197&lt;&gt;"""",IF(VALUE(P197)&gt;=9/24,""FD"",""HD""),IF(REGEXMATCH(P$5,""SUN""),""WO"",""-""))))))"),"")</f>
        <v/>
      </c>
      <c r="Q198" s="43" t="str">
        <f>IFERROR(__xludf.DUMMYFUNCTION("IF($A193="""","""",IF(Q$5="""","""",LET(logStatus,IFNA(INDEX(DATA_LOG!$E:$E,MATCH(1,(DATA_LOG!$A:$A=$A193)*(TEXT(DATA_LOG!$B:$B,""yyyy-MM-dd"")=TEXT(DATE($P$3,MONTH(1&amp;$N$3),VALUE(LEFT(Q$5,2))),""yyyy-MM-dd"")),0)),""""),IF(logStatus&lt;&gt;"""",UPPER(logStatus)"&amp;",IF(Q197&lt;&gt;"""",IF(VALUE(Q197)&gt;=9/24,""FD"",""HD""),IF(REGEXMATCH(Q$5,""SUN""),""WO"",""-""))))))"),"")</f>
        <v/>
      </c>
      <c r="R198" s="43" t="str">
        <f>IFERROR(__xludf.DUMMYFUNCTION("IF($A193="""","""",IF(R$5="""","""",LET(logStatus,IFNA(INDEX(DATA_LOG!$E:$E,MATCH(1,(DATA_LOG!$A:$A=$A193)*(TEXT(DATA_LOG!$B:$B,""yyyy-MM-dd"")=TEXT(DATE($P$3,MONTH(1&amp;$N$3),VALUE(LEFT(R$5,2))),""yyyy-MM-dd"")),0)),""""),IF(logStatus&lt;&gt;"""",UPPER(logStatus)"&amp;",IF(R197&lt;&gt;"""",IF(VALUE(R197)&gt;=9/24,""FD"",""HD""),IF(REGEXMATCH(R$5,""SUN""),""WO"",""-""))))))"),"")</f>
        <v/>
      </c>
      <c r="S198" s="43" t="str">
        <f>IFERROR(__xludf.DUMMYFUNCTION("IF($A193="""","""",IF(S$5="""","""",LET(logStatus,IFNA(INDEX(DATA_LOG!$E:$E,MATCH(1,(DATA_LOG!$A:$A=$A193)*(TEXT(DATA_LOG!$B:$B,""yyyy-MM-dd"")=TEXT(DATE($P$3,MONTH(1&amp;$N$3),VALUE(LEFT(S$5,2))),""yyyy-MM-dd"")),0)),""""),IF(logStatus&lt;&gt;"""",UPPER(logStatus)"&amp;",IF(S197&lt;&gt;"""",IF(VALUE(S197)&gt;=9/24,""FD"",""HD""),IF(REGEXMATCH(S$5,""SUN""),""WO"",""-""))))))"),"")</f>
        <v/>
      </c>
      <c r="T198" s="43" t="str">
        <f>IFERROR(__xludf.DUMMYFUNCTION("IF($A193="""","""",IF(T$5="""","""",LET(logStatus,IFNA(INDEX(DATA_LOG!$E:$E,MATCH(1,(DATA_LOG!$A:$A=$A193)*(TEXT(DATA_LOG!$B:$B,""yyyy-MM-dd"")=TEXT(DATE($P$3,MONTH(1&amp;$N$3),VALUE(LEFT(T$5,2))),""yyyy-MM-dd"")),0)),""""),IF(logStatus&lt;&gt;"""",UPPER(logStatus)"&amp;",IF(T197&lt;&gt;"""",IF(VALUE(T197)&gt;=9/24,""FD"",""HD""),IF(REGEXMATCH(T$5,""SUN""),""WO"",""-""))))))"),"")</f>
        <v/>
      </c>
      <c r="U198" s="43" t="str">
        <f>IFERROR(__xludf.DUMMYFUNCTION("IF($A193="""","""",IF(U$5="""","""",LET(logStatus,IFNA(INDEX(DATA_LOG!$E:$E,MATCH(1,(DATA_LOG!$A:$A=$A193)*(TEXT(DATA_LOG!$B:$B,""yyyy-MM-dd"")=TEXT(DATE($P$3,MONTH(1&amp;$N$3),VALUE(LEFT(U$5,2))),""yyyy-MM-dd"")),0)),""""),IF(logStatus&lt;&gt;"""",UPPER(logStatus)"&amp;",IF(U197&lt;&gt;"""",IF(VALUE(U197)&gt;=9/24,""FD"",""HD""),IF(REGEXMATCH(U$5,""SUN""),""WO"",""-""))))))"),"")</f>
        <v/>
      </c>
      <c r="V198" s="43" t="str">
        <f>IFERROR(__xludf.DUMMYFUNCTION("IF($A193="""","""",IF(V$5="""","""",LET(logStatus,IFNA(INDEX(DATA_LOG!$E:$E,MATCH(1,(DATA_LOG!$A:$A=$A193)*(TEXT(DATA_LOG!$B:$B,""yyyy-MM-dd"")=TEXT(DATE($P$3,MONTH(1&amp;$N$3),VALUE(LEFT(V$5,2))),""yyyy-MM-dd"")),0)),""""),IF(logStatus&lt;&gt;"""",UPPER(logStatus)"&amp;",IF(V197&lt;&gt;"""",IF(VALUE(V197)&gt;=9/24,""FD"",""HD""),IF(REGEXMATCH(V$5,""SUN""),""WO"",""-""))))))"),"")</f>
        <v/>
      </c>
      <c r="W198" s="43" t="str">
        <f>IFERROR(__xludf.DUMMYFUNCTION("IF($A193="""","""",IF(W$5="""","""",LET(logStatus,IFNA(INDEX(DATA_LOG!$E:$E,MATCH(1,(DATA_LOG!$A:$A=$A193)*(TEXT(DATA_LOG!$B:$B,""yyyy-MM-dd"")=TEXT(DATE($P$3,MONTH(1&amp;$N$3),VALUE(LEFT(W$5,2))),""yyyy-MM-dd"")),0)),""""),IF(logStatus&lt;&gt;"""",UPPER(logStatus)"&amp;",IF(W197&lt;&gt;"""",IF(VALUE(W197)&gt;=9/24,""FD"",""HD""),IF(REGEXMATCH(W$5,""SUN""),""WO"",""-""))))))"),"")</f>
        <v/>
      </c>
      <c r="X198" s="43" t="str">
        <f>IFERROR(__xludf.DUMMYFUNCTION("IF($A193="""","""",IF(X$5="""","""",LET(logStatus,IFNA(INDEX(DATA_LOG!$E:$E,MATCH(1,(DATA_LOG!$A:$A=$A193)*(TEXT(DATA_LOG!$B:$B,""yyyy-MM-dd"")=TEXT(DATE($P$3,MONTH(1&amp;$N$3),VALUE(LEFT(X$5,2))),""yyyy-MM-dd"")),0)),""""),IF(logStatus&lt;&gt;"""",UPPER(logStatus)"&amp;",IF(X197&lt;&gt;"""",IF(VALUE(X197)&gt;=9/24,""FD"",""HD""),IF(REGEXMATCH(X$5,""SUN""),""WO"",""-""))))))"),"")</f>
        <v/>
      </c>
      <c r="Y198" s="43" t="str">
        <f>IFERROR(__xludf.DUMMYFUNCTION("IF($A193="""","""",IF(Y$5="""","""",LET(logStatus,IFNA(INDEX(DATA_LOG!$E:$E,MATCH(1,(DATA_LOG!$A:$A=$A193)*(TEXT(DATA_LOG!$B:$B,""yyyy-MM-dd"")=TEXT(DATE($P$3,MONTH(1&amp;$N$3),VALUE(LEFT(Y$5,2))),""yyyy-MM-dd"")),0)),""""),IF(logStatus&lt;&gt;"""",UPPER(logStatus)"&amp;",IF(Y197&lt;&gt;"""",IF(VALUE(Y197)&gt;=9/24,""FD"",""HD""),IF(REGEXMATCH(Y$5,""SUN""),""WO"",""-""))))))"),"")</f>
        <v/>
      </c>
      <c r="Z198" s="43" t="str">
        <f>IFERROR(__xludf.DUMMYFUNCTION("IF($A193="""","""",IF(Z$5="""","""",LET(logStatus,IFNA(INDEX(DATA_LOG!$E:$E,MATCH(1,(DATA_LOG!$A:$A=$A193)*(TEXT(DATA_LOG!$B:$B,""yyyy-MM-dd"")=TEXT(DATE($P$3,MONTH(1&amp;$N$3),VALUE(LEFT(Z$5,2))),""yyyy-MM-dd"")),0)),""""),IF(logStatus&lt;&gt;"""",UPPER(logStatus)"&amp;",IF(Z197&lt;&gt;"""",IF(VALUE(Z197)&gt;=9/24,""FD"",""HD""),IF(REGEXMATCH(Z$5,""SUN""),""WO"",""-""))))))"),"")</f>
        <v/>
      </c>
      <c r="AA198" s="43" t="str">
        <f>IFERROR(__xludf.DUMMYFUNCTION("IF($A193="""","""",IF(AA$5="""","""",LET(logStatus,IFNA(INDEX(DATA_LOG!$E:$E,MATCH(1,(DATA_LOG!$A:$A=$A193)*(TEXT(DATA_LOG!$B:$B,""yyyy-MM-dd"")=TEXT(DATE($P$3,MONTH(1&amp;$N$3),VALUE(LEFT(AA$5,2))),""yyyy-MM-dd"")),0)),""""),IF(logStatus&lt;&gt;"""",UPPER(logStatu"&amp;"s),IF(AA197&lt;&gt;"""",IF(VALUE(AA197)&gt;=9/24,""FD"",""HD""),IF(REGEXMATCH(AA$5,""SUN""),""WO"",""-""))))))"),"")</f>
        <v/>
      </c>
      <c r="AB198" s="43" t="str">
        <f>IFERROR(__xludf.DUMMYFUNCTION("IF($A193="""","""",IF(AB$5="""","""",LET(logStatus,IFNA(INDEX(DATA_LOG!$E:$E,MATCH(1,(DATA_LOG!$A:$A=$A193)*(TEXT(DATA_LOG!$B:$B,""yyyy-MM-dd"")=TEXT(DATE($P$3,MONTH(1&amp;$N$3),VALUE(LEFT(AB$5,2))),""yyyy-MM-dd"")),0)),""""),IF(logStatus&lt;&gt;"""",UPPER(logStatu"&amp;"s),IF(AB197&lt;&gt;"""",IF(VALUE(AB197)&gt;=9/24,""FD"",""HD""),IF(REGEXMATCH(AB$5,""SUN""),""WO"",""-""))))))"),"")</f>
        <v/>
      </c>
      <c r="AC198" s="43" t="str">
        <f>IFERROR(__xludf.DUMMYFUNCTION("IF($A193="""","""",IF(AC$5="""","""",LET(logStatus,IFNA(INDEX(DATA_LOG!$E:$E,MATCH(1,(DATA_LOG!$A:$A=$A193)*(TEXT(DATA_LOG!$B:$B,""yyyy-MM-dd"")=TEXT(DATE($P$3,MONTH(1&amp;$N$3),VALUE(LEFT(AC$5,2))),""yyyy-MM-dd"")),0)),""""),IF(logStatus&lt;&gt;"""",UPPER(logStatu"&amp;"s),IF(AC197&lt;&gt;"""",IF(VALUE(AC197)&gt;=9/24,""FD"",""HD""),IF(REGEXMATCH(AC$5,""SUN""),""WO"",""-""))))))"),"")</f>
        <v/>
      </c>
      <c r="AD198" s="43" t="str">
        <f>IFERROR(__xludf.DUMMYFUNCTION("IF($A193="""","""",IF(AD$5="""","""",LET(logStatus,IFNA(INDEX(DATA_LOG!$E:$E,MATCH(1,(DATA_LOG!$A:$A=$A193)*(TEXT(DATA_LOG!$B:$B,""yyyy-MM-dd"")=TEXT(DATE($P$3,MONTH(1&amp;$N$3),VALUE(LEFT(AD$5,2))),""yyyy-MM-dd"")),0)),""""),IF(logStatus&lt;&gt;"""",UPPER(logStatu"&amp;"s),IF(AD197&lt;&gt;"""",IF(VALUE(AD197)&gt;=9/24,""FD"",""HD""),IF(REGEXMATCH(AD$5,""SUN""),""WO"",""-""))))))"),"")</f>
        <v/>
      </c>
      <c r="AE198" s="43" t="str">
        <f>IFERROR(__xludf.DUMMYFUNCTION("IF($A193="""","""",IF(AE$5="""","""",LET(logStatus,IFNA(INDEX(DATA_LOG!$E:$E,MATCH(1,(DATA_LOG!$A:$A=$A193)*(TEXT(DATA_LOG!$B:$B,""yyyy-MM-dd"")=TEXT(DATE($P$3,MONTH(1&amp;$N$3),VALUE(LEFT(AE$5,2))),""yyyy-MM-dd"")),0)),""""),IF(logStatus&lt;&gt;"""",UPPER(logStatu"&amp;"s),IF(AE197&lt;&gt;"""",IF(VALUE(AE197)&gt;=9/24,""FD"",""HD""),IF(REGEXMATCH(AE$5,""SUN""),""WO"",""-""))))))"),"")</f>
        <v/>
      </c>
      <c r="AF198" s="43" t="str">
        <f>IFERROR(__xludf.DUMMYFUNCTION("IF($A193="""","""",IF(AF$5="""","""",LET(logStatus,IFNA(INDEX(DATA_LOG!$E:$E,MATCH(1,(DATA_LOG!$A:$A=$A193)*(TEXT(DATA_LOG!$B:$B,""yyyy-MM-dd"")=TEXT(DATE($P$3,MONTH(1&amp;$N$3),VALUE(LEFT(AF$5,2))),""yyyy-MM-dd"")),0)),""""),IF(logStatus&lt;&gt;"""",UPPER(logStatu"&amp;"s),IF(AF197&lt;&gt;"""",IF(VALUE(AF197)&gt;=9/24,""FD"",""HD""),IF(REGEXMATCH(AF$5,""SUN""),""WO"",""-""))))))"),"")</f>
        <v/>
      </c>
    </row>
    <row r="199">
      <c r="A199" s="44"/>
    </row>
    <row r="200">
      <c r="A200" s="25" t="str">
        <f t="array" ref="A200">INDEX(EMPLOYEE_LIST!$A:$A,INT((ROW()-4)/7)+2)</f>
        <v/>
      </c>
      <c r="B200" s="26"/>
      <c r="C200" s="27"/>
      <c r="D200" s="28" t="str">
        <f>IF(A200="", "", IFERROR(VLOOKUP(A200, EMPLOYEE_LIST!$A:$H, 2, FALSE), ""))</f>
        <v/>
      </c>
      <c r="E200" s="26"/>
      <c r="F200" s="26"/>
      <c r="G200" s="27"/>
      <c r="H200" s="29" t="str">
        <f>IF(A200="", "", IFERROR(VLOOKUP(A200, EMPLOYEE_LIST!$A:$H, 3, FALSE), ""))</f>
        <v/>
      </c>
      <c r="I200" s="26"/>
      <c r="J200" s="26"/>
      <c r="K200" s="27"/>
      <c r="L200" s="29" t="str">
        <f>IF(A200="", "", IFERROR(VLOOKUP(A200, EMPLOYEE_LIST!$A:$H, 4, FALSE), ""))</f>
        <v/>
      </c>
      <c r="M200" s="26"/>
      <c r="N200" s="26"/>
      <c r="O200" s="27"/>
      <c r="P200" s="30" t="str">
        <f>IF($A200="", "", "Full Day: " &amp; COUNTIF(B205:AF205, "FD"))</f>
        <v/>
      </c>
      <c r="Q200" s="26"/>
      <c r="R200" s="27"/>
      <c r="S200" s="31" t="str">
        <f>IF($A200="", "", "HALF Day: " &amp; COUNTIF(B205:AF205, "HD"))</f>
        <v/>
      </c>
      <c r="T200" s="26"/>
      <c r="U200" s="27"/>
      <c r="V200" s="31" t="str">
        <f>IF($A200="", "", "ABSENT: " &amp; COUNTIF(B205:AF205, "A"))</f>
        <v/>
      </c>
      <c r="W200" s="26"/>
      <c r="X200" s="27"/>
      <c r="Y200" s="31" t="str">
        <f>IF($A200="", "", "WEEK OFF: " &amp; COUNTIF(B205:AF205, "WO"))</f>
        <v/>
      </c>
      <c r="Z200" s="26"/>
      <c r="AA200" s="27"/>
      <c r="AB200" s="31" t="str">
        <f>IF($A200="", "", "LEAVE: " &amp; COUNTIF(B205:AF205, "L"))</f>
        <v/>
      </c>
      <c r="AC200" s="27"/>
      <c r="AD200" s="31" t="str">
        <f>IF($A200="", "", "HOLIDAY: " &amp; COUNTIF(B205:AF205, "HL"))</f>
        <v/>
      </c>
      <c r="AE200" s="26"/>
      <c r="AF200" s="27"/>
    </row>
    <row r="201">
      <c r="A201" s="32" t="str">
        <f>IF($A200="", "", "DATE")</f>
        <v/>
      </c>
      <c r="B201" s="33" t="str">
        <f t="array" ref="B201">IF($A200="","",LET(mNum,MONTH(1&amp;$N$3),start,DATE($P$3,mNum,1),days,DAY(EOMONTH(start,0)),MAP(SEQUENCE(1,days,0),LAMBDA(n,UPPER(TEXT(start+n,"dd (ddd)"))))))</f>
        <v/>
      </c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>
      <c r="A202" s="37" t="str">
        <f>IF($A200="", "", "IN")</f>
        <v/>
      </c>
      <c r="B202" s="39" t="str">
        <f t="array" ref="B202">IF(OR($A200="",B$5=""),"",IFNA(INDEX(DATA_LOG!$C:$C,MATCH(1,(DATA_LOG!$A:$A=$A200)*(TEXT(DATA_LOG!$B:$B,"yyyy-MM-dd")=TEXT(DATE($P$3,MONTH(1&amp;$N$3),VALUE(LEFT(B$5,2))),"yyyy-MM-dd")),0)),""))</f>
        <v/>
      </c>
      <c r="C202" s="39" t="str">
        <f t="array" ref="C202">IF(OR($A200="",C$5=""),"",IFNA(INDEX(DATA_LOG!$C:$C,MATCH(1,(DATA_LOG!$A:$A=$A200)*(TEXT(DATA_LOG!$B:$B,"yyyy-MM-dd")=TEXT(DATE($P$3,MONTH(1&amp;$N$3),VALUE(LEFT(C$5,2))),"yyyy-MM-dd")),0)),""))</f>
        <v/>
      </c>
      <c r="D202" s="39" t="str">
        <f t="array" ref="D202">IF(OR($A200="",D$5=""),"",IFNA(INDEX(DATA_LOG!$C:$C,MATCH(1,(DATA_LOG!$A:$A=$A200)*(TEXT(DATA_LOG!$B:$B,"yyyy-MM-dd")=TEXT(DATE($P$3,MONTH(1&amp;$N$3),VALUE(LEFT(D$5,2))),"yyyy-MM-dd")),0)),""))</f>
        <v/>
      </c>
      <c r="E202" s="39" t="str">
        <f t="array" ref="E202">IF(OR($A200="",E$5=""),"",IFNA(INDEX(DATA_LOG!$C:$C,MATCH(1,(DATA_LOG!$A:$A=$A200)*(TEXT(DATA_LOG!$B:$B,"yyyy-MM-dd")=TEXT(DATE($P$3,MONTH(1&amp;$N$3),VALUE(LEFT(E$5,2))),"yyyy-MM-dd")),0)),""))</f>
        <v/>
      </c>
      <c r="F202" s="39" t="str">
        <f t="array" ref="F202">IF(OR($A200="",F$5=""),"",IFNA(INDEX(DATA_LOG!$C:$C,MATCH(1,(DATA_LOG!$A:$A=$A200)*(TEXT(DATA_LOG!$B:$B,"yyyy-MM-dd")=TEXT(DATE($P$3,MONTH(1&amp;$N$3),VALUE(LEFT(F$5,2))),"yyyy-MM-dd")),0)),""))</f>
        <v/>
      </c>
      <c r="G202" s="39" t="str">
        <f t="array" ref="G202">IF(OR($A200="",G$5=""),"",IFNA(INDEX(DATA_LOG!$C:$C,MATCH(1,(DATA_LOG!$A:$A=$A200)*(TEXT(DATA_LOG!$B:$B,"yyyy-MM-dd")=TEXT(DATE($P$3,MONTH(1&amp;$N$3),VALUE(LEFT(G$5,2))),"yyyy-MM-dd")),0)),""))</f>
        <v/>
      </c>
      <c r="H202" s="39" t="str">
        <f t="array" ref="H202">IF(OR($A200="",H$5=""),"",IFNA(INDEX(DATA_LOG!$C:$C,MATCH(1,(DATA_LOG!$A:$A=$A200)*(TEXT(DATA_LOG!$B:$B,"yyyy-MM-dd")=TEXT(DATE($P$3,MONTH(1&amp;$N$3),VALUE(LEFT(H$5,2))),"yyyy-MM-dd")),0)),""))</f>
        <v/>
      </c>
      <c r="I202" s="39" t="str">
        <f t="array" ref="I202">IF(OR($A200="",I$5=""),"",IFNA(INDEX(DATA_LOG!$C:$C,MATCH(1,(DATA_LOG!$A:$A=$A200)*(TEXT(DATA_LOG!$B:$B,"yyyy-MM-dd")=TEXT(DATE($P$3,MONTH(1&amp;$N$3),VALUE(LEFT(I$5,2))),"yyyy-MM-dd")),0)),""))</f>
        <v/>
      </c>
      <c r="J202" s="39" t="str">
        <f t="array" ref="J202">IF(OR($A200="",J$5=""),"",IFNA(INDEX(DATA_LOG!$C:$C,MATCH(1,(DATA_LOG!$A:$A=$A200)*(TEXT(DATA_LOG!$B:$B,"yyyy-MM-dd")=TEXT(DATE($P$3,MONTH(1&amp;$N$3),VALUE(LEFT(J$5,2))),"yyyy-MM-dd")),0)),""))</f>
        <v/>
      </c>
      <c r="K202" s="39" t="str">
        <f t="array" ref="K202">IF(OR($A200="",K$5=""),"",IFNA(INDEX(DATA_LOG!$C:$C,MATCH(1,(DATA_LOG!$A:$A=$A200)*(TEXT(DATA_LOG!$B:$B,"yyyy-MM-dd")=TEXT(DATE($P$3,MONTH(1&amp;$N$3),VALUE(LEFT(K$5,2))),"yyyy-MM-dd")),0)),""))</f>
        <v/>
      </c>
      <c r="L202" s="39" t="str">
        <f t="array" ref="L202">IF(OR($A200="",L$5=""),"",IFNA(INDEX(DATA_LOG!$C:$C,MATCH(1,(DATA_LOG!$A:$A=$A200)*(TEXT(DATA_LOG!$B:$B,"yyyy-MM-dd")=TEXT(DATE($P$3,MONTH(1&amp;$N$3),VALUE(LEFT(L$5,2))),"yyyy-MM-dd")),0)),""))</f>
        <v/>
      </c>
      <c r="M202" s="39" t="str">
        <f t="array" ref="M202">IF(OR($A200="",M$5=""),"",IFNA(INDEX(DATA_LOG!$C:$C,MATCH(1,(DATA_LOG!$A:$A=$A200)*(TEXT(DATA_LOG!$B:$B,"yyyy-MM-dd")=TEXT(DATE($P$3,MONTH(1&amp;$N$3),VALUE(LEFT(M$5,2))),"yyyy-MM-dd")),0)),""))</f>
        <v/>
      </c>
      <c r="N202" s="39" t="str">
        <f t="array" ref="N202">IF(OR($A200="",N$5=""),"",IFNA(INDEX(DATA_LOG!$C:$C,MATCH(1,(DATA_LOG!$A:$A=$A200)*(TEXT(DATA_LOG!$B:$B,"yyyy-MM-dd")=TEXT(DATE($P$3,MONTH(1&amp;$N$3),VALUE(LEFT(N$5,2))),"yyyy-MM-dd")),0)),""))</f>
        <v/>
      </c>
      <c r="O202" s="39" t="str">
        <f t="array" ref="O202">IF(OR($A200="",O$5=""),"",IFNA(INDEX(DATA_LOG!$C:$C,MATCH(1,(DATA_LOG!$A:$A=$A200)*(TEXT(DATA_LOG!$B:$B,"yyyy-MM-dd")=TEXT(DATE($P$3,MONTH(1&amp;$N$3),VALUE(LEFT(O$5,2))),"yyyy-MM-dd")),0)),""))</f>
        <v/>
      </c>
      <c r="P202" s="39" t="str">
        <f t="array" ref="P202">IF(OR($A200="",P$5=""),"",IFNA(INDEX(DATA_LOG!$C:$C,MATCH(1,(DATA_LOG!$A:$A=$A200)*(TEXT(DATA_LOG!$B:$B,"yyyy-MM-dd")=TEXT(DATE($P$3,MONTH(1&amp;$N$3),VALUE(LEFT(P$5,2))),"yyyy-MM-dd")),0)),""))</f>
        <v/>
      </c>
      <c r="Q202" s="39" t="str">
        <f t="array" ref="Q202">IF(OR($A200="",Q$5=""),"",IFNA(INDEX(DATA_LOG!$C:$C,MATCH(1,(DATA_LOG!$A:$A=$A200)*(TEXT(DATA_LOG!$B:$B,"yyyy-MM-dd")=TEXT(DATE($P$3,MONTH(1&amp;$N$3),VALUE(LEFT(Q$5,2))),"yyyy-MM-dd")),0)),""))</f>
        <v/>
      </c>
      <c r="R202" s="39" t="str">
        <f t="array" ref="R202">IF(OR($A200="",R$5=""),"",IFNA(INDEX(DATA_LOG!$C:$C,MATCH(1,(DATA_LOG!$A:$A=$A200)*(TEXT(DATA_LOG!$B:$B,"yyyy-MM-dd")=TEXT(DATE($P$3,MONTH(1&amp;$N$3),VALUE(LEFT(R$5,2))),"yyyy-MM-dd")),0)),""))</f>
        <v/>
      </c>
      <c r="S202" s="39" t="str">
        <f t="array" ref="S202">IF(OR($A200="",S$5=""),"",IFNA(INDEX(DATA_LOG!$C:$C,MATCH(1,(DATA_LOG!$A:$A=$A200)*(TEXT(DATA_LOG!$B:$B,"yyyy-MM-dd")=TEXT(DATE($P$3,MONTH(1&amp;$N$3),VALUE(LEFT(S$5,2))),"yyyy-MM-dd")),0)),""))</f>
        <v/>
      </c>
      <c r="T202" s="39" t="str">
        <f t="array" ref="T202">IF(OR($A200="",T$5=""),"",IFNA(INDEX(DATA_LOG!$C:$C,MATCH(1,(DATA_LOG!$A:$A=$A200)*(TEXT(DATA_LOG!$B:$B,"yyyy-MM-dd")=TEXT(DATE($P$3,MONTH(1&amp;$N$3),VALUE(LEFT(T$5,2))),"yyyy-MM-dd")),0)),""))</f>
        <v/>
      </c>
      <c r="U202" s="39" t="str">
        <f t="array" ref="U202">IF(OR($A200="",U$5=""),"",IFNA(INDEX(DATA_LOG!$C:$C,MATCH(1,(DATA_LOG!$A:$A=$A200)*(TEXT(DATA_LOG!$B:$B,"yyyy-MM-dd")=TEXT(DATE($P$3,MONTH(1&amp;$N$3),VALUE(LEFT(U$5,2))),"yyyy-MM-dd")),0)),""))</f>
        <v/>
      </c>
      <c r="V202" s="39" t="str">
        <f t="array" ref="V202">IF(OR($A200="",V$5=""),"",IFNA(INDEX(DATA_LOG!$C:$C,MATCH(1,(DATA_LOG!$A:$A=$A200)*(TEXT(DATA_LOG!$B:$B,"yyyy-MM-dd")=TEXT(DATE($P$3,MONTH(1&amp;$N$3),VALUE(LEFT(V$5,2))),"yyyy-MM-dd")),0)),""))</f>
        <v/>
      </c>
      <c r="W202" s="39" t="str">
        <f t="array" ref="W202">IF(OR($A200="",W$5=""),"",IFNA(INDEX(DATA_LOG!$C:$C,MATCH(1,(DATA_LOG!$A:$A=$A200)*(TEXT(DATA_LOG!$B:$B,"yyyy-MM-dd")=TEXT(DATE($P$3,MONTH(1&amp;$N$3),VALUE(LEFT(W$5,2))),"yyyy-MM-dd")),0)),""))</f>
        <v/>
      </c>
      <c r="X202" s="39" t="str">
        <f t="array" ref="X202">IF(OR($A200="",X$5=""),"",IFNA(INDEX(DATA_LOG!$C:$C,MATCH(1,(DATA_LOG!$A:$A=$A200)*(TEXT(DATA_LOG!$B:$B,"yyyy-MM-dd")=TEXT(DATE($P$3,MONTH(1&amp;$N$3),VALUE(LEFT(X$5,2))),"yyyy-MM-dd")),0)),""))</f>
        <v/>
      </c>
      <c r="Y202" s="39" t="str">
        <f t="array" ref="Y202">IF(OR($A200="",Y$5=""),"",IFNA(INDEX(DATA_LOG!$C:$C,MATCH(1,(DATA_LOG!$A:$A=$A200)*(TEXT(DATA_LOG!$B:$B,"yyyy-MM-dd")=TEXT(DATE($P$3,MONTH(1&amp;$N$3),VALUE(LEFT(Y$5,2))),"yyyy-MM-dd")),0)),""))</f>
        <v/>
      </c>
      <c r="Z202" s="39" t="str">
        <f t="array" ref="Z202">IF(OR($A200="",Z$5=""),"",IFNA(INDEX(DATA_LOG!$C:$C,MATCH(1,(DATA_LOG!$A:$A=$A200)*(TEXT(DATA_LOG!$B:$B,"yyyy-MM-dd")=TEXT(DATE($P$3,MONTH(1&amp;$N$3),VALUE(LEFT(Z$5,2))),"yyyy-MM-dd")),0)),""))</f>
        <v/>
      </c>
      <c r="AA202" s="39" t="str">
        <f t="array" ref="AA202">IF(OR($A200="",AA$5=""),"",IFNA(INDEX(DATA_LOG!$C:$C,MATCH(1,(DATA_LOG!$A:$A=$A200)*(TEXT(DATA_LOG!$B:$B,"yyyy-MM-dd")=TEXT(DATE($P$3,MONTH(1&amp;$N$3),VALUE(LEFT(AA$5,2))),"yyyy-MM-dd")),0)),""))</f>
        <v/>
      </c>
      <c r="AB202" s="39" t="str">
        <f t="array" ref="AB202">IF(OR($A200="",AB$5=""),"",IFNA(INDEX(DATA_LOG!$C:$C,MATCH(1,(DATA_LOG!$A:$A=$A200)*(TEXT(DATA_LOG!$B:$B,"yyyy-MM-dd")=TEXT(DATE($P$3,MONTH(1&amp;$N$3),VALUE(LEFT(AB$5,2))),"yyyy-MM-dd")),0)),""))</f>
        <v/>
      </c>
      <c r="AC202" s="39" t="str">
        <f t="array" ref="AC202">IF(OR($A200="",AC$5=""),"",IFNA(INDEX(DATA_LOG!$C:$C,MATCH(1,(DATA_LOG!$A:$A=$A200)*(TEXT(DATA_LOG!$B:$B,"yyyy-MM-dd")=TEXT(DATE($P$3,MONTH(1&amp;$N$3),VALUE(LEFT(AC$5,2))),"yyyy-MM-dd")),0)),""))</f>
        <v/>
      </c>
      <c r="AD202" s="39" t="str">
        <f t="array" ref="AD202">IF(OR($A200="",AD$5=""),"",IFNA(INDEX(DATA_LOG!$C:$C,MATCH(1,(DATA_LOG!$A:$A=$A200)*(TEXT(DATA_LOG!$B:$B,"yyyy-MM-dd")=TEXT(DATE($P$3,MONTH(1&amp;$N$3),VALUE(LEFT(AD$5,2))),"yyyy-MM-dd")),0)),""))</f>
        <v/>
      </c>
      <c r="AE202" s="39" t="str">
        <f t="array" ref="AE202">IF(OR($A200="",AE$5=""),"",IFNA(INDEX(DATA_LOG!$C:$C,MATCH(1,(DATA_LOG!$A:$A=$A200)*(TEXT(DATA_LOG!$B:$B,"yyyy-MM-dd")=TEXT(DATE($P$3,MONTH(1&amp;$N$3),VALUE(LEFT(AE$5,2))),"yyyy-MM-dd")),0)),""))</f>
        <v/>
      </c>
      <c r="AF202" s="39" t="str">
        <f t="array" ref="AF202">IF(OR($A200="",AF$5=""),"",IFNA(INDEX(DATA_LOG!$C:$C,MATCH(1,(DATA_LOG!$A:$A=$A200)*(TEXT(DATA_LOG!$B:$B,"yyyy-MM-dd")=TEXT(DATE($P$3,MONTH(1&amp;$N$3),VALUE(LEFT(AF$5,2))),"yyyy-MM-dd")),0)),""))</f>
        <v/>
      </c>
    </row>
    <row r="203">
      <c r="A203" s="37" t="str">
        <f>IF($A200="", "", "OUT")</f>
        <v/>
      </c>
      <c r="B203" s="39" t="str">
        <f t="array" ref="B203">IF(OR($A200="",B$5=""),"",IFNA(INDEX(DATA_LOG!$D:$D,MATCH(1,(DATA_LOG!$A:$A=$A200)*(TEXT(DATA_LOG!$B:$B,"yyyy-MM-dd")=TEXT(DATE($P$3,MONTH(1&amp;$N$3),VALUE(LEFT(B$5,2))),"yyyy-MM-dd")),0)),""))</f>
        <v/>
      </c>
      <c r="C203" s="39" t="str">
        <f t="array" ref="C203">IF(OR($A200="",C$5=""),"",IFNA(INDEX(DATA_LOG!$D:$D,MATCH(1,(DATA_LOG!$A:$A=$A200)*(TEXT(DATA_LOG!$B:$B,"yyyy-MM-dd")=TEXT(DATE($P$3,MONTH(1&amp;$N$3),VALUE(LEFT(C$5,2))),"yyyy-MM-dd")),0)),""))</f>
        <v/>
      </c>
      <c r="D203" s="39" t="str">
        <f t="array" ref="D203">IF(OR($A200="",D$5=""),"",IFNA(INDEX(DATA_LOG!$D:$D,MATCH(1,(DATA_LOG!$A:$A=$A200)*(TEXT(DATA_LOG!$B:$B,"yyyy-MM-dd")=TEXT(DATE($P$3,MONTH(1&amp;$N$3),VALUE(LEFT(D$5,2))),"yyyy-MM-dd")),0)),""))</f>
        <v/>
      </c>
      <c r="E203" s="39" t="str">
        <f t="array" ref="E203">IF(OR($A200="",E$5=""),"",IFNA(INDEX(DATA_LOG!$D:$D,MATCH(1,(DATA_LOG!$A:$A=$A200)*(TEXT(DATA_LOG!$B:$B,"yyyy-MM-dd")=TEXT(DATE($P$3,MONTH(1&amp;$N$3),VALUE(LEFT(E$5,2))),"yyyy-MM-dd")),0)),""))</f>
        <v/>
      </c>
      <c r="F203" s="39" t="str">
        <f t="array" ref="F203">IF(OR($A200="",F$5=""),"",IFNA(INDEX(DATA_LOG!$D:$D,MATCH(1,(DATA_LOG!$A:$A=$A200)*(TEXT(DATA_LOG!$B:$B,"yyyy-MM-dd")=TEXT(DATE($P$3,MONTH(1&amp;$N$3),VALUE(LEFT(F$5,2))),"yyyy-MM-dd")),0)),""))</f>
        <v/>
      </c>
      <c r="G203" s="39" t="str">
        <f t="array" ref="G203">IF(OR($A200="",G$5=""),"",IFNA(INDEX(DATA_LOG!$D:$D,MATCH(1,(DATA_LOG!$A:$A=$A200)*(TEXT(DATA_LOG!$B:$B,"yyyy-MM-dd")=TEXT(DATE($P$3,MONTH(1&amp;$N$3),VALUE(LEFT(G$5,2))),"yyyy-MM-dd")),0)),""))</f>
        <v/>
      </c>
      <c r="H203" s="39" t="str">
        <f t="array" ref="H203">IF(OR($A200="",H$5=""),"",IFNA(INDEX(DATA_LOG!$D:$D,MATCH(1,(DATA_LOG!$A:$A=$A200)*(TEXT(DATA_LOG!$B:$B,"yyyy-MM-dd")=TEXT(DATE($P$3,MONTH(1&amp;$N$3),VALUE(LEFT(H$5,2))),"yyyy-MM-dd")),0)),""))</f>
        <v/>
      </c>
      <c r="I203" s="39" t="str">
        <f t="array" ref="I203">IF(OR($A200="",I$5=""),"",IFNA(INDEX(DATA_LOG!$D:$D,MATCH(1,(DATA_LOG!$A:$A=$A200)*(TEXT(DATA_LOG!$B:$B,"yyyy-MM-dd")=TEXT(DATE($P$3,MONTH(1&amp;$N$3),VALUE(LEFT(I$5,2))),"yyyy-MM-dd")),0)),""))</f>
        <v/>
      </c>
      <c r="J203" s="39" t="str">
        <f t="array" ref="J203">IF(OR($A200="",J$5=""),"",IFNA(INDEX(DATA_LOG!$D:$D,MATCH(1,(DATA_LOG!$A:$A=$A200)*(TEXT(DATA_LOG!$B:$B,"yyyy-MM-dd")=TEXT(DATE($P$3,MONTH(1&amp;$N$3),VALUE(LEFT(J$5,2))),"yyyy-MM-dd")),0)),""))</f>
        <v/>
      </c>
      <c r="K203" s="39" t="str">
        <f t="array" ref="K203">IF(OR($A200="",K$5=""),"",IFNA(INDEX(DATA_LOG!$D:$D,MATCH(1,(DATA_LOG!$A:$A=$A200)*(TEXT(DATA_LOG!$B:$B,"yyyy-MM-dd")=TEXT(DATE($P$3,MONTH(1&amp;$N$3),VALUE(LEFT(K$5,2))),"yyyy-MM-dd")),0)),""))</f>
        <v/>
      </c>
      <c r="L203" s="39" t="str">
        <f t="array" ref="L203">IF(OR($A200="",L$5=""),"",IFNA(INDEX(DATA_LOG!$D:$D,MATCH(1,(DATA_LOG!$A:$A=$A200)*(TEXT(DATA_LOG!$B:$B,"yyyy-MM-dd")=TEXT(DATE($P$3,MONTH(1&amp;$N$3),VALUE(LEFT(L$5,2))),"yyyy-MM-dd")),0)),""))</f>
        <v/>
      </c>
      <c r="M203" s="39" t="str">
        <f t="array" ref="M203">IF(OR($A200="",M$5=""),"",IFNA(INDEX(DATA_LOG!$D:$D,MATCH(1,(DATA_LOG!$A:$A=$A200)*(TEXT(DATA_LOG!$B:$B,"yyyy-MM-dd")=TEXT(DATE($P$3,MONTH(1&amp;$N$3),VALUE(LEFT(M$5,2))),"yyyy-MM-dd")),0)),""))</f>
        <v/>
      </c>
      <c r="N203" s="39" t="str">
        <f t="array" ref="N203">IF(OR($A200="",N$5=""),"",IFNA(INDEX(DATA_LOG!$D:$D,MATCH(1,(DATA_LOG!$A:$A=$A200)*(TEXT(DATA_LOG!$B:$B,"yyyy-MM-dd")=TEXT(DATE($P$3,MONTH(1&amp;$N$3),VALUE(LEFT(N$5,2))),"yyyy-MM-dd")),0)),""))</f>
        <v/>
      </c>
      <c r="O203" s="39" t="str">
        <f t="array" ref="O203">IF(OR($A200="",O$5=""),"",IFNA(INDEX(DATA_LOG!$D:$D,MATCH(1,(DATA_LOG!$A:$A=$A200)*(TEXT(DATA_LOG!$B:$B,"yyyy-MM-dd")=TEXT(DATE($P$3,MONTH(1&amp;$N$3),VALUE(LEFT(O$5,2))),"yyyy-MM-dd")),0)),""))</f>
        <v/>
      </c>
      <c r="P203" s="39" t="str">
        <f t="array" ref="P203">IF(OR($A200="",P$5=""),"",IFNA(INDEX(DATA_LOG!$D:$D,MATCH(1,(DATA_LOG!$A:$A=$A200)*(TEXT(DATA_LOG!$B:$B,"yyyy-MM-dd")=TEXT(DATE($P$3,MONTH(1&amp;$N$3),VALUE(LEFT(P$5,2))),"yyyy-MM-dd")),0)),""))</f>
        <v/>
      </c>
      <c r="Q203" s="39" t="str">
        <f t="array" ref="Q203">IF(OR($A200="",Q$5=""),"",IFNA(INDEX(DATA_LOG!$D:$D,MATCH(1,(DATA_LOG!$A:$A=$A200)*(TEXT(DATA_LOG!$B:$B,"yyyy-MM-dd")=TEXT(DATE($P$3,MONTH(1&amp;$N$3),VALUE(LEFT(Q$5,2))),"yyyy-MM-dd")),0)),""))</f>
        <v/>
      </c>
      <c r="R203" s="39" t="str">
        <f t="array" ref="R203">IF(OR($A200="",R$5=""),"",IFNA(INDEX(DATA_LOG!$D:$D,MATCH(1,(DATA_LOG!$A:$A=$A200)*(TEXT(DATA_LOG!$B:$B,"yyyy-MM-dd")=TEXT(DATE($P$3,MONTH(1&amp;$N$3),VALUE(LEFT(R$5,2))),"yyyy-MM-dd")),0)),""))</f>
        <v/>
      </c>
      <c r="S203" s="39" t="str">
        <f t="array" ref="S203">IF(OR($A200="",S$5=""),"",IFNA(INDEX(DATA_LOG!$D:$D,MATCH(1,(DATA_LOG!$A:$A=$A200)*(TEXT(DATA_LOG!$B:$B,"yyyy-MM-dd")=TEXT(DATE($P$3,MONTH(1&amp;$N$3),VALUE(LEFT(S$5,2))),"yyyy-MM-dd")),0)),""))</f>
        <v/>
      </c>
      <c r="T203" s="39" t="str">
        <f t="array" ref="T203">IF(OR($A200="",T$5=""),"",IFNA(INDEX(DATA_LOG!$D:$D,MATCH(1,(DATA_LOG!$A:$A=$A200)*(TEXT(DATA_LOG!$B:$B,"yyyy-MM-dd")=TEXT(DATE($P$3,MONTH(1&amp;$N$3),VALUE(LEFT(T$5,2))),"yyyy-MM-dd")),0)),""))</f>
        <v/>
      </c>
      <c r="U203" s="39" t="str">
        <f t="array" ref="U203">IF(OR($A200="",U$5=""),"",IFNA(INDEX(DATA_LOG!$D:$D,MATCH(1,(DATA_LOG!$A:$A=$A200)*(TEXT(DATA_LOG!$B:$B,"yyyy-MM-dd")=TEXT(DATE($P$3,MONTH(1&amp;$N$3),VALUE(LEFT(U$5,2))),"yyyy-MM-dd")),0)),""))</f>
        <v/>
      </c>
      <c r="V203" s="39" t="str">
        <f t="array" ref="V203">IF(OR($A200="",V$5=""),"",IFNA(INDEX(DATA_LOG!$D:$D,MATCH(1,(DATA_LOG!$A:$A=$A200)*(TEXT(DATA_LOG!$B:$B,"yyyy-MM-dd")=TEXT(DATE($P$3,MONTH(1&amp;$N$3),VALUE(LEFT(V$5,2))),"yyyy-MM-dd")),0)),""))</f>
        <v/>
      </c>
      <c r="W203" s="39" t="str">
        <f t="array" ref="W203">IF(OR($A200="",W$5=""),"",IFNA(INDEX(DATA_LOG!$D:$D,MATCH(1,(DATA_LOG!$A:$A=$A200)*(TEXT(DATA_LOG!$B:$B,"yyyy-MM-dd")=TEXT(DATE($P$3,MONTH(1&amp;$N$3),VALUE(LEFT(W$5,2))),"yyyy-MM-dd")),0)),""))</f>
        <v/>
      </c>
      <c r="X203" s="39" t="str">
        <f t="array" ref="X203">IF(OR($A200="",X$5=""),"",IFNA(INDEX(DATA_LOG!$D:$D,MATCH(1,(DATA_LOG!$A:$A=$A200)*(TEXT(DATA_LOG!$B:$B,"yyyy-MM-dd")=TEXT(DATE($P$3,MONTH(1&amp;$N$3),VALUE(LEFT(X$5,2))),"yyyy-MM-dd")),0)),""))</f>
        <v/>
      </c>
      <c r="Y203" s="39" t="str">
        <f t="array" ref="Y203">IF(OR($A200="",Y$5=""),"",IFNA(INDEX(DATA_LOG!$D:$D,MATCH(1,(DATA_LOG!$A:$A=$A200)*(TEXT(DATA_LOG!$B:$B,"yyyy-MM-dd")=TEXT(DATE($P$3,MONTH(1&amp;$N$3),VALUE(LEFT(Y$5,2))),"yyyy-MM-dd")),0)),""))</f>
        <v/>
      </c>
      <c r="Z203" s="39" t="str">
        <f t="array" ref="Z203">IF(OR($A200="",Z$5=""),"",IFNA(INDEX(DATA_LOG!$D:$D,MATCH(1,(DATA_LOG!$A:$A=$A200)*(TEXT(DATA_LOG!$B:$B,"yyyy-MM-dd")=TEXT(DATE($P$3,MONTH(1&amp;$N$3),VALUE(LEFT(Z$5,2))),"yyyy-MM-dd")),0)),""))</f>
        <v/>
      </c>
      <c r="AA203" s="39" t="str">
        <f t="array" ref="AA203">IF(OR($A200="",AA$5=""),"",IFNA(INDEX(DATA_LOG!$D:$D,MATCH(1,(DATA_LOG!$A:$A=$A200)*(TEXT(DATA_LOG!$B:$B,"yyyy-MM-dd")=TEXT(DATE($P$3,MONTH(1&amp;$N$3),VALUE(LEFT(AA$5,2))),"yyyy-MM-dd")),0)),""))</f>
        <v/>
      </c>
      <c r="AB203" s="39" t="str">
        <f t="array" ref="AB203">IF(OR($A200="",AB$5=""),"",IFNA(INDEX(DATA_LOG!$D:$D,MATCH(1,(DATA_LOG!$A:$A=$A200)*(TEXT(DATA_LOG!$B:$B,"yyyy-MM-dd")=TEXT(DATE($P$3,MONTH(1&amp;$N$3),VALUE(LEFT(AB$5,2))),"yyyy-MM-dd")),0)),""))</f>
        <v/>
      </c>
      <c r="AC203" s="39" t="str">
        <f t="array" ref="AC203">IF(OR($A200="",AC$5=""),"",IFNA(INDEX(DATA_LOG!$D:$D,MATCH(1,(DATA_LOG!$A:$A=$A200)*(TEXT(DATA_LOG!$B:$B,"yyyy-MM-dd")=TEXT(DATE($P$3,MONTH(1&amp;$N$3),VALUE(LEFT(AC$5,2))),"yyyy-MM-dd")),0)),""))</f>
        <v/>
      </c>
      <c r="AD203" s="39" t="str">
        <f t="array" ref="AD203">IF(OR($A200="",AD$5=""),"",IFNA(INDEX(DATA_LOG!$D:$D,MATCH(1,(DATA_LOG!$A:$A=$A200)*(TEXT(DATA_LOG!$B:$B,"yyyy-MM-dd")=TEXT(DATE($P$3,MONTH(1&amp;$N$3),VALUE(LEFT(AD$5,2))),"yyyy-MM-dd")),0)),""))</f>
        <v/>
      </c>
      <c r="AE203" s="39" t="str">
        <f t="array" ref="AE203">IF(OR($A200="",AE$5=""),"",IFNA(INDEX(DATA_LOG!$D:$D,MATCH(1,(DATA_LOG!$A:$A=$A200)*(TEXT(DATA_LOG!$B:$B,"yyyy-MM-dd")=TEXT(DATE($P$3,MONTH(1&amp;$N$3),VALUE(LEFT(AE$5,2))),"yyyy-MM-dd")),0)),""))</f>
        <v/>
      </c>
      <c r="AF203" s="39" t="str">
        <f t="array" ref="AF203">IF(OR($A200="",AF$5=""),"",IFNA(INDEX(DATA_LOG!$D:$D,MATCH(1,(DATA_LOG!$A:$A=$A200)*(TEXT(DATA_LOG!$B:$B,"yyyy-MM-dd")=TEXT(DATE($P$3,MONTH(1&amp;$N$3),VALUE(LEFT(AF$5,2))),"yyyy-MM-dd")),0)),""))</f>
        <v/>
      </c>
    </row>
    <row r="204">
      <c r="A204" s="40" t="str">
        <f>IF($A200="", "", "TOTAL")</f>
        <v/>
      </c>
      <c r="B204" s="41" t="str">
        <f t="shared" ref="B204:AF204" si="29">IF(AND(B202&lt;&gt;"",B203&lt;&gt;""),TEXT(MOD(B203-B202,1),"hh:mm"),"")</f>
        <v/>
      </c>
      <c r="C204" s="34" t="str">
        <f t="shared" si="29"/>
        <v/>
      </c>
      <c r="D204" s="34" t="str">
        <f t="shared" si="29"/>
        <v/>
      </c>
      <c r="E204" s="34" t="str">
        <f t="shared" si="29"/>
        <v/>
      </c>
      <c r="F204" s="34" t="str">
        <f t="shared" si="29"/>
        <v/>
      </c>
      <c r="G204" s="34" t="str">
        <f t="shared" si="29"/>
        <v/>
      </c>
      <c r="H204" s="34" t="str">
        <f t="shared" si="29"/>
        <v/>
      </c>
      <c r="I204" s="34" t="str">
        <f t="shared" si="29"/>
        <v/>
      </c>
      <c r="J204" s="34" t="str">
        <f t="shared" si="29"/>
        <v/>
      </c>
      <c r="K204" s="34" t="str">
        <f t="shared" si="29"/>
        <v/>
      </c>
      <c r="L204" s="34" t="str">
        <f t="shared" si="29"/>
        <v/>
      </c>
      <c r="M204" s="34" t="str">
        <f t="shared" si="29"/>
        <v/>
      </c>
      <c r="N204" s="34" t="str">
        <f t="shared" si="29"/>
        <v/>
      </c>
      <c r="O204" s="34" t="str">
        <f t="shared" si="29"/>
        <v/>
      </c>
      <c r="P204" s="34" t="str">
        <f t="shared" si="29"/>
        <v/>
      </c>
      <c r="Q204" s="34" t="str">
        <f t="shared" si="29"/>
        <v/>
      </c>
      <c r="R204" s="34" t="str">
        <f t="shared" si="29"/>
        <v/>
      </c>
      <c r="S204" s="34" t="str">
        <f t="shared" si="29"/>
        <v/>
      </c>
      <c r="T204" s="34" t="str">
        <f t="shared" si="29"/>
        <v/>
      </c>
      <c r="U204" s="34" t="str">
        <f t="shared" si="29"/>
        <v/>
      </c>
      <c r="V204" s="34" t="str">
        <f t="shared" si="29"/>
        <v/>
      </c>
      <c r="W204" s="34" t="str">
        <f t="shared" si="29"/>
        <v/>
      </c>
      <c r="X204" s="34" t="str">
        <f t="shared" si="29"/>
        <v/>
      </c>
      <c r="Y204" s="34" t="str">
        <f t="shared" si="29"/>
        <v/>
      </c>
      <c r="Z204" s="34" t="str">
        <f t="shared" si="29"/>
        <v/>
      </c>
      <c r="AA204" s="34" t="str">
        <f t="shared" si="29"/>
        <v/>
      </c>
      <c r="AB204" s="34" t="str">
        <f t="shared" si="29"/>
        <v/>
      </c>
      <c r="AC204" s="34" t="str">
        <f t="shared" si="29"/>
        <v/>
      </c>
      <c r="AD204" s="34" t="str">
        <f t="shared" si="29"/>
        <v/>
      </c>
      <c r="AE204" s="34" t="str">
        <f t="shared" si="29"/>
        <v/>
      </c>
      <c r="AF204" s="34" t="str">
        <f t="shared" si="29"/>
        <v/>
      </c>
    </row>
    <row r="205">
      <c r="A205" s="42" t="str">
        <f>IF($A200="", "", "STATUS")</f>
        <v/>
      </c>
      <c r="B205" s="43" t="str">
        <f>IFERROR(__xludf.DUMMYFUNCTION("IF($A200="""","""",IF(B$5="""","""",LET(logStatus,IFNA(INDEX(DATA_LOG!$E:$E,MATCH(1,(DATA_LOG!$A:$A=$A200)*(TEXT(DATA_LOG!$B:$B,""yyyy-MM-dd"")=TEXT(DATE($P$3,MONTH(1&amp;$N$3),VALUE(LEFT(B$5,2))),""yyyy-MM-dd"")),0)),""""),IF(logStatus&lt;&gt;"""",UPPER(logStatus)"&amp;",IF(B204&lt;&gt;"""",IF(VALUE(B204)&gt;=9/24,""FD"",""HD""),IF(REGEXMATCH(B$5,""SUN""),""WO"",""-""))))))"),"")</f>
        <v/>
      </c>
      <c r="C205" s="43" t="str">
        <f>IFERROR(__xludf.DUMMYFUNCTION("IF($A200="""","""",IF(C$5="""","""",LET(logStatus,IFNA(INDEX(DATA_LOG!$E:$E,MATCH(1,(DATA_LOG!$A:$A=$A200)*(TEXT(DATA_LOG!$B:$B,""yyyy-MM-dd"")=TEXT(DATE($P$3,MONTH(1&amp;$N$3),VALUE(LEFT(C$5,2))),""yyyy-MM-dd"")),0)),""""),IF(logStatus&lt;&gt;"""",UPPER(logStatus)"&amp;",IF(C204&lt;&gt;"""",IF(VALUE(C204)&gt;=9/24,""FD"",""HD""),IF(REGEXMATCH(C$5,""SUN""),""WO"",""-""))))))"),"")</f>
        <v/>
      </c>
      <c r="D205" s="43" t="str">
        <f>IFERROR(__xludf.DUMMYFUNCTION("IF($A200="""","""",IF(D$5="""","""",LET(logStatus,IFNA(INDEX(DATA_LOG!$E:$E,MATCH(1,(DATA_LOG!$A:$A=$A200)*(TEXT(DATA_LOG!$B:$B,""yyyy-MM-dd"")=TEXT(DATE($P$3,MONTH(1&amp;$N$3),VALUE(LEFT(D$5,2))),""yyyy-MM-dd"")),0)),""""),IF(logStatus&lt;&gt;"""",UPPER(logStatus)"&amp;",IF(D204&lt;&gt;"""",IF(VALUE(D204)&gt;=9/24,""FD"",""HD""),IF(REGEXMATCH(D$5,""SUN""),""WO"",""-""))))))"),"")</f>
        <v/>
      </c>
      <c r="E205" s="43" t="str">
        <f>IFERROR(__xludf.DUMMYFUNCTION("IF($A200="""","""",IF(E$5="""","""",LET(logStatus,IFNA(INDEX(DATA_LOG!$E:$E,MATCH(1,(DATA_LOG!$A:$A=$A200)*(TEXT(DATA_LOG!$B:$B,""yyyy-MM-dd"")=TEXT(DATE($P$3,MONTH(1&amp;$N$3),VALUE(LEFT(E$5,2))),""yyyy-MM-dd"")),0)),""""),IF(logStatus&lt;&gt;"""",UPPER(logStatus)"&amp;",IF(E204&lt;&gt;"""",IF(VALUE(E204)&gt;=9/24,""FD"",""HD""),IF(REGEXMATCH(E$5,""SUN""),""WO"",""-""))))))"),"")</f>
        <v/>
      </c>
      <c r="F205" s="43" t="str">
        <f>IFERROR(__xludf.DUMMYFUNCTION("IF($A200="""","""",IF(F$5="""","""",LET(logStatus,IFNA(INDEX(DATA_LOG!$E:$E,MATCH(1,(DATA_LOG!$A:$A=$A200)*(TEXT(DATA_LOG!$B:$B,""yyyy-MM-dd"")=TEXT(DATE($P$3,MONTH(1&amp;$N$3),VALUE(LEFT(F$5,2))),""yyyy-MM-dd"")),0)),""""),IF(logStatus&lt;&gt;"""",UPPER(logStatus)"&amp;",IF(F204&lt;&gt;"""",IF(VALUE(F204)&gt;=9/24,""FD"",""HD""),IF(REGEXMATCH(F$5,""SUN""),""WO"",""-""))))))"),"")</f>
        <v/>
      </c>
      <c r="G205" s="43" t="str">
        <f>IFERROR(__xludf.DUMMYFUNCTION("IF($A200="""","""",IF(G$5="""","""",LET(logStatus,IFNA(INDEX(DATA_LOG!$E:$E,MATCH(1,(DATA_LOG!$A:$A=$A200)*(TEXT(DATA_LOG!$B:$B,""yyyy-MM-dd"")=TEXT(DATE($P$3,MONTH(1&amp;$N$3),VALUE(LEFT(G$5,2))),""yyyy-MM-dd"")),0)),""""),IF(logStatus&lt;&gt;"""",UPPER(logStatus)"&amp;",IF(G204&lt;&gt;"""",IF(VALUE(G204)&gt;=9/24,""FD"",""HD""),IF(REGEXMATCH(G$5,""SUN""),""WO"",""-""))))))"),"")</f>
        <v/>
      </c>
      <c r="H205" s="43" t="str">
        <f>IFERROR(__xludf.DUMMYFUNCTION("IF($A200="""","""",IF(H$5="""","""",LET(logStatus,IFNA(INDEX(DATA_LOG!$E:$E,MATCH(1,(DATA_LOG!$A:$A=$A200)*(TEXT(DATA_LOG!$B:$B,""yyyy-MM-dd"")=TEXT(DATE($P$3,MONTH(1&amp;$N$3),VALUE(LEFT(H$5,2))),""yyyy-MM-dd"")),0)),""""),IF(logStatus&lt;&gt;"""",UPPER(logStatus)"&amp;",IF(H204&lt;&gt;"""",IF(VALUE(H204)&gt;=9/24,""FD"",""HD""),IF(REGEXMATCH(H$5,""SUN""),""WO"",""-""))))))"),"")</f>
        <v/>
      </c>
      <c r="I205" s="43" t="str">
        <f>IFERROR(__xludf.DUMMYFUNCTION("IF($A200="""","""",IF(I$5="""","""",LET(logStatus,IFNA(INDEX(DATA_LOG!$E:$E,MATCH(1,(DATA_LOG!$A:$A=$A200)*(TEXT(DATA_LOG!$B:$B,""yyyy-MM-dd"")=TEXT(DATE($P$3,MONTH(1&amp;$N$3),VALUE(LEFT(I$5,2))),""yyyy-MM-dd"")),0)),""""),IF(logStatus&lt;&gt;"""",UPPER(logStatus)"&amp;",IF(I204&lt;&gt;"""",IF(VALUE(I204)&gt;=9/24,""FD"",""HD""),IF(REGEXMATCH(I$5,""SUN""),""WO"",""-""))))))"),"")</f>
        <v/>
      </c>
      <c r="J205" s="43" t="str">
        <f>IFERROR(__xludf.DUMMYFUNCTION("IF($A200="""","""",IF(J$5="""","""",LET(logStatus,IFNA(INDEX(DATA_LOG!$E:$E,MATCH(1,(DATA_LOG!$A:$A=$A200)*(TEXT(DATA_LOG!$B:$B,""yyyy-MM-dd"")=TEXT(DATE($P$3,MONTH(1&amp;$N$3),VALUE(LEFT(J$5,2))),""yyyy-MM-dd"")),0)),""""),IF(logStatus&lt;&gt;"""",UPPER(logStatus)"&amp;",IF(J204&lt;&gt;"""",IF(VALUE(J204)&gt;=9/24,""FD"",""HD""),IF(REGEXMATCH(J$5,""SUN""),""WO"",""-""))))))"),"")</f>
        <v/>
      </c>
      <c r="K205" s="43" t="str">
        <f>IFERROR(__xludf.DUMMYFUNCTION("IF($A200="""","""",IF(K$5="""","""",LET(logStatus,IFNA(INDEX(DATA_LOG!$E:$E,MATCH(1,(DATA_LOG!$A:$A=$A200)*(TEXT(DATA_LOG!$B:$B,""yyyy-MM-dd"")=TEXT(DATE($P$3,MONTH(1&amp;$N$3),VALUE(LEFT(K$5,2))),""yyyy-MM-dd"")),0)),""""),IF(logStatus&lt;&gt;"""",UPPER(logStatus)"&amp;",IF(K204&lt;&gt;"""",IF(VALUE(K204)&gt;=9/24,""FD"",""HD""),IF(REGEXMATCH(K$5,""SUN""),""WO"",""-""))))))"),"")</f>
        <v/>
      </c>
      <c r="L205" s="43" t="str">
        <f>IFERROR(__xludf.DUMMYFUNCTION("IF($A200="""","""",IF(L$5="""","""",LET(logStatus,IFNA(INDEX(DATA_LOG!$E:$E,MATCH(1,(DATA_LOG!$A:$A=$A200)*(TEXT(DATA_LOG!$B:$B,""yyyy-MM-dd"")=TEXT(DATE($P$3,MONTH(1&amp;$N$3),VALUE(LEFT(L$5,2))),""yyyy-MM-dd"")),0)),""""),IF(logStatus&lt;&gt;"""",UPPER(logStatus)"&amp;",IF(L204&lt;&gt;"""",IF(VALUE(L204)&gt;=9/24,""FD"",""HD""),IF(REGEXMATCH(L$5,""SUN""),""WO"",""-""))))))"),"")</f>
        <v/>
      </c>
      <c r="M205" s="43" t="str">
        <f>IFERROR(__xludf.DUMMYFUNCTION("IF($A200="""","""",IF(M$5="""","""",LET(logStatus,IFNA(INDEX(DATA_LOG!$E:$E,MATCH(1,(DATA_LOG!$A:$A=$A200)*(TEXT(DATA_LOG!$B:$B,""yyyy-MM-dd"")=TEXT(DATE($P$3,MONTH(1&amp;$N$3),VALUE(LEFT(M$5,2))),""yyyy-MM-dd"")),0)),""""),IF(logStatus&lt;&gt;"""",UPPER(logStatus)"&amp;",IF(M204&lt;&gt;"""",IF(VALUE(M204)&gt;=9/24,""FD"",""HD""),IF(REGEXMATCH(M$5,""SUN""),""WO"",""-""))))))"),"")</f>
        <v/>
      </c>
      <c r="N205" s="43" t="str">
        <f>IFERROR(__xludf.DUMMYFUNCTION("IF($A200="""","""",IF(N$5="""","""",LET(logStatus,IFNA(INDEX(DATA_LOG!$E:$E,MATCH(1,(DATA_LOG!$A:$A=$A200)*(TEXT(DATA_LOG!$B:$B,""yyyy-MM-dd"")=TEXT(DATE($P$3,MONTH(1&amp;$N$3),VALUE(LEFT(N$5,2))),""yyyy-MM-dd"")),0)),""""),IF(logStatus&lt;&gt;"""",UPPER(logStatus)"&amp;",IF(N204&lt;&gt;"""",IF(VALUE(N204)&gt;=9/24,""FD"",""HD""),IF(REGEXMATCH(N$5,""SUN""),""WO"",""-""))))))"),"")</f>
        <v/>
      </c>
      <c r="O205" s="43" t="str">
        <f>IFERROR(__xludf.DUMMYFUNCTION("IF($A200="""","""",IF(O$5="""","""",LET(logStatus,IFNA(INDEX(DATA_LOG!$E:$E,MATCH(1,(DATA_LOG!$A:$A=$A200)*(TEXT(DATA_LOG!$B:$B,""yyyy-MM-dd"")=TEXT(DATE($P$3,MONTH(1&amp;$N$3),VALUE(LEFT(O$5,2))),""yyyy-MM-dd"")),0)),""""),IF(logStatus&lt;&gt;"""",UPPER(logStatus)"&amp;",IF(O204&lt;&gt;"""",IF(VALUE(O204)&gt;=9/24,""FD"",""HD""),IF(REGEXMATCH(O$5,""SUN""),""WO"",""-""))))))"),"")</f>
        <v/>
      </c>
      <c r="P205" s="43" t="str">
        <f>IFERROR(__xludf.DUMMYFUNCTION("IF($A200="""","""",IF(P$5="""","""",LET(logStatus,IFNA(INDEX(DATA_LOG!$E:$E,MATCH(1,(DATA_LOG!$A:$A=$A200)*(TEXT(DATA_LOG!$B:$B,""yyyy-MM-dd"")=TEXT(DATE($P$3,MONTH(1&amp;$N$3),VALUE(LEFT(P$5,2))),""yyyy-MM-dd"")),0)),""""),IF(logStatus&lt;&gt;"""",UPPER(logStatus)"&amp;",IF(P204&lt;&gt;"""",IF(VALUE(P204)&gt;=9/24,""FD"",""HD""),IF(REGEXMATCH(P$5,""SUN""),""WO"",""-""))))))"),"")</f>
        <v/>
      </c>
      <c r="Q205" s="43" t="str">
        <f>IFERROR(__xludf.DUMMYFUNCTION("IF($A200="""","""",IF(Q$5="""","""",LET(logStatus,IFNA(INDEX(DATA_LOG!$E:$E,MATCH(1,(DATA_LOG!$A:$A=$A200)*(TEXT(DATA_LOG!$B:$B,""yyyy-MM-dd"")=TEXT(DATE($P$3,MONTH(1&amp;$N$3),VALUE(LEFT(Q$5,2))),""yyyy-MM-dd"")),0)),""""),IF(logStatus&lt;&gt;"""",UPPER(logStatus)"&amp;",IF(Q204&lt;&gt;"""",IF(VALUE(Q204)&gt;=9/24,""FD"",""HD""),IF(REGEXMATCH(Q$5,""SUN""),""WO"",""-""))))))"),"")</f>
        <v/>
      </c>
      <c r="R205" s="43" t="str">
        <f>IFERROR(__xludf.DUMMYFUNCTION("IF($A200="""","""",IF(R$5="""","""",LET(logStatus,IFNA(INDEX(DATA_LOG!$E:$E,MATCH(1,(DATA_LOG!$A:$A=$A200)*(TEXT(DATA_LOG!$B:$B,""yyyy-MM-dd"")=TEXT(DATE($P$3,MONTH(1&amp;$N$3),VALUE(LEFT(R$5,2))),""yyyy-MM-dd"")),0)),""""),IF(logStatus&lt;&gt;"""",UPPER(logStatus)"&amp;",IF(R204&lt;&gt;"""",IF(VALUE(R204)&gt;=9/24,""FD"",""HD""),IF(REGEXMATCH(R$5,""SUN""),""WO"",""-""))))))"),"")</f>
        <v/>
      </c>
      <c r="S205" s="43" t="str">
        <f>IFERROR(__xludf.DUMMYFUNCTION("IF($A200="""","""",IF(S$5="""","""",LET(logStatus,IFNA(INDEX(DATA_LOG!$E:$E,MATCH(1,(DATA_LOG!$A:$A=$A200)*(TEXT(DATA_LOG!$B:$B,""yyyy-MM-dd"")=TEXT(DATE($P$3,MONTH(1&amp;$N$3),VALUE(LEFT(S$5,2))),""yyyy-MM-dd"")),0)),""""),IF(logStatus&lt;&gt;"""",UPPER(logStatus)"&amp;",IF(S204&lt;&gt;"""",IF(VALUE(S204)&gt;=9/24,""FD"",""HD""),IF(REGEXMATCH(S$5,""SUN""),""WO"",""-""))))))"),"")</f>
        <v/>
      </c>
      <c r="T205" s="43" t="str">
        <f>IFERROR(__xludf.DUMMYFUNCTION("IF($A200="""","""",IF(T$5="""","""",LET(logStatus,IFNA(INDEX(DATA_LOG!$E:$E,MATCH(1,(DATA_LOG!$A:$A=$A200)*(TEXT(DATA_LOG!$B:$B,""yyyy-MM-dd"")=TEXT(DATE($P$3,MONTH(1&amp;$N$3),VALUE(LEFT(T$5,2))),""yyyy-MM-dd"")),0)),""""),IF(logStatus&lt;&gt;"""",UPPER(logStatus)"&amp;",IF(T204&lt;&gt;"""",IF(VALUE(T204)&gt;=9/24,""FD"",""HD""),IF(REGEXMATCH(T$5,""SUN""),""WO"",""-""))))))"),"")</f>
        <v/>
      </c>
      <c r="U205" s="43" t="str">
        <f>IFERROR(__xludf.DUMMYFUNCTION("IF($A200="""","""",IF(U$5="""","""",LET(logStatus,IFNA(INDEX(DATA_LOG!$E:$E,MATCH(1,(DATA_LOG!$A:$A=$A200)*(TEXT(DATA_LOG!$B:$B,""yyyy-MM-dd"")=TEXT(DATE($P$3,MONTH(1&amp;$N$3),VALUE(LEFT(U$5,2))),""yyyy-MM-dd"")),0)),""""),IF(logStatus&lt;&gt;"""",UPPER(logStatus)"&amp;",IF(U204&lt;&gt;"""",IF(VALUE(U204)&gt;=9/24,""FD"",""HD""),IF(REGEXMATCH(U$5,""SUN""),""WO"",""-""))))))"),"")</f>
        <v/>
      </c>
      <c r="V205" s="43" t="str">
        <f>IFERROR(__xludf.DUMMYFUNCTION("IF($A200="""","""",IF(V$5="""","""",LET(logStatus,IFNA(INDEX(DATA_LOG!$E:$E,MATCH(1,(DATA_LOG!$A:$A=$A200)*(TEXT(DATA_LOG!$B:$B,""yyyy-MM-dd"")=TEXT(DATE($P$3,MONTH(1&amp;$N$3),VALUE(LEFT(V$5,2))),""yyyy-MM-dd"")),0)),""""),IF(logStatus&lt;&gt;"""",UPPER(logStatus)"&amp;",IF(V204&lt;&gt;"""",IF(VALUE(V204)&gt;=9/24,""FD"",""HD""),IF(REGEXMATCH(V$5,""SUN""),""WO"",""-""))))))"),"")</f>
        <v/>
      </c>
      <c r="W205" s="43" t="str">
        <f>IFERROR(__xludf.DUMMYFUNCTION("IF($A200="""","""",IF(W$5="""","""",LET(logStatus,IFNA(INDEX(DATA_LOG!$E:$E,MATCH(1,(DATA_LOG!$A:$A=$A200)*(TEXT(DATA_LOG!$B:$B,""yyyy-MM-dd"")=TEXT(DATE($P$3,MONTH(1&amp;$N$3),VALUE(LEFT(W$5,2))),""yyyy-MM-dd"")),0)),""""),IF(logStatus&lt;&gt;"""",UPPER(logStatus)"&amp;",IF(W204&lt;&gt;"""",IF(VALUE(W204)&gt;=9/24,""FD"",""HD""),IF(REGEXMATCH(W$5,""SUN""),""WO"",""-""))))))"),"")</f>
        <v/>
      </c>
      <c r="X205" s="43" t="str">
        <f>IFERROR(__xludf.DUMMYFUNCTION("IF($A200="""","""",IF(X$5="""","""",LET(logStatus,IFNA(INDEX(DATA_LOG!$E:$E,MATCH(1,(DATA_LOG!$A:$A=$A200)*(TEXT(DATA_LOG!$B:$B,""yyyy-MM-dd"")=TEXT(DATE($P$3,MONTH(1&amp;$N$3),VALUE(LEFT(X$5,2))),""yyyy-MM-dd"")),0)),""""),IF(logStatus&lt;&gt;"""",UPPER(logStatus)"&amp;",IF(X204&lt;&gt;"""",IF(VALUE(X204)&gt;=9/24,""FD"",""HD""),IF(REGEXMATCH(X$5,""SUN""),""WO"",""-""))))))"),"")</f>
        <v/>
      </c>
      <c r="Y205" s="43" t="str">
        <f>IFERROR(__xludf.DUMMYFUNCTION("IF($A200="""","""",IF(Y$5="""","""",LET(logStatus,IFNA(INDEX(DATA_LOG!$E:$E,MATCH(1,(DATA_LOG!$A:$A=$A200)*(TEXT(DATA_LOG!$B:$B,""yyyy-MM-dd"")=TEXT(DATE($P$3,MONTH(1&amp;$N$3),VALUE(LEFT(Y$5,2))),""yyyy-MM-dd"")),0)),""""),IF(logStatus&lt;&gt;"""",UPPER(logStatus)"&amp;",IF(Y204&lt;&gt;"""",IF(VALUE(Y204)&gt;=9/24,""FD"",""HD""),IF(REGEXMATCH(Y$5,""SUN""),""WO"",""-""))))))"),"")</f>
        <v/>
      </c>
      <c r="Z205" s="43" t="str">
        <f>IFERROR(__xludf.DUMMYFUNCTION("IF($A200="""","""",IF(Z$5="""","""",LET(logStatus,IFNA(INDEX(DATA_LOG!$E:$E,MATCH(1,(DATA_LOG!$A:$A=$A200)*(TEXT(DATA_LOG!$B:$B,""yyyy-MM-dd"")=TEXT(DATE($P$3,MONTH(1&amp;$N$3),VALUE(LEFT(Z$5,2))),""yyyy-MM-dd"")),0)),""""),IF(logStatus&lt;&gt;"""",UPPER(logStatus)"&amp;",IF(Z204&lt;&gt;"""",IF(VALUE(Z204)&gt;=9/24,""FD"",""HD""),IF(REGEXMATCH(Z$5,""SUN""),""WO"",""-""))))))"),"")</f>
        <v/>
      </c>
      <c r="AA205" s="43" t="str">
        <f>IFERROR(__xludf.DUMMYFUNCTION("IF($A200="""","""",IF(AA$5="""","""",LET(logStatus,IFNA(INDEX(DATA_LOG!$E:$E,MATCH(1,(DATA_LOG!$A:$A=$A200)*(TEXT(DATA_LOG!$B:$B,""yyyy-MM-dd"")=TEXT(DATE($P$3,MONTH(1&amp;$N$3),VALUE(LEFT(AA$5,2))),""yyyy-MM-dd"")),0)),""""),IF(logStatus&lt;&gt;"""",UPPER(logStatu"&amp;"s),IF(AA204&lt;&gt;"""",IF(VALUE(AA204)&gt;=9/24,""FD"",""HD""),IF(REGEXMATCH(AA$5,""SUN""),""WO"",""-""))))))"),"")</f>
        <v/>
      </c>
      <c r="AB205" s="43" t="str">
        <f>IFERROR(__xludf.DUMMYFUNCTION("IF($A200="""","""",IF(AB$5="""","""",LET(logStatus,IFNA(INDEX(DATA_LOG!$E:$E,MATCH(1,(DATA_LOG!$A:$A=$A200)*(TEXT(DATA_LOG!$B:$B,""yyyy-MM-dd"")=TEXT(DATE($P$3,MONTH(1&amp;$N$3),VALUE(LEFT(AB$5,2))),""yyyy-MM-dd"")),0)),""""),IF(logStatus&lt;&gt;"""",UPPER(logStatu"&amp;"s),IF(AB204&lt;&gt;"""",IF(VALUE(AB204)&gt;=9/24,""FD"",""HD""),IF(REGEXMATCH(AB$5,""SUN""),""WO"",""-""))))))"),"")</f>
        <v/>
      </c>
      <c r="AC205" s="43" t="str">
        <f>IFERROR(__xludf.DUMMYFUNCTION("IF($A200="""","""",IF(AC$5="""","""",LET(logStatus,IFNA(INDEX(DATA_LOG!$E:$E,MATCH(1,(DATA_LOG!$A:$A=$A200)*(TEXT(DATA_LOG!$B:$B,""yyyy-MM-dd"")=TEXT(DATE($P$3,MONTH(1&amp;$N$3),VALUE(LEFT(AC$5,2))),""yyyy-MM-dd"")),0)),""""),IF(logStatus&lt;&gt;"""",UPPER(logStatu"&amp;"s),IF(AC204&lt;&gt;"""",IF(VALUE(AC204)&gt;=9/24,""FD"",""HD""),IF(REGEXMATCH(AC$5,""SUN""),""WO"",""-""))))))"),"")</f>
        <v/>
      </c>
      <c r="AD205" s="43" t="str">
        <f>IFERROR(__xludf.DUMMYFUNCTION("IF($A200="""","""",IF(AD$5="""","""",LET(logStatus,IFNA(INDEX(DATA_LOG!$E:$E,MATCH(1,(DATA_LOG!$A:$A=$A200)*(TEXT(DATA_LOG!$B:$B,""yyyy-MM-dd"")=TEXT(DATE($P$3,MONTH(1&amp;$N$3),VALUE(LEFT(AD$5,2))),""yyyy-MM-dd"")),0)),""""),IF(logStatus&lt;&gt;"""",UPPER(logStatu"&amp;"s),IF(AD204&lt;&gt;"""",IF(VALUE(AD204)&gt;=9/24,""FD"",""HD""),IF(REGEXMATCH(AD$5,""SUN""),""WO"",""-""))))))"),"")</f>
        <v/>
      </c>
      <c r="AE205" s="43" t="str">
        <f>IFERROR(__xludf.DUMMYFUNCTION("IF($A200="""","""",IF(AE$5="""","""",LET(logStatus,IFNA(INDEX(DATA_LOG!$E:$E,MATCH(1,(DATA_LOG!$A:$A=$A200)*(TEXT(DATA_LOG!$B:$B,""yyyy-MM-dd"")=TEXT(DATE($P$3,MONTH(1&amp;$N$3),VALUE(LEFT(AE$5,2))),""yyyy-MM-dd"")),0)),""""),IF(logStatus&lt;&gt;"""",UPPER(logStatu"&amp;"s),IF(AE204&lt;&gt;"""",IF(VALUE(AE204)&gt;=9/24,""FD"",""HD""),IF(REGEXMATCH(AE$5,""SUN""),""WO"",""-""))))))"),"")</f>
        <v/>
      </c>
      <c r="AF205" s="43" t="str">
        <f>IFERROR(__xludf.DUMMYFUNCTION("IF($A200="""","""",IF(AF$5="""","""",LET(logStatus,IFNA(INDEX(DATA_LOG!$E:$E,MATCH(1,(DATA_LOG!$A:$A=$A200)*(TEXT(DATA_LOG!$B:$B,""yyyy-MM-dd"")=TEXT(DATE($P$3,MONTH(1&amp;$N$3),VALUE(LEFT(AF$5,2))),""yyyy-MM-dd"")),0)),""""),IF(logStatus&lt;&gt;"""",UPPER(logStatu"&amp;"s),IF(AF204&lt;&gt;"""",IF(VALUE(AF204)&gt;=9/24,""FD"",""HD""),IF(REGEXMATCH(AF$5,""SUN""),""WO"",""-""))))))"),"")</f>
        <v/>
      </c>
    </row>
    <row r="206">
      <c r="A206" s="44"/>
    </row>
    <row r="207">
      <c r="A207" s="25" t="str">
        <f t="array" ref="A207">INDEX(EMPLOYEE_LIST!$A:$A,INT((ROW()-4)/7)+2)</f>
        <v/>
      </c>
      <c r="B207" s="26"/>
      <c r="C207" s="27"/>
      <c r="D207" s="28" t="str">
        <f>IF(A207="", "", IFERROR(VLOOKUP(A207, EMPLOYEE_LIST!$A:$H, 2, FALSE), ""))</f>
        <v/>
      </c>
      <c r="E207" s="26"/>
      <c r="F207" s="26"/>
      <c r="G207" s="27"/>
      <c r="H207" s="29" t="str">
        <f>IF(A207="", "", IFERROR(VLOOKUP(A207, EMPLOYEE_LIST!$A:$H, 3, FALSE), ""))</f>
        <v/>
      </c>
      <c r="I207" s="26"/>
      <c r="J207" s="26"/>
      <c r="K207" s="27"/>
      <c r="L207" s="29" t="str">
        <f>IF(A207="", "", IFERROR(VLOOKUP(A207, EMPLOYEE_LIST!$A:$H, 4, FALSE), ""))</f>
        <v/>
      </c>
      <c r="M207" s="26"/>
      <c r="N207" s="26"/>
      <c r="O207" s="27"/>
      <c r="P207" s="30" t="str">
        <f>IF($A207="", "", "Full Day: " &amp; COUNTIF(B212:AF212, "FD"))</f>
        <v/>
      </c>
      <c r="Q207" s="26"/>
      <c r="R207" s="27"/>
      <c r="S207" s="31" t="str">
        <f>IF($A207="", "", "HALF Day: " &amp; COUNTIF(B212:AF212, "HD"))</f>
        <v/>
      </c>
      <c r="T207" s="26"/>
      <c r="U207" s="27"/>
      <c r="V207" s="31" t="str">
        <f>IF($A207="", "", "ABSENT: " &amp; COUNTIF(B212:AF212, "A"))</f>
        <v/>
      </c>
      <c r="W207" s="26"/>
      <c r="X207" s="27"/>
      <c r="Y207" s="31" t="str">
        <f>IF($A207="", "", "WEEK OFF: " &amp; COUNTIF(B212:AF212, "WO"))</f>
        <v/>
      </c>
      <c r="Z207" s="26"/>
      <c r="AA207" s="27"/>
      <c r="AB207" s="31" t="str">
        <f>IF($A207="", "", "LEAVE: " &amp; COUNTIF(B212:AF212, "L"))</f>
        <v/>
      </c>
      <c r="AC207" s="27"/>
      <c r="AD207" s="31" t="str">
        <f>IF($A207="", "", "HOLIDAY: " &amp; COUNTIF(B212:AF212, "HL"))</f>
        <v/>
      </c>
      <c r="AE207" s="26"/>
      <c r="AF207" s="27"/>
    </row>
    <row r="208">
      <c r="A208" s="32" t="str">
        <f>IF($A207="", "", "DATE")</f>
        <v/>
      </c>
      <c r="B208" s="33" t="str">
        <f t="array" ref="B208">IF($A207="","",LET(mNum,MONTH(1&amp;$N$3),start,DATE($P$3,mNum,1),days,DAY(EOMONTH(start,0)),MAP(SEQUENCE(1,days,0),LAMBDA(n,UPPER(TEXT(start+n,"dd (ddd)"))))))</f>
        <v/>
      </c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>
      <c r="A209" s="37" t="str">
        <f>IF($A207="", "", "IN")</f>
        <v/>
      </c>
      <c r="B209" s="39" t="str">
        <f t="array" ref="B209">IF(OR($A207="",B$5=""),"",IFNA(INDEX(DATA_LOG!$C:$C,MATCH(1,(DATA_LOG!$A:$A=$A207)*(TEXT(DATA_LOG!$B:$B,"yyyy-MM-dd")=TEXT(DATE($P$3,MONTH(1&amp;$N$3),VALUE(LEFT(B$5,2))),"yyyy-MM-dd")),0)),""))</f>
        <v/>
      </c>
      <c r="C209" s="39" t="str">
        <f t="array" ref="C209">IF(OR($A207="",C$5=""),"",IFNA(INDEX(DATA_LOG!$C:$C,MATCH(1,(DATA_LOG!$A:$A=$A207)*(TEXT(DATA_LOG!$B:$B,"yyyy-MM-dd")=TEXT(DATE($P$3,MONTH(1&amp;$N$3),VALUE(LEFT(C$5,2))),"yyyy-MM-dd")),0)),""))</f>
        <v/>
      </c>
      <c r="D209" s="39" t="str">
        <f t="array" ref="D209">IF(OR($A207="",D$5=""),"",IFNA(INDEX(DATA_LOG!$C:$C,MATCH(1,(DATA_LOG!$A:$A=$A207)*(TEXT(DATA_LOG!$B:$B,"yyyy-MM-dd")=TEXT(DATE($P$3,MONTH(1&amp;$N$3),VALUE(LEFT(D$5,2))),"yyyy-MM-dd")),0)),""))</f>
        <v/>
      </c>
      <c r="E209" s="39" t="str">
        <f t="array" ref="E209">IF(OR($A207="",E$5=""),"",IFNA(INDEX(DATA_LOG!$C:$C,MATCH(1,(DATA_LOG!$A:$A=$A207)*(TEXT(DATA_LOG!$B:$B,"yyyy-MM-dd")=TEXT(DATE($P$3,MONTH(1&amp;$N$3),VALUE(LEFT(E$5,2))),"yyyy-MM-dd")),0)),""))</f>
        <v/>
      </c>
      <c r="F209" s="39" t="str">
        <f t="array" ref="F209">IF(OR($A207="",F$5=""),"",IFNA(INDEX(DATA_LOG!$C:$C,MATCH(1,(DATA_LOG!$A:$A=$A207)*(TEXT(DATA_LOG!$B:$B,"yyyy-MM-dd")=TEXT(DATE($P$3,MONTH(1&amp;$N$3),VALUE(LEFT(F$5,2))),"yyyy-MM-dd")),0)),""))</f>
        <v/>
      </c>
      <c r="G209" s="39" t="str">
        <f t="array" ref="G209">IF(OR($A207="",G$5=""),"",IFNA(INDEX(DATA_LOG!$C:$C,MATCH(1,(DATA_LOG!$A:$A=$A207)*(TEXT(DATA_LOG!$B:$B,"yyyy-MM-dd")=TEXT(DATE($P$3,MONTH(1&amp;$N$3),VALUE(LEFT(G$5,2))),"yyyy-MM-dd")),0)),""))</f>
        <v/>
      </c>
      <c r="H209" s="39" t="str">
        <f t="array" ref="H209">IF(OR($A207="",H$5=""),"",IFNA(INDEX(DATA_LOG!$C:$C,MATCH(1,(DATA_LOG!$A:$A=$A207)*(TEXT(DATA_LOG!$B:$B,"yyyy-MM-dd")=TEXT(DATE($P$3,MONTH(1&amp;$N$3),VALUE(LEFT(H$5,2))),"yyyy-MM-dd")),0)),""))</f>
        <v/>
      </c>
      <c r="I209" s="39" t="str">
        <f t="array" ref="I209">IF(OR($A207="",I$5=""),"",IFNA(INDEX(DATA_LOG!$C:$C,MATCH(1,(DATA_LOG!$A:$A=$A207)*(TEXT(DATA_LOG!$B:$B,"yyyy-MM-dd")=TEXT(DATE($P$3,MONTH(1&amp;$N$3),VALUE(LEFT(I$5,2))),"yyyy-MM-dd")),0)),""))</f>
        <v/>
      </c>
      <c r="J209" s="39" t="str">
        <f t="array" ref="J209">IF(OR($A207="",J$5=""),"",IFNA(INDEX(DATA_LOG!$C:$C,MATCH(1,(DATA_LOG!$A:$A=$A207)*(TEXT(DATA_LOG!$B:$B,"yyyy-MM-dd")=TEXT(DATE($P$3,MONTH(1&amp;$N$3),VALUE(LEFT(J$5,2))),"yyyy-MM-dd")),0)),""))</f>
        <v/>
      </c>
      <c r="K209" s="39" t="str">
        <f t="array" ref="K209">IF(OR($A207="",K$5=""),"",IFNA(INDEX(DATA_LOG!$C:$C,MATCH(1,(DATA_LOG!$A:$A=$A207)*(TEXT(DATA_LOG!$B:$B,"yyyy-MM-dd")=TEXT(DATE($P$3,MONTH(1&amp;$N$3),VALUE(LEFT(K$5,2))),"yyyy-MM-dd")),0)),""))</f>
        <v/>
      </c>
      <c r="L209" s="39" t="str">
        <f t="array" ref="L209">IF(OR($A207="",L$5=""),"",IFNA(INDEX(DATA_LOG!$C:$C,MATCH(1,(DATA_LOG!$A:$A=$A207)*(TEXT(DATA_LOG!$B:$B,"yyyy-MM-dd")=TEXT(DATE($P$3,MONTH(1&amp;$N$3),VALUE(LEFT(L$5,2))),"yyyy-MM-dd")),0)),""))</f>
        <v/>
      </c>
      <c r="M209" s="39" t="str">
        <f t="array" ref="M209">IF(OR($A207="",M$5=""),"",IFNA(INDEX(DATA_LOG!$C:$C,MATCH(1,(DATA_LOG!$A:$A=$A207)*(TEXT(DATA_LOG!$B:$B,"yyyy-MM-dd")=TEXT(DATE($P$3,MONTH(1&amp;$N$3),VALUE(LEFT(M$5,2))),"yyyy-MM-dd")),0)),""))</f>
        <v/>
      </c>
      <c r="N209" s="39" t="str">
        <f t="array" ref="N209">IF(OR($A207="",N$5=""),"",IFNA(INDEX(DATA_LOG!$C:$C,MATCH(1,(DATA_LOG!$A:$A=$A207)*(TEXT(DATA_LOG!$B:$B,"yyyy-MM-dd")=TEXT(DATE($P$3,MONTH(1&amp;$N$3),VALUE(LEFT(N$5,2))),"yyyy-MM-dd")),0)),""))</f>
        <v/>
      </c>
      <c r="O209" s="39" t="str">
        <f t="array" ref="O209">IF(OR($A207="",O$5=""),"",IFNA(INDEX(DATA_LOG!$C:$C,MATCH(1,(DATA_LOG!$A:$A=$A207)*(TEXT(DATA_LOG!$B:$B,"yyyy-MM-dd")=TEXT(DATE($P$3,MONTH(1&amp;$N$3),VALUE(LEFT(O$5,2))),"yyyy-MM-dd")),0)),""))</f>
        <v/>
      </c>
      <c r="P209" s="39" t="str">
        <f t="array" ref="P209">IF(OR($A207="",P$5=""),"",IFNA(INDEX(DATA_LOG!$C:$C,MATCH(1,(DATA_LOG!$A:$A=$A207)*(TEXT(DATA_LOG!$B:$B,"yyyy-MM-dd")=TEXT(DATE($P$3,MONTH(1&amp;$N$3),VALUE(LEFT(P$5,2))),"yyyy-MM-dd")),0)),""))</f>
        <v/>
      </c>
      <c r="Q209" s="39" t="str">
        <f t="array" ref="Q209">IF(OR($A207="",Q$5=""),"",IFNA(INDEX(DATA_LOG!$C:$C,MATCH(1,(DATA_LOG!$A:$A=$A207)*(TEXT(DATA_LOG!$B:$B,"yyyy-MM-dd")=TEXT(DATE($P$3,MONTH(1&amp;$N$3),VALUE(LEFT(Q$5,2))),"yyyy-MM-dd")),0)),""))</f>
        <v/>
      </c>
      <c r="R209" s="39" t="str">
        <f t="array" ref="R209">IF(OR($A207="",R$5=""),"",IFNA(INDEX(DATA_LOG!$C:$C,MATCH(1,(DATA_LOG!$A:$A=$A207)*(TEXT(DATA_LOG!$B:$B,"yyyy-MM-dd")=TEXT(DATE($P$3,MONTH(1&amp;$N$3),VALUE(LEFT(R$5,2))),"yyyy-MM-dd")),0)),""))</f>
        <v/>
      </c>
      <c r="S209" s="39" t="str">
        <f t="array" ref="S209">IF(OR($A207="",S$5=""),"",IFNA(INDEX(DATA_LOG!$C:$C,MATCH(1,(DATA_LOG!$A:$A=$A207)*(TEXT(DATA_LOG!$B:$B,"yyyy-MM-dd")=TEXT(DATE($P$3,MONTH(1&amp;$N$3),VALUE(LEFT(S$5,2))),"yyyy-MM-dd")),0)),""))</f>
        <v/>
      </c>
      <c r="T209" s="39" t="str">
        <f t="array" ref="T209">IF(OR($A207="",T$5=""),"",IFNA(INDEX(DATA_LOG!$C:$C,MATCH(1,(DATA_LOG!$A:$A=$A207)*(TEXT(DATA_LOG!$B:$B,"yyyy-MM-dd")=TEXT(DATE($P$3,MONTH(1&amp;$N$3),VALUE(LEFT(T$5,2))),"yyyy-MM-dd")),0)),""))</f>
        <v/>
      </c>
      <c r="U209" s="39" t="str">
        <f t="array" ref="U209">IF(OR($A207="",U$5=""),"",IFNA(INDEX(DATA_LOG!$C:$C,MATCH(1,(DATA_LOG!$A:$A=$A207)*(TEXT(DATA_LOG!$B:$B,"yyyy-MM-dd")=TEXT(DATE($P$3,MONTH(1&amp;$N$3),VALUE(LEFT(U$5,2))),"yyyy-MM-dd")),0)),""))</f>
        <v/>
      </c>
      <c r="V209" s="39" t="str">
        <f t="array" ref="V209">IF(OR($A207="",V$5=""),"",IFNA(INDEX(DATA_LOG!$C:$C,MATCH(1,(DATA_LOG!$A:$A=$A207)*(TEXT(DATA_LOG!$B:$B,"yyyy-MM-dd")=TEXT(DATE($P$3,MONTH(1&amp;$N$3),VALUE(LEFT(V$5,2))),"yyyy-MM-dd")),0)),""))</f>
        <v/>
      </c>
      <c r="W209" s="39" t="str">
        <f t="array" ref="W209">IF(OR($A207="",W$5=""),"",IFNA(INDEX(DATA_LOG!$C:$C,MATCH(1,(DATA_LOG!$A:$A=$A207)*(TEXT(DATA_LOG!$B:$B,"yyyy-MM-dd")=TEXT(DATE($P$3,MONTH(1&amp;$N$3),VALUE(LEFT(W$5,2))),"yyyy-MM-dd")),0)),""))</f>
        <v/>
      </c>
      <c r="X209" s="39" t="str">
        <f t="array" ref="X209">IF(OR($A207="",X$5=""),"",IFNA(INDEX(DATA_LOG!$C:$C,MATCH(1,(DATA_LOG!$A:$A=$A207)*(TEXT(DATA_LOG!$B:$B,"yyyy-MM-dd")=TEXT(DATE($P$3,MONTH(1&amp;$N$3),VALUE(LEFT(X$5,2))),"yyyy-MM-dd")),0)),""))</f>
        <v/>
      </c>
      <c r="Y209" s="39" t="str">
        <f t="array" ref="Y209">IF(OR($A207="",Y$5=""),"",IFNA(INDEX(DATA_LOG!$C:$C,MATCH(1,(DATA_LOG!$A:$A=$A207)*(TEXT(DATA_LOG!$B:$B,"yyyy-MM-dd")=TEXT(DATE($P$3,MONTH(1&amp;$N$3),VALUE(LEFT(Y$5,2))),"yyyy-MM-dd")),0)),""))</f>
        <v/>
      </c>
      <c r="Z209" s="39" t="str">
        <f t="array" ref="Z209">IF(OR($A207="",Z$5=""),"",IFNA(INDEX(DATA_LOG!$C:$C,MATCH(1,(DATA_LOG!$A:$A=$A207)*(TEXT(DATA_LOG!$B:$B,"yyyy-MM-dd")=TEXT(DATE($P$3,MONTH(1&amp;$N$3),VALUE(LEFT(Z$5,2))),"yyyy-MM-dd")),0)),""))</f>
        <v/>
      </c>
      <c r="AA209" s="39" t="str">
        <f t="array" ref="AA209">IF(OR($A207="",AA$5=""),"",IFNA(INDEX(DATA_LOG!$C:$C,MATCH(1,(DATA_LOG!$A:$A=$A207)*(TEXT(DATA_LOG!$B:$B,"yyyy-MM-dd")=TEXT(DATE($P$3,MONTH(1&amp;$N$3),VALUE(LEFT(AA$5,2))),"yyyy-MM-dd")),0)),""))</f>
        <v/>
      </c>
      <c r="AB209" s="39" t="str">
        <f t="array" ref="AB209">IF(OR($A207="",AB$5=""),"",IFNA(INDEX(DATA_LOG!$C:$C,MATCH(1,(DATA_LOG!$A:$A=$A207)*(TEXT(DATA_LOG!$B:$B,"yyyy-MM-dd")=TEXT(DATE($P$3,MONTH(1&amp;$N$3),VALUE(LEFT(AB$5,2))),"yyyy-MM-dd")),0)),""))</f>
        <v/>
      </c>
      <c r="AC209" s="39" t="str">
        <f t="array" ref="AC209">IF(OR($A207="",AC$5=""),"",IFNA(INDEX(DATA_LOG!$C:$C,MATCH(1,(DATA_LOG!$A:$A=$A207)*(TEXT(DATA_LOG!$B:$B,"yyyy-MM-dd")=TEXT(DATE($P$3,MONTH(1&amp;$N$3),VALUE(LEFT(AC$5,2))),"yyyy-MM-dd")),0)),""))</f>
        <v/>
      </c>
      <c r="AD209" s="39" t="str">
        <f t="array" ref="AD209">IF(OR($A207="",AD$5=""),"",IFNA(INDEX(DATA_LOG!$C:$C,MATCH(1,(DATA_LOG!$A:$A=$A207)*(TEXT(DATA_LOG!$B:$B,"yyyy-MM-dd")=TEXT(DATE($P$3,MONTH(1&amp;$N$3),VALUE(LEFT(AD$5,2))),"yyyy-MM-dd")),0)),""))</f>
        <v/>
      </c>
      <c r="AE209" s="39" t="str">
        <f t="array" ref="AE209">IF(OR($A207="",AE$5=""),"",IFNA(INDEX(DATA_LOG!$C:$C,MATCH(1,(DATA_LOG!$A:$A=$A207)*(TEXT(DATA_LOG!$B:$B,"yyyy-MM-dd")=TEXT(DATE($P$3,MONTH(1&amp;$N$3),VALUE(LEFT(AE$5,2))),"yyyy-MM-dd")),0)),""))</f>
        <v/>
      </c>
      <c r="AF209" s="39" t="str">
        <f t="array" ref="AF209">IF(OR($A207="",AF$5=""),"",IFNA(INDEX(DATA_LOG!$C:$C,MATCH(1,(DATA_LOG!$A:$A=$A207)*(TEXT(DATA_LOG!$B:$B,"yyyy-MM-dd")=TEXT(DATE($P$3,MONTH(1&amp;$N$3),VALUE(LEFT(AF$5,2))),"yyyy-MM-dd")),0)),""))</f>
        <v/>
      </c>
    </row>
    <row r="210">
      <c r="A210" s="37" t="str">
        <f>IF($A207="", "", "OUT")</f>
        <v/>
      </c>
      <c r="B210" s="39" t="str">
        <f t="array" ref="B210">IF(OR($A207="",B$5=""),"",IFNA(INDEX(DATA_LOG!$D:$D,MATCH(1,(DATA_LOG!$A:$A=$A207)*(TEXT(DATA_LOG!$B:$B,"yyyy-MM-dd")=TEXT(DATE($P$3,MONTH(1&amp;$N$3),VALUE(LEFT(B$5,2))),"yyyy-MM-dd")),0)),""))</f>
        <v/>
      </c>
      <c r="C210" s="39" t="str">
        <f t="array" ref="C210">IF(OR($A207="",C$5=""),"",IFNA(INDEX(DATA_LOG!$D:$D,MATCH(1,(DATA_LOG!$A:$A=$A207)*(TEXT(DATA_LOG!$B:$B,"yyyy-MM-dd")=TEXT(DATE($P$3,MONTH(1&amp;$N$3),VALUE(LEFT(C$5,2))),"yyyy-MM-dd")),0)),""))</f>
        <v/>
      </c>
      <c r="D210" s="39" t="str">
        <f t="array" ref="D210">IF(OR($A207="",D$5=""),"",IFNA(INDEX(DATA_LOG!$D:$D,MATCH(1,(DATA_LOG!$A:$A=$A207)*(TEXT(DATA_LOG!$B:$B,"yyyy-MM-dd")=TEXT(DATE($P$3,MONTH(1&amp;$N$3),VALUE(LEFT(D$5,2))),"yyyy-MM-dd")),0)),""))</f>
        <v/>
      </c>
      <c r="E210" s="39" t="str">
        <f t="array" ref="E210">IF(OR($A207="",E$5=""),"",IFNA(INDEX(DATA_LOG!$D:$D,MATCH(1,(DATA_LOG!$A:$A=$A207)*(TEXT(DATA_LOG!$B:$B,"yyyy-MM-dd")=TEXT(DATE($P$3,MONTH(1&amp;$N$3),VALUE(LEFT(E$5,2))),"yyyy-MM-dd")),0)),""))</f>
        <v/>
      </c>
      <c r="F210" s="39" t="str">
        <f t="array" ref="F210">IF(OR($A207="",F$5=""),"",IFNA(INDEX(DATA_LOG!$D:$D,MATCH(1,(DATA_LOG!$A:$A=$A207)*(TEXT(DATA_LOG!$B:$B,"yyyy-MM-dd")=TEXT(DATE($P$3,MONTH(1&amp;$N$3),VALUE(LEFT(F$5,2))),"yyyy-MM-dd")),0)),""))</f>
        <v/>
      </c>
      <c r="G210" s="39" t="str">
        <f t="array" ref="G210">IF(OR($A207="",G$5=""),"",IFNA(INDEX(DATA_LOG!$D:$D,MATCH(1,(DATA_LOG!$A:$A=$A207)*(TEXT(DATA_LOG!$B:$B,"yyyy-MM-dd")=TEXT(DATE($P$3,MONTH(1&amp;$N$3),VALUE(LEFT(G$5,2))),"yyyy-MM-dd")),0)),""))</f>
        <v/>
      </c>
      <c r="H210" s="39" t="str">
        <f t="array" ref="H210">IF(OR($A207="",H$5=""),"",IFNA(INDEX(DATA_LOG!$D:$D,MATCH(1,(DATA_LOG!$A:$A=$A207)*(TEXT(DATA_LOG!$B:$B,"yyyy-MM-dd")=TEXT(DATE($P$3,MONTH(1&amp;$N$3),VALUE(LEFT(H$5,2))),"yyyy-MM-dd")),0)),""))</f>
        <v/>
      </c>
      <c r="I210" s="39" t="str">
        <f t="array" ref="I210">IF(OR($A207="",I$5=""),"",IFNA(INDEX(DATA_LOG!$D:$D,MATCH(1,(DATA_LOG!$A:$A=$A207)*(TEXT(DATA_LOG!$B:$B,"yyyy-MM-dd")=TEXT(DATE($P$3,MONTH(1&amp;$N$3),VALUE(LEFT(I$5,2))),"yyyy-MM-dd")),0)),""))</f>
        <v/>
      </c>
      <c r="J210" s="39" t="str">
        <f t="array" ref="J210">IF(OR($A207="",J$5=""),"",IFNA(INDEX(DATA_LOG!$D:$D,MATCH(1,(DATA_LOG!$A:$A=$A207)*(TEXT(DATA_LOG!$B:$B,"yyyy-MM-dd")=TEXT(DATE($P$3,MONTH(1&amp;$N$3),VALUE(LEFT(J$5,2))),"yyyy-MM-dd")),0)),""))</f>
        <v/>
      </c>
      <c r="K210" s="39" t="str">
        <f t="array" ref="K210">IF(OR($A207="",K$5=""),"",IFNA(INDEX(DATA_LOG!$D:$D,MATCH(1,(DATA_LOG!$A:$A=$A207)*(TEXT(DATA_LOG!$B:$B,"yyyy-MM-dd")=TEXT(DATE($P$3,MONTH(1&amp;$N$3),VALUE(LEFT(K$5,2))),"yyyy-MM-dd")),0)),""))</f>
        <v/>
      </c>
      <c r="L210" s="39" t="str">
        <f t="array" ref="L210">IF(OR($A207="",L$5=""),"",IFNA(INDEX(DATA_LOG!$D:$D,MATCH(1,(DATA_LOG!$A:$A=$A207)*(TEXT(DATA_LOG!$B:$B,"yyyy-MM-dd")=TEXT(DATE($P$3,MONTH(1&amp;$N$3),VALUE(LEFT(L$5,2))),"yyyy-MM-dd")),0)),""))</f>
        <v/>
      </c>
      <c r="M210" s="39" t="str">
        <f t="array" ref="M210">IF(OR($A207="",M$5=""),"",IFNA(INDEX(DATA_LOG!$D:$D,MATCH(1,(DATA_LOG!$A:$A=$A207)*(TEXT(DATA_LOG!$B:$B,"yyyy-MM-dd")=TEXT(DATE($P$3,MONTH(1&amp;$N$3),VALUE(LEFT(M$5,2))),"yyyy-MM-dd")),0)),""))</f>
        <v/>
      </c>
      <c r="N210" s="39" t="str">
        <f t="array" ref="N210">IF(OR($A207="",N$5=""),"",IFNA(INDEX(DATA_LOG!$D:$D,MATCH(1,(DATA_LOG!$A:$A=$A207)*(TEXT(DATA_LOG!$B:$B,"yyyy-MM-dd")=TEXT(DATE($P$3,MONTH(1&amp;$N$3),VALUE(LEFT(N$5,2))),"yyyy-MM-dd")),0)),""))</f>
        <v/>
      </c>
      <c r="O210" s="39" t="str">
        <f t="array" ref="O210">IF(OR($A207="",O$5=""),"",IFNA(INDEX(DATA_LOG!$D:$D,MATCH(1,(DATA_LOG!$A:$A=$A207)*(TEXT(DATA_LOG!$B:$B,"yyyy-MM-dd")=TEXT(DATE($P$3,MONTH(1&amp;$N$3),VALUE(LEFT(O$5,2))),"yyyy-MM-dd")),0)),""))</f>
        <v/>
      </c>
      <c r="P210" s="39" t="str">
        <f t="array" ref="P210">IF(OR($A207="",P$5=""),"",IFNA(INDEX(DATA_LOG!$D:$D,MATCH(1,(DATA_LOG!$A:$A=$A207)*(TEXT(DATA_LOG!$B:$B,"yyyy-MM-dd")=TEXT(DATE($P$3,MONTH(1&amp;$N$3),VALUE(LEFT(P$5,2))),"yyyy-MM-dd")),0)),""))</f>
        <v/>
      </c>
      <c r="Q210" s="39" t="str">
        <f t="array" ref="Q210">IF(OR($A207="",Q$5=""),"",IFNA(INDEX(DATA_LOG!$D:$D,MATCH(1,(DATA_LOG!$A:$A=$A207)*(TEXT(DATA_LOG!$B:$B,"yyyy-MM-dd")=TEXT(DATE($P$3,MONTH(1&amp;$N$3),VALUE(LEFT(Q$5,2))),"yyyy-MM-dd")),0)),""))</f>
        <v/>
      </c>
      <c r="R210" s="39" t="str">
        <f t="array" ref="R210">IF(OR($A207="",R$5=""),"",IFNA(INDEX(DATA_LOG!$D:$D,MATCH(1,(DATA_LOG!$A:$A=$A207)*(TEXT(DATA_LOG!$B:$B,"yyyy-MM-dd")=TEXT(DATE($P$3,MONTH(1&amp;$N$3),VALUE(LEFT(R$5,2))),"yyyy-MM-dd")),0)),""))</f>
        <v/>
      </c>
      <c r="S210" s="39" t="str">
        <f t="array" ref="S210">IF(OR($A207="",S$5=""),"",IFNA(INDEX(DATA_LOG!$D:$D,MATCH(1,(DATA_LOG!$A:$A=$A207)*(TEXT(DATA_LOG!$B:$B,"yyyy-MM-dd")=TEXT(DATE($P$3,MONTH(1&amp;$N$3),VALUE(LEFT(S$5,2))),"yyyy-MM-dd")),0)),""))</f>
        <v/>
      </c>
      <c r="T210" s="39" t="str">
        <f t="array" ref="T210">IF(OR($A207="",T$5=""),"",IFNA(INDEX(DATA_LOG!$D:$D,MATCH(1,(DATA_LOG!$A:$A=$A207)*(TEXT(DATA_LOG!$B:$B,"yyyy-MM-dd")=TEXT(DATE($P$3,MONTH(1&amp;$N$3),VALUE(LEFT(T$5,2))),"yyyy-MM-dd")),0)),""))</f>
        <v/>
      </c>
      <c r="U210" s="39" t="str">
        <f t="array" ref="U210">IF(OR($A207="",U$5=""),"",IFNA(INDEX(DATA_LOG!$D:$D,MATCH(1,(DATA_LOG!$A:$A=$A207)*(TEXT(DATA_LOG!$B:$B,"yyyy-MM-dd")=TEXT(DATE($P$3,MONTH(1&amp;$N$3),VALUE(LEFT(U$5,2))),"yyyy-MM-dd")),0)),""))</f>
        <v/>
      </c>
      <c r="V210" s="39" t="str">
        <f t="array" ref="V210">IF(OR($A207="",V$5=""),"",IFNA(INDEX(DATA_LOG!$D:$D,MATCH(1,(DATA_LOG!$A:$A=$A207)*(TEXT(DATA_LOG!$B:$B,"yyyy-MM-dd")=TEXT(DATE($P$3,MONTH(1&amp;$N$3),VALUE(LEFT(V$5,2))),"yyyy-MM-dd")),0)),""))</f>
        <v/>
      </c>
      <c r="W210" s="39" t="str">
        <f t="array" ref="W210">IF(OR($A207="",W$5=""),"",IFNA(INDEX(DATA_LOG!$D:$D,MATCH(1,(DATA_LOG!$A:$A=$A207)*(TEXT(DATA_LOG!$B:$B,"yyyy-MM-dd")=TEXT(DATE($P$3,MONTH(1&amp;$N$3),VALUE(LEFT(W$5,2))),"yyyy-MM-dd")),0)),""))</f>
        <v/>
      </c>
      <c r="X210" s="39" t="str">
        <f t="array" ref="X210">IF(OR($A207="",X$5=""),"",IFNA(INDEX(DATA_LOG!$D:$D,MATCH(1,(DATA_LOG!$A:$A=$A207)*(TEXT(DATA_LOG!$B:$B,"yyyy-MM-dd")=TEXT(DATE($P$3,MONTH(1&amp;$N$3),VALUE(LEFT(X$5,2))),"yyyy-MM-dd")),0)),""))</f>
        <v/>
      </c>
      <c r="Y210" s="39" t="str">
        <f t="array" ref="Y210">IF(OR($A207="",Y$5=""),"",IFNA(INDEX(DATA_LOG!$D:$D,MATCH(1,(DATA_LOG!$A:$A=$A207)*(TEXT(DATA_LOG!$B:$B,"yyyy-MM-dd")=TEXT(DATE($P$3,MONTH(1&amp;$N$3),VALUE(LEFT(Y$5,2))),"yyyy-MM-dd")),0)),""))</f>
        <v/>
      </c>
      <c r="Z210" s="39" t="str">
        <f t="array" ref="Z210">IF(OR($A207="",Z$5=""),"",IFNA(INDEX(DATA_LOG!$D:$D,MATCH(1,(DATA_LOG!$A:$A=$A207)*(TEXT(DATA_LOG!$B:$B,"yyyy-MM-dd")=TEXT(DATE($P$3,MONTH(1&amp;$N$3),VALUE(LEFT(Z$5,2))),"yyyy-MM-dd")),0)),""))</f>
        <v/>
      </c>
      <c r="AA210" s="39" t="str">
        <f t="array" ref="AA210">IF(OR($A207="",AA$5=""),"",IFNA(INDEX(DATA_LOG!$D:$D,MATCH(1,(DATA_LOG!$A:$A=$A207)*(TEXT(DATA_LOG!$B:$B,"yyyy-MM-dd")=TEXT(DATE($P$3,MONTH(1&amp;$N$3),VALUE(LEFT(AA$5,2))),"yyyy-MM-dd")),0)),""))</f>
        <v/>
      </c>
      <c r="AB210" s="39" t="str">
        <f t="array" ref="AB210">IF(OR($A207="",AB$5=""),"",IFNA(INDEX(DATA_LOG!$D:$D,MATCH(1,(DATA_LOG!$A:$A=$A207)*(TEXT(DATA_LOG!$B:$B,"yyyy-MM-dd")=TEXT(DATE($P$3,MONTH(1&amp;$N$3),VALUE(LEFT(AB$5,2))),"yyyy-MM-dd")),0)),""))</f>
        <v/>
      </c>
      <c r="AC210" s="39" t="str">
        <f t="array" ref="AC210">IF(OR($A207="",AC$5=""),"",IFNA(INDEX(DATA_LOG!$D:$D,MATCH(1,(DATA_LOG!$A:$A=$A207)*(TEXT(DATA_LOG!$B:$B,"yyyy-MM-dd")=TEXT(DATE($P$3,MONTH(1&amp;$N$3),VALUE(LEFT(AC$5,2))),"yyyy-MM-dd")),0)),""))</f>
        <v/>
      </c>
      <c r="AD210" s="39" t="str">
        <f t="array" ref="AD210">IF(OR($A207="",AD$5=""),"",IFNA(INDEX(DATA_LOG!$D:$D,MATCH(1,(DATA_LOG!$A:$A=$A207)*(TEXT(DATA_LOG!$B:$B,"yyyy-MM-dd")=TEXT(DATE($P$3,MONTH(1&amp;$N$3),VALUE(LEFT(AD$5,2))),"yyyy-MM-dd")),0)),""))</f>
        <v/>
      </c>
      <c r="AE210" s="39" t="str">
        <f t="array" ref="AE210">IF(OR($A207="",AE$5=""),"",IFNA(INDEX(DATA_LOG!$D:$D,MATCH(1,(DATA_LOG!$A:$A=$A207)*(TEXT(DATA_LOG!$B:$B,"yyyy-MM-dd")=TEXT(DATE($P$3,MONTH(1&amp;$N$3),VALUE(LEFT(AE$5,2))),"yyyy-MM-dd")),0)),""))</f>
        <v/>
      </c>
      <c r="AF210" s="39" t="str">
        <f t="array" ref="AF210">IF(OR($A207="",AF$5=""),"",IFNA(INDEX(DATA_LOG!$D:$D,MATCH(1,(DATA_LOG!$A:$A=$A207)*(TEXT(DATA_LOG!$B:$B,"yyyy-MM-dd")=TEXT(DATE($P$3,MONTH(1&amp;$N$3),VALUE(LEFT(AF$5,2))),"yyyy-MM-dd")),0)),""))</f>
        <v/>
      </c>
    </row>
    <row r="211">
      <c r="A211" s="40" t="str">
        <f>IF($A207="", "", "TOTAL")</f>
        <v/>
      </c>
      <c r="B211" s="41" t="str">
        <f t="shared" ref="B211:AF211" si="30">IF(AND(B209&lt;&gt;"",B210&lt;&gt;""),TEXT(MOD(B210-B209,1),"hh:mm"),"")</f>
        <v/>
      </c>
      <c r="C211" s="34" t="str">
        <f t="shared" si="30"/>
        <v/>
      </c>
      <c r="D211" s="34" t="str">
        <f t="shared" si="30"/>
        <v/>
      </c>
      <c r="E211" s="34" t="str">
        <f t="shared" si="30"/>
        <v/>
      </c>
      <c r="F211" s="34" t="str">
        <f t="shared" si="30"/>
        <v/>
      </c>
      <c r="G211" s="34" t="str">
        <f t="shared" si="30"/>
        <v/>
      </c>
      <c r="H211" s="34" t="str">
        <f t="shared" si="30"/>
        <v/>
      </c>
      <c r="I211" s="34" t="str">
        <f t="shared" si="30"/>
        <v/>
      </c>
      <c r="J211" s="34" t="str">
        <f t="shared" si="30"/>
        <v/>
      </c>
      <c r="K211" s="34" t="str">
        <f t="shared" si="30"/>
        <v/>
      </c>
      <c r="L211" s="34" t="str">
        <f t="shared" si="30"/>
        <v/>
      </c>
      <c r="M211" s="34" t="str">
        <f t="shared" si="30"/>
        <v/>
      </c>
      <c r="N211" s="34" t="str">
        <f t="shared" si="30"/>
        <v/>
      </c>
      <c r="O211" s="34" t="str">
        <f t="shared" si="30"/>
        <v/>
      </c>
      <c r="P211" s="34" t="str">
        <f t="shared" si="30"/>
        <v/>
      </c>
      <c r="Q211" s="34" t="str">
        <f t="shared" si="30"/>
        <v/>
      </c>
      <c r="R211" s="34" t="str">
        <f t="shared" si="30"/>
        <v/>
      </c>
      <c r="S211" s="34" t="str">
        <f t="shared" si="30"/>
        <v/>
      </c>
      <c r="T211" s="34" t="str">
        <f t="shared" si="30"/>
        <v/>
      </c>
      <c r="U211" s="34" t="str">
        <f t="shared" si="30"/>
        <v/>
      </c>
      <c r="V211" s="34" t="str">
        <f t="shared" si="30"/>
        <v/>
      </c>
      <c r="W211" s="34" t="str">
        <f t="shared" si="30"/>
        <v/>
      </c>
      <c r="X211" s="34" t="str">
        <f t="shared" si="30"/>
        <v/>
      </c>
      <c r="Y211" s="34" t="str">
        <f t="shared" si="30"/>
        <v/>
      </c>
      <c r="Z211" s="34" t="str">
        <f t="shared" si="30"/>
        <v/>
      </c>
      <c r="AA211" s="34" t="str">
        <f t="shared" si="30"/>
        <v/>
      </c>
      <c r="AB211" s="34" t="str">
        <f t="shared" si="30"/>
        <v/>
      </c>
      <c r="AC211" s="34" t="str">
        <f t="shared" si="30"/>
        <v/>
      </c>
      <c r="AD211" s="34" t="str">
        <f t="shared" si="30"/>
        <v/>
      </c>
      <c r="AE211" s="34" t="str">
        <f t="shared" si="30"/>
        <v/>
      </c>
      <c r="AF211" s="34" t="str">
        <f t="shared" si="30"/>
        <v/>
      </c>
    </row>
    <row r="212">
      <c r="A212" s="42" t="str">
        <f>IF($A207="", "", "STATUS")</f>
        <v/>
      </c>
      <c r="B212" s="43" t="str">
        <f>IFERROR(__xludf.DUMMYFUNCTION("IF($A207="""","""",IF(B$5="""","""",LET(logStatus,IFNA(INDEX(DATA_LOG!$E:$E,MATCH(1,(DATA_LOG!$A:$A=$A207)*(TEXT(DATA_LOG!$B:$B,""yyyy-MM-dd"")=TEXT(DATE($P$3,MONTH(1&amp;$N$3),VALUE(LEFT(B$5,2))),""yyyy-MM-dd"")),0)),""""),IF(logStatus&lt;&gt;"""",UPPER(logStatus)"&amp;",IF(B211&lt;&gt;"""",IF(VALUE(B211)&gt;=9/24,""FD"",""HD""),IF(REGEXMATCH(B$5,""SUN""),""WO"",""-""))))))"),"")</f>
        <v/>
      </c>
      <c r="C212" s="43" t="str">
        <f>IFERROR(__xludf.DUMMYFUNCTION("IF($A207="""","""",IF(C$5="""","""",LET(logStatus,IFNA(INDEX(DATA_LOG!$E:$E,MATCH(1,(DATA_LOG!$A:$A=$A207)*(TEXT(DATA_LOG!$B:$B,""yyyy-MM-dd"")=TEXT(DATE($P$3,MONTH(1&amp;$N$3),VALUE(LEFT(C$5,2))),""yyyy-MM-dd"")),0)),""""),IF(logStatus&lt;&gt;"""",UPPER(logStatus)"&amp;",IF(C211&lt;&gt;"""",IF(VALUE(C211)&gt;=9/24,""FD"",""HD""),IF(REGEXMATCH(C$5,""SUN""),""WO"",""-""))))))"),"")</f>
        <v/>
      </c>
      <c r="D212" s="43" t="str">
        <f>IFERROR(__xludf.DUMMYFUNCTION("IF($A207="""","""",IF(D$5="""","""",LET(logStatus,IFNA(INDEX(DATA_LOG!$E:$E,MATCH(1,(DATA_LOG!$A:$A=$A207)*(TEXT(DATA_LOG!$B:$B,""yyyy-MM-dd"")=TEXT(DATE($P$3,MONTH(1&amp;$N$3),VALUE(LEFT(D$5,2))),""yyyy-MM-dd"")),0)),""""),IF(logStatus&lt;&gt;"""",UPPER(logStatus)"&amp;",IF(D211&lt;&gt;"""",IF(VALUE(D211)&gt;=9/24,""FD"",""HD""),IF(REGEXMATCH(D$5,""SUN""),""WO"",""-""))))))"),"")</f>
        <v/>
      </c>
      <c r="E212" s="43" t="str">
        <f>IFERROR(__xludf.DUMMYFUNCTION("IF($A207="""","""",IF(E$5="""","""",LET(logStatus,IFNA(INDEX(DATA_LOG!$E:$E,MATCH(1,(DATA_LOG!$A:$A=$A207)*(TEXT(DATA_LOG!$B:$B,""yyyy-MM-dd"")=TEXT(DATE($P$3,MONTH(1&amp;$N$3),VALUE(LEFT(E$5,2))),""yyyy-MM-dd"")),0)),""""),IF(logStatus&lt;&gt;"""",UPPER(logStatus)"&amp;",IF(E211&lt;&gt;"""",IF(VALUE(E211)&gt;=9/24,""FD"",""HD""),IF(REGEXMATCH(E$5,""SUN""),""WO"",""-""))))))"),"")</f>
        <v/>
      </c>
      <c r="F212" s="43" t="str">
        <f>IFERROR(__xludf.DUMMYFUNCTION("IF($A207="""","""",IF(F$5="""","""",LET(logStatus,IFNA(INDEX(DATA_LOG!$E:$E,MATCH(1,(DATA_LOG!$A:$A=$A207)*(TEXT(DATA_LOG!$B:$B,""yyyy-MM-dd"")=TEXT(DATE($P$3,MONTH(1&amp;$N$3),VALUE(LEFT(F$5,2))),""yyyy-MM-dd"")),0)),""""),IF(logStatus&lt;&gt;"""",UPPER(logStatus)"&amp;",IF(F211&lt;&gt;"""",IF(VALUE(F211)&gt;=9/24,""FD"",""HD""),IF(REGEXMATCH(F$5,""SUN""),""WO"",""-""))))))"),"")</f>
        <v/>
      </c>
      <c r="G212" s="43" t="str">
        <f>IFERROR(__xludf.DUMMYFUNCTION("IF($A207="""","""",IF(G$5="""","""",LET(logStatus,IFNA(INDEX(DATA_LOG!$E:$E,MATCH(1,(DATA_LOG!$A:$A=$A207)*(TEXT(DATA_LOG!$B:$B,""yyyy-MM-dd"")=TEXT(DATE($P$3,MONTH(1&amp;$N$3),VALUE(LEFT(G$5,2))),""yyyy-MM-dd"")),0)),""""),IF(logStatus&lt;&gt;"""",UPPER(logStatus)"&amp;",IF(G211&lt;&gt;"""",IF(VALUE(G211)&gt;=9/24,""FD"",""HD""),IF(REGEXMATCH(G$5,""SUN""),""WO"",""-""))))))"),"")</f>
        <v/>
      </c>
      <c r="H212" s="43" t="str">
        <f>IFERROR(__xludf.DUMMYFUNCTION("IF($A207="""","""",IF(H$5="""","""",LET(logStatus,IFNA(INDEX(DATA_LOG!$E:$E,MATCH(1,(DATA_LOG!$A:$A=$A207)*(TEXT(DATA_LOG!$B:$B,""yyyy-MM-dd"")=TEXT(DATE($P$3,MONTH(1&amp;$N$3),VALUE(LEFT(H$5,2))),""yyyy-MM-dd"")),0)),""""),IF(logStatus&lt;&gt;"""",UPPER(logStatus)"&amp;",IF(H211&lt;&gt;"""",IF(VALUE(H211)&gt;=9/24,""FD"",""HD""),IF(REGEXMATCH(H$5,""SUN""),""WO"",""-""))))))"),"")</f>
        <v/>
      </c>
      <c r="I212" s="43" t="str">
        <f>IFERROR(__xludf.DUMMYFUNCTION("IF($A207="""","""",IF(I$5="""","""",LET(logStatus,IFNA(INDEX(DATA_LOG!$E:$E,MATCH(1,(DATA_LOG!$A:$A=$A207)*(TEXT(DATA_LOG!$B:$B,""yyyy-MM-dd"")=TEXT(DATE($P$3,MONTH(1&amp;$N$3),VALUE(LEFT(I$5,2))),""yyyy-MM-dd"")),0)),""""),IF(logStatus&lt;&gt;"""",UPPER(logStatus)"&amp;",IF(I211&lt;&gt;"""",IF(VALUE(I211)&gt;=9/24,""FD"",""HD""),IF(REGEXMATCH(I$5,""SUN""),""WO"",""-""))))))"),"")</f>
        <v/>
      </c>
      <c r="J212" s="43" t="str">
        <f>IFERROR(__xludf.DUMMYFUNCTION("IF($A207="""","""",IF(J$5="""","""",LET(logStatus,IFNA(INDEX(DATA_LOG!$E:$E,MATCH(1,(DATA_LOG!$A:$A=$A207)*(TEXT(DATA_LOG!$B:$B,""yyyy-MM-dd"")=TEXT(DATE($P$3,MONTH(1&amp;$N$3),VALUE(LEFT(J$5,2))),""yyyy-MM-dd"")),0)),""""),IF(logStatus&lt;&gt;"""",UPPER(logStatus)"&amp;",IF(J211&lt;&gt;"""",IF(VALUE(J211)&gt;=9/24,""FD"",""HD""),IF(REGEXMATCH(J$5,""SUN""),""WO"",""-""))))))"),"")</f>
        <v/>
      </c>
      <c r="K212" s="43" t="str">
        <f>IFERROR(__xludf.DUMMYFUNCTION("IF($A207="""","""",IF(K$5="""","""",LET(logStatus,IFNA(INDEX(DATA_LOG!$E:$E,MATCH(1,(DATA_LOG!$A:$A=$A207)*(TEXT(DATA_LOG!$B:$B,""yyyy-MM-dd"")=TEXT(DATE($P$3,MONTH(1&amp;$N$3),VALUE(LEFT(K$5,2))),""yyyy-MM-dd"")),0)),""""),IF(logStatus&lt;&gt;"""",UPPER(logStatus)"&amp;",IF(K211&lt;&gt;"""",IF(VALUE(K211)&gt;=9/24,""FD"",""HD""),IF(REGEXMATCH(K$5,""SUN""),""WO"",""-""))))))"),"")</f>
        <v/>
      </c>
      <c r="L212" s="43" t="str">
        <f>IFERROR(__xludf.DUMMYFUNCTION("IF($A207="""","""",IF(L$5="""","""",LET(logStatus,IFNA(INDEX(DATA_LOG!$E:$E,MATCH(1,(DATA_LOG!$A:$A=$A207)*(TEXT(DATA_LOG!$B:$B,""yyyy-MM-dd"")=TEXT(DATE($P$3,MONTH(1&amp;$N$3),VALUE(LEFT(L$5,2))),""yyyy-MM-dd"")),0)),""""),IF(logStatus&lt;&gt;"""",UPPER(logStatus)"&amp;",IF(L211&lt;&gt;"""",IF(VALUE(L211)&gt;=9/24,""FD"",""HD""),IF(REGEXMATCH(L$5,""SUN""),""WO"",""-""))))))"),"")</f>
        <v/>
      </c>
      <c r="M212" s="43" t="str">
        <f>IFERROR(__xludf.DUMMYFUNCTION("IF($A207="""","""",IF(M$5="""","""",LET(logStatus,IFNA(INDEX(DATA_LOG!$E:$E,MATCH(1,(DATA_LOG!$A:$A=$A207)*(TEXT(DATA_LOG!$B:$B,""yyyy-MM-dd"")=TEXT(DATE($P$3,MONTH(1&amp;$N$3),VALUE(LEFT(M$5,2))),""yyyy-MM-dd"")),0)),""""),IF(logStatus&lt;&gt;"""",UPPER(logStatus)"&amp;",IF(M211&lt;&gt;"""",IF(VALUE(M211)&gt;=9/24,""FD"",""HD""),IF(REGEXMATCH(M$5,""SUN""),""WO"",""-""))))))"),"")</f>
        <v/>
      </c>
      <c r="N212" s="43" t="str">
        <f>IFERROR(__xludf.DUMMYFUNCTION("IF($A207="""","""",IF(N$5="""","""",LET(logStatus,IFNA(INDEX(DATA_LOG!$E:$E,MATCH(1,(DATA_LOG!$A:$A=$A207)*(TEXT(DATA_LOG!$B:$B,""yyyy-MM-dd"")=TEXT(DATE($P$3,MONTH(1&amp;$N$3),VALUE(LEFT(N$5,2))),""yyyy-MM-dd"")),0)),""""),IF(logStatus&lt;&gt;"""",UPPER(logStatus)"&amp;",IF(N211&lt;&gt;"""",IF(VALUE(N211)&gt;=9/24,""FD"",""HD""),IF(REGEXMATCH(N$5,""SUN""),""WO"",""-""))))))"),"")</f>
        <v/>
      </c>
      <c r="O212" s="43" t="str">
        <f>IFERROR(__xludf.DUMMYFUNCTION("IF($A207="""","""",IF(O$5="""","""",LET(logStatus,IFNA(INDEX(DATA_LOG!$E:$E,MATCH(1,(DATA_LOG!$A:$A=$A207)*(TEXT(DATA_LOG!$B:$B,""yyyy-MM-dd"")=TEXT(DATE($P$3,MONTH(1&amp;$N$3),VALUE(LEFT(O$5,2))),""yyyy-MM-dd"")),0)),""""),IF(logStatus&lt;&gt;"""",UPPER(logStatus)"&amp;",IF(O211&lt;&gt;"""",IF(VALUE(O211)&gt;=9/24,""FD"",""HD""),IF(REGEXMATCH(O$5,""SUN""),""WO"",""-""))))))"),"")</f>
        <v/>
      </c>
      <c r="P212" s="43" t="str">
        <f>IFERROR(__xludf.DUMMYFUNCTION("IF($A207="""","""",IF(P$5="""","""",LET(logStatus,IFNA(INDEX(DATA_LOG!$E:$E,MATCH(1,(DATA_LOG!$A:$A=$A207)*(TEXT(DATA_LOG!$B:$B,""yyyy-MM-dd"")=TEXT(DATE($P$3,MONTH(1&amp;$N$3),VALUE(LEFT(P$5,2))),""yyyy-MM-dd"")),0)),""""),IF(logStatus&lt;&gt;"""",UPPER(logStatus)"&amp;",IF(P211&lt;&gt;"""",IF(VALUE(P211)&gt;=9/24,""FD"",""HD""),IF(REGEXMATCH(P$5,""SUN""),""WO"",""-""))))))"),"")</f>
        <v/>
      </c>
      <c r="Q212" s="43" t="str">
        <f>IFERROR(__xludf.DUMMYFUNCTION("IF($A207="""","""",IF(Q$5="""","""",LET(logStatus,IFNA(INDEX(DATA_LOG!$E:$E,MATCH(1,(DATA_LOG!$A:$A=$A207)*(TEXT(DATA_LOG!$B:$B,""yyyy-MM-dd"")=TEXT(DATE($P$3,MONTH(1&amp;$N$3),VALUE(LEFT(Q$5,2))),""yyyy-MM-dd"")),0)),""""),IF(logStatus&lt;&gt;"""",UPPER(logStatus)"&amp;",IF(Q211&lt;&gt;"""",IF(VALUE(Q211)&gt;=9/24,""FD"",""HD""),IF(REGEXMATCH(Q$5,""SUN""),""WO"",""-""))))))"),"")</f>
        <v/>
      </c>
      <c r="R212" s="43" t="str">
        <f>IFERROR(__xludf.DUMMYFUNCTION("IF($A207="""","""",IF(R$5="""","""",LET(logStatus,IFNA(INDEX(DATA_LOG!$E:$E,MATCH(1,(DATA_LOG!$A:$A=$A207)*(TEXT(DATA_LOG!$B:$B,""yyyy-MM-dd"")=TEXT(DATE($P$3,MONTH(1&amp;$N$3),VALUE(LEFT(R$5,2))),""yyyy-MM-dd"")),0)),""""),IF(logStatus&lt;&gt;"""",UPPER(logStatus)"&amp;",IF(R211&lt;&gt;"""",IF(VALUE(R211)&gt;=9/24,""FD"",""HD""),IF(REGEXMATCH(R$5,""SUN""),""WO"",""-""))))))"),"")</f>
        <v/>
      </c>
      <c r="S212" s="43" t="str">
        <f>IFERROR(__xludf.DUMMYFUNCTION("IF($A207="""","""",IF(S$5="""","""",LET(logStatus,IFNA(INDEX(DATA_LOG!$E:$E,MATCH(1,(DATA_LOG!$A:$A=$A207)*(TEXT(DATA_LOG!$B:$B,""yyyy-MM-dd"")=TEXT(DATE($P$3,MONTH(1&amp;$N$3),VALUE(LEFT(S$5,2))),""yyyy-MM-dd"")),0)),""""),IF(logStatus&lt;&gt;"""",UPPER(logStatus)"&amp;",IF(S211&lt;&gt;"""",IF(VALUE(S211)&gt;=9/24,""FD"",""HD""),IF(REGEXMATCH(S$5,""SUN""),""WO"",""-""))))))"),"")</f>
        <v/>
      </c>
      <c r="T212" s="43" t="str">
        <f>IFERROR(__xludf.DUMMYFUNCTION("IF($A207="""","""",IF(T$5="""","""",LET(logStatus,IFNA(INDEX(DATA_LOG!$E:$E,MATCH(1,(DATA_LOG!$A:$A=$A207)*(TEXT(DATA_LOG!$B:$B,""yyyy-MM-dd"")=TEXT(DATE($P$3,MONTH(1&amp;$N$3),VALUE(LEFT(T$5,2))),""yyyy-MM-dd"")),0)),""""),IF(logStatus&lt;&gt;"""",UPPER(logStatus)"&amp;",IF(T211&lt;&gt;"""",IF(VALUE(T211)&gt;=9/24,""FD"",""HD""),IF(REGEXMATCH(T$5,""SUN""),""WO"",""-""))))))"),"")</f>
        <v/>
      </c>
      <c r="U212" s="43" t="str">
        <f>IFERROR(__xludf.DUMMYFUNCTION("IF($A207="""","""",IF(U$5="""","""",LET(logStatus,IFNA(INDEX(DATA_LOG!$E:$E,MATCH(1,(DATA_LOG!$A:$A=$A207)*(TEXT(DATA_LOG!$B:$B,""yyyy-MM-dd"")=TEXT(DATE($P$3,MONTH(1&amp;$N$3),VALUE(LEFT(U$5,2))),""yyyy-MM-dd"")),0)),""""),IF(logStatus&lt;&gt;"""",UPPER(logStatus)"&amp;",IF(U211&lt;&gt;"""",IF(VALUE(U211)&gt;=9/24,""FD"",""HD""),IF(REGEXMATCH(U$5,""SUN""),""WO"",""-""))))))"),"")</f>
        <v/>
      </c>
      <c r="V212" s="43" t="str">
        <f>IFERROR(__xludf.DUMMYFUNCTION("IF($A207="""","""",IF(V$5="""","""",LET(logStatus,IFNA(INDEX(DATA_LOG!$E:$E,MATCH(1,(DATA_LOG!$A:$A=$A207)*(TEXT(DATA_LOG!$B:$B,""yyyy-MM-dd"")=TEXT(DATE($P$3,MONTH(1&amp;$N$3),VALUE(LEFT(V$5,2))),""yyyy-MM-dd"")),0)),""""),IF(logStatus&lt;&gt;"""",UPPER(logStatus)"&amp;",IF(V211&lt;&gt;"""",IF(VALUE(V211)&gt;=9/24,""FD"",""HD""),IF(REGEXMATCH(V$5,""SUN""),""WO"",""-""))))))"),"")</f>
        <v/>
      </c>
      <c r="W212" s="43" t="str">
        <f>IFERROR(__xludf.DUMMYFUNCTION("IF($A207="""","""",IF(W$5="""","""",LET(logStatus,IFNA(INDEX(DATA_LOG!$E:$E,MATCH(1,(DATA_LOG!$A:$A=$A207)*(TEXT(DATA_LOG!$B:$B,""yyyy-MM-dd"")=TEXT(DATE($P$3,MONTH(1&amp;$N$3),VALUE(LEFT(W$5,2))),""yyyy-MM-dd"")),0)),""""),IF(logStatus&lt;&gt;"""",UPPER(logStatus)"&amp;",IF(W211&lt;&gt;"""",IF(VALUE(W211)&gt;=9/24,""FD"",""HD""),IF(REGEXMATCH(W$5,""SUN""),""WO"",""-""))))))"),"")</f>
        <v/>
      </c>
      <c r="X212" s="43" t="str">
        <f>IFERROR(__xludf.DUMMYFUNCTION("IF($A207="""","""",IF(X$5="""","""",LET(logStatus,IFNA(INDEX(DATA_LOG!$E:$E,MATCH(1,(DATA_LOG!$A:$A=$A207)*(TEXT(DATA_LOG!$B:$B,""yyyy-MM-dd"")=TEXT(DATE($P$3,MONTH(1&amp;$N$3),VALUE(LEFT(X$5,2))),""yyyy-MM-dd"")),0)),""""),IF(logStatus&lt;&gt;"""",UPPER(logStatus)"&amp;",IF(X211&lt;&gt;"""",IF(VALUE(X211)&gt;=9/24,""FD"",""HD""),IF(REGEXMATCH(X$5,""SUN""),""WO"",""-""))))))"),"")</f>
        <v/>
      </c>
      <c r="Y212" s="43" t="str">
        <f>IFERROR(__xludf.DUMMYFUNCTION("IF($A207="""","""",IF(Y$5="""","""",LET(logStatus,IFNA(INDEX(DATA_LOG!$E:$E,MATCH(1,(DATA_LOG!$A:$A=$A207)*(TEXT(DATA_LOG!$B:$B,""yyyy-MM-dd"")=TEXT(DATE($P$3,MONTH(1&amp;$N$3),VALUE(LEFT(Y$5,2))),""yyyy-MM-dd"")),0)),""""),IF(logStatus&lt;&gt;"""",UPPER(logStatus)"&amp;",IF(Y211&lt;&gt;"""",IF(VALUE(Y211)&gt;=9/24,""FD"",""HD""),IF(REGEXMATCH(Y$5,""SUN""),""WO"",""-""))))))"),"")</f>
        <v/>
      </c>
      <c r="Z212" s="43" t="str">
        <f>IFERROR(__xludf.DUMMYFUNCTION("IF($A207="""","""",IF(Z$5="""","""",LET(logStatus,IFNA(INDEX(DATA_LOG!$E:$E,MATCH(1,(DATA_LOG!$A:$A=$A207)*(TEXT(DATA_LOG!$B:$B,""yyyy-MM-dd"")=TEXT(DATE($P$3,MONTH(1&amp;$N$3),VALUE(LEFT(Z$5,2))),""yyyy-MM-dd"")),0)),""""),IF(logStatus&lt;&gt;"""",UPPER(logStatus)"&amp;",IF(Z211&lt;&gt;"""",IF(VALUE(Z211)&gt;=9/24,""FD"",""HD""),IF(REGEXMATCH(Z$5,""SUN""),""WO"",""-""))))))"),"")</f>
        <v/>
      </c>
      <c r="AA212" s="43" t="str">
        <f>IFERROR(__xludf.DUMMYFUNCTION("IF($A207="""","""",IF(AA$5="""","""",LET(logStatus,IFNA(INDEX(DATA_LOG!$E:$E,MATCH(1,(DATA_LOG!$A:$A=$A207)*(TEXT(DATA_LOG!$B:$B,""yyyy-MM-dd"")=TEXT(DATE($P$3,MONTH(1&amp;$N$3),VALUE(LEFT(AA$5,2))),""yyyy-MM-dd"")),0)),""""),IF(logStatus&lt;&gt;"""",UPPER(logStatu"&amp;"s),IF(AA211&lt;&gt;"""",IF(VALUE(AA211)&gt;=9/24,""FD"",""HD""),IF(REGEXMATCH(AA$5,""SUN""),""WO"",""-""))))))"),"")</f>
        <v/>
      </c>
      <c r="AB212" s="43" t="str">
        <f>IFERROR(__xludf.DUMMYFUNCTION("IF($A207="""","""",IF(AB$5="""","""",LET(logStatus,IFNA(INDEX(DATA_LOG!$E:$E,MATCH(1,(DATA_LOG!$A:$A=$A207)*(TEXT(DATA_LOG!$B:$B,""yyyy-MM-dd"")=TEXT(DATE($P$3,MONTH(1&amp;$N$3),VALUE(LEFT(AB$5,2))),""yyyy-MM-dd"")),0)),""""),IF(logStatus&lt;&gt;"""",UPPER(logStatu"&amp;"s),IF(AB211&lt;&gt;"""",IF(VALUE(AB211)&gt;=9/24,""FD"",""HD""),IF(REGEXMATCH(AB$5,""SUN""),""WO"",""-""))))))"),"")</f>
        <v/>
      </c>
      <c r="AC212" s="43" t="str">
        <f>IFERROR(__xludf.DUMMYFUNCTION("IF($A207="""","""",IF(AC$5="""","""",LET(logStatus,IFNA(INDEX(DATA_LOG!$E:$E,MATCH(1,(DATA_LOG!$A:$A=$A207)*(TEXT(DATA_LOG!$B:$B,""yyyy-MM-dd"")=TEXT(DATE($P$3,MONTH(1&amp;$N$3),VALUE(LEFT(AC$5,2))),""yyyy-MM-dd"")),0)),""""),IF(logStatus&lt;&gt;"""",UPPER(logStatu"&amp;"s),IF(AC211&lt;&gt;"""",IF(VALUE(AC211)&gt;=9/24,""FD"",""HD""),IF(REGEXMATCH(AC$5,""SUN""),""WO"",""-""))))))"),"")</f>
        <v/>
      </c>
      <c r="AD212" s="43" t="str">
        <f>IFERROR(__xludf.DUMMYFUNCTION("IF($A207="""","""",IF(AD$5="""","""",LET(logStatus,IFNA(INDEX(DATA_LOG!$E:$E,MATCH(1,(DATA_LOG!$A:$A=$A207)*(TEXT(DATA_LOG!$B:$B,""yyyy-MM-dd"")=TEXT(DATE($P$3,MONTH(1&amp;$N$3),VALUE(LEFT(AD$5,2))),""yyyy-MM-dd"")),0)),""""),IF(logStatus&lt;&gt;"""",UPPER(logStatu"&amp;"s),IF(AD211&lt;&gt;"""",IF(VALUE(AD211)&gt;=9/24,""FD"",""HD""),IF(REGEXMATCH(AD$5,""SUN""),""WO"",""-""))))))"),"")</f>
        <v/>
      </c>
      <c r="AE212" s="43" t="str">
        <f>IFERROR(__xludf.DUMMYFUNCTION("IF($A207="""","""",IF(AE$5="""","""",LET(logStatus,IFNA(INDEX(DATA_LOG!$E:$E,MATCH(1,(DATA_LOG!$A:$A=$A207)*(TEXT(DATA_LOG!$B:$B,""yyyy-MM-dd"")=TEXT(DATE($P$3,MONTH(1&amp;$N$3),VALUE(LEFT(AE$5,2))),""yyyy-MM-dd"")),0)),""""),IF(logStatus&lt;&gt;"""",UPPER(logStatu"&amp;"s),IF(AE211&lt;&gt;"""",IF(VALUE(AE211)&gt;=9/24,""FD"",""HD""),IF(REGEXMATCH(AE$5,""SUN""),""WO"",""-""))))))"),"")</f>
        <v/>
      </c>
      <c r="AF212" s="43" t="str">
        <f>IFERROR(__xludf.DUMMYFUNCTION("IF($A207="""","""",IF(AF$5="""","""",LET(logStatus,IFNA(INDEX(DATA_LOG!$E:$E,MATCH(1,(DATA_LOG!$A:$A=$A207)*(TEXT(DATA_LOG!$B:$B,""yyyy-MM-dd"")=TEXT(DATE($P$3,MONTH(1&amp;$N$3),VALUE(LEFT(AF$5,2))),""yyyy-MM-dd"")),0)),""""),IF(logStatus&lt;&gt;"""",UPPER(logStatu"&amp;"s),IF(AF211&lt;&gt;"""",IF(VALUE(AF211)&gt;=9/24,""FD"",""HD""),IF(REGEXMATCH(AF$5,""SUN""),""WO"",""-""))))))"),"")</f>
        <v/>
      </c>
    </row>
    <row r="213">
      <c r="A213" s="44"/>
    </row>
    <row r="214">
      <c r="A214" s="25" t="str">
        <f t="array" ref="A214">INDEX(EMPLOYEE_LIST!$A:$A,INT((ROW()-4)/7)+2)</f>
        <v/>
      </c>
      <c r="B214" s="26"/>
      <c r="C214" s="27"/>
      <c r="D214" s="28" t="str">
        <f>IF(A214="", "", IFERROR(VLOOKUP(A214, EMPLOYEE_LIST!$A:$H, 2, FALSE), ""))</f>
        <v/>
      </c>
      <c r="E214" s="26"/>
      <c r="F214" s="26"/>
      <c r="G214" s="27"/>
      <c r="H214" s="29" t="str">
        <f>IF(A214="", "", IFERROR(VLOOKUP(A214, EMPLOYEE_LIST!$A:$H, 3, FALSE), ""))</f>
        <v/>
      </c>
      <c r="I214" s="26"/>
      <c r="J214" s="26"/>
      <c r="K214" s="27"/>
      <c r="L214" s="29" t="str">
        <f>IF(A214="", "", IFERROR(VLOOKUP(A214, EMPLOYEE_LIST!$A:$H, 4, FALSE), ""))</f>
        <v/>
      </c>
      <c r="M214" s="26"/>
      <c r="N214" s="26"/>
      <c r="O214" s="27"/>
      <c r="P214" s="30" t="str">
        <f>IF($A214="", "", "Full Day: " &amp; COUNTIF(B219:AF219, "FD"))</f>
        <v/>
      </c>
      <c r="Q214" s="26"/>
      <c r="R214" s="27"/>
      <c r="S214" s="31" t="str">
        <f>IF($A214="", "", "HALF Day: " &amp; COUNTIF(B219:AF219, "HD"))</f>
        <v/>
      </c>
      <c r="T214" s="26"/>
      <c r="U214" s="27"/>
      <c r="V214" s="31" t="str">
        <f>IF($A214="", "", "ABSENT: " &amp; COUNTIF(B219:AF219, "A"))</f>
        <v/>
      </c>
      <c r="W214" s="26"/>
      <c r="X214" s="27"/>
      <c r="Y214" s="31" t="str">
        <f>IF($A214="", "", "WEEK OFF: " &amp; COUNTIF(B219:AF219, "WO"))</f>
        <v/>
      </c>
      <c r="Z214" s="26"/>
      <c r="AA214" s="27"/>
      <c r="AB214" s="31" t="str">
        <f>IF($A214="", "", "LEAVE: " &amp; COUNTIF(B219:AF219, "L"))</f>
        <v/>
      </c>
      <c r="AC214" s="27"/>
      <c r="AD214" s="31" t="str">
        <f>IF($A214="", "", "HOLIDAY: " &amp; COUNTIF(B219:AF219, "HL"))</f>
        <v/>
      </c>
      <c r="AE214" s="26"/>
      <c r="AF214" s="27"/>
    </row>
    <row r="215">
      <c r="A215" s="32" t="str">
        <f>IF($A214="", "", "DATE")</f>
        <v/>
      </c>
      <c r="B215" s="33" t="str">
        <f t="array" ref="B215">IF($A214="","",LET(mNum,MONTH(1&amp;$N$3),start,DATE($P$3,mNum,1),days,DAY(EOMONTH(start,0)),MAP(SEQUENCE(1,days,0),LAMBDA(n,UPPER(TEXT(start+n,"dd (ddd)"))))))</f>
        <v/>
      </c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>
      <c r="A216" s="37" t="str">
        <f>IF($A214="", "", "IN")</f>
        <v/>
      </c>
      <c r="B216" s="39" t="str">
        <f t="array" ref="B216">IF(OR($A214="",B$5=""),"",IFNA(INDEX(DATA_LOG!$C:$C,MATCH(1,(DATA_LOG!$A:$A=$A214)*(TEXT(DATA_LOG!$B:$B,"yyyy-MM-dd")=TEXT(DATE($P$3,MONTH(1&amp;$N$3),VALUE(LEFT(B$5,2))),"yyyy-MM-dd")),0)),""))</f>
        <v/>
      </c>
      <c r="C216" s="39" t="str">
        <f t="array" ref="C216">IF(OR($A214="",C$5=""),"",IFNA(INDEX(DATA_LOG!$C:$C,MATCH(1,(DATA_LOG!$A:$A=$A214)*(TEXT(DATA_LOG!$B:$B,"yyyy-MM-dd")=TEXT(DATE($P$3,MONTH(1&amp;$N$3),VALUE(LEFT(C$5,2))),"yyyy-MM-dd")),0)),""))</f>
        <v/>
      </c>
      <c r="D216" s="39" t="str">
        <f t="array" ref="D216">IF(OR($A214="",D$5=""),"",IFNA(INDEX(DATA_LOG!$C:$C,MATCH(1,(DATA_LOG!$A:$A=$A214)*(TEXT(DATA_LOG!$B:$B,"yyyy-MM-dd")=TEXT(DATE($P$3,MONTH(1&amp;$N$3),VALUE(LEFT(D$5,2))),"yyyy-MM-dd")),0)),""))</f>
        <v/>
      </c>
      <c r="E216" s="39" t="str">
        <f t="array" ref="E216">IF(OR($A214="",E$5=""),"",IFNA(INDEX(DATA_LOG!$C:$C,MATCH(1,(DATA_LOG!$A:$A=$A214)*(TEXT(DATA_LOG!$B:$B,"yyyy-MM-dd")=TEXT(DATE($P$3,MONTH(1&amp;$N$3),VALUE(LEFT(E$5,2))),"yyyy-MM-dd")),0)),""))</f>
        <v/>
      </c>
      <c r="F216" s="39" t="str">
        <f t="array" ref="F216">IF(OR($A214="",F$5=""),"",IFNA(INDEX(DATA_LOG!$C:$C,MATCH(1,(DATA_LOG!$A:$A=$A214)*(TEXT(DATA_LOG!$B:$B,"yyyy-MM-dd")=TEXT(DATE($P$3,MONTH(1&amp;$N$3),VALUE(LEFT(F$5,2))),"yyyy-MM-dd")),0)),""))</f>
        <v/>
      </c>
      <c r="G216" s="39" t="str">
        <f t="array" ref="G216">IF(OR($A214="",G$5=""),"",IFNA(INDEX(DATA_LOG!$C:$C,MATCH(1,(DATA_LOG!$A:$A=$A214)*(TEXT(DATA_LOG!$B:$B,"yyyy-MM-dd")=TEXT(DATE($P$3,MONTH(1&amp;$N$3),VALUE(LEFT(G$5,2))),"yyyy-MM-dd")),0)),""))</f>
        <v/>
      </c>
      <c r="H216" s="39" t="str">
        <f t="array" ref="H216">IF(OR($A214="",H$5=""),"",IFNA(INDEX(DATA_LOG!$C:$C,MATCH(1,(DATA_LOG!$A:$A=$A214)*(TEXT(DATA_LOG!$B:$B,"yyyy-MM-dd")=TEXT(DATE($P$3,MONTH(1&amp;$N$3),VALUE(LEFT(H$5,2))),"yyyy-MM-dd")),0)),""))</f>
        <v/>
      </c>
      <c r="I216" s="39" t="str">
        <f t="array" ref="I216">IF(OR($A214="",I$5=""),"",IFNA(INDEX(DATA_LOG!$C:$C,MATCH(1,(DATA_LOG!$A:$A=$A214)*(TEXT(DATA_LOG!$B:$B,"yyyy-MM-dd")=TEXT(DATE($P$3,MONTH(1&amp;$N$3),VALUE(LEFT(I$5,2))),"yyyy-MM-dd")),0)),""))</f>
        <v/>
      </c>
      <c r="J216" s="39" t="str">
        <f t="array" ref="J216">IF(OR($A214="",J$5=""),"",IFNA(INDEX(DATA_LOG!$C:$C,MATCH(1,(DATA_LOG!$A:$A=$A214)*(TEXT(DATA_LOG!$B:$B,"yyyy-MM-dd")=TEXT(DATE($P$3,MONTH(1&amp;$N$3),VALUE(LEFT(J$5,2))),"yyyy-MM-dd")),0)),""))</f>
        <v/>
      </c>
      <c r="K216" s="39" t="str">
        <f t="array" ref="K216">IF(OR($A214="",K$5=""),"",IFNA(INDEX(DATA_LOG!$C:$C,MATCH(1,(DATA_LOG!$A:$A=$A214)*(TEXT(DATA_LOG!$B:$B,"yyyy-MM-dd")=TEXT(DATE($P$3,MONTH(1&amp;$N$3),VALUE(LEFT(K$5,2))),"yyyy-MM-dd")),0)),""))</f>
        <v/>
      </c>
      <c r="L216" s="39" t="str">
        <f t="array" ref="L216">IF(OR($A214="",L$5=""),"",IFNA(INDEX(DATA_LOG!$C:$C,MATCH(1,(DATA_LOG!$A:$A=$A214)*(TEXT(DATA_LOG!$B:$B,"yyyy-MM-dd")=TEXT(DATE($P$3,MONTH(1&amp;$N$3),VALUE(LEFT(L$5,2))),"yyyy-MM-dd")),0)),""))</f>
        <v/>
      </c>
      <c r="M216" s="39" t="str">
        <f t="array" ref="M216">IF(OR($A214="",M$5=""),"",IFNA(INDEX(DATA_LOG!$C:$C,MATCH(1,(DATA_LOG!$A:$A=$A214)*(TEXT(DATA_LOG!$B:$B,"yyyy-MM-dd")=TEXT(DATE($P$3,MONTH(1&amp;$N$3),VALUE(LEFT(M$5,2))),"yyyy-MM-dd")),0)),""))</f>
        <v/>
      </c>
      <c r="N216" s="39" t="str">
        <f t="array" ref="N216">IF(OR($A214="",N$5=""),"",IFNA(INDEX(DATA_LOG!$C:$C,MATCH(1,(DATA_LOG!$A:$A=$A214)*(TEXT(DATA_LOG!$B:$B,"yyyy-MM-dd")=TEXT(DATE($P$3,MONTH(1&amp;$N$3),VALUE(LEFT(N$5,2))),"yyyy-MM-dd")),0)),""))</f>
        <v/>
      </c>
      <c r="O216" s="39" t="str">
        <f t="array" ref="O216">IF(OR($A214="",O$5=""),"",IFNA(INDEX(DATA_LOG!$C:$C,MATCH(1,(DATA_LOG!$A:$A=$A214)*(TEXT(DATA_LOG!$B:$B,"yyyy-MM-dd")=TEXT(DATE($P$3,MONTH(1&amp;$N$3),VALUE(LEFT(O$5,2))),"yyyy-MM-dd")),0)),""))</f>
        <v/>
      </c>
      <c r="P216" s="39" t="str">
        <f t="array" ref="P216">IF(OR($A214="",P$5=""),"",IFNA(INDEX(DATA_LOG!$C:$C,MATCH(1,(DATA_LOG!$A:$A=$A214)*(TEXT(DATA_LOG!$B:$B,"yyyy-MM-dd")=TEXT(DATE($P$3,MONTH(1&amp;$N$3),VALUE(LEFT(P$5,2))),"yyyy-MM-dd")),0)),""))</f>
        <v/>
      </c>
      <c r="Q216" s="39" t="str">
        <f t="array" ref="Q216">IF(OR($A214="",Q$5=""),"",IFNA(INDEX(DATA_LOG!$C:$C,MATCH(1,(DATA_LOG!$A:$A=$A214)*(TEXT(DATA_LOG!$B:$B,"yyyy-MM-dd")=TEXT(DATE($P$3,MONTH(1&amp;$N$3),VALUE(LEFT(Q$5,2))),"yyyy-MM-dd")),0)),""))</f>
        <v/>
      </c>
      <c r="R216" s="39" t="str">
        <f t="array" ref="R216">IF(OR($A214="",R$5=""),"",IFNA(INDEX(DATA_LOG!$C:$C,MATCH(1,(DATA_LOG!$A:$A=$A214)*(TEXT(DATA_LOG!$B:$B,"yyyy-MM-dd")=TEXT(DATE($P$3,MONTH(1&amp;$N$3),VALUE(LEFT(R$5,2))),"yyyy-MM-dd")),0)),""))</f>
        <v/>
      </c>
      <c r="S216" s="39" t="str">
        <f t="array" ref="S216">IF(OR($A214="",S$5=""),"",IFNA(INDEX(DATA_LOG!$C:$C,MATCH(1,(DATA_LOG!$A:$A=$A214)*(TEXT(DATA_LOG!$B:$B,"yyyy-MM-dd")=TEXT(DATE($P$3,MONTH(1&amp;$N$3),VALUE(LEFT(S$5,2))),"yyyy-MM-dd")),0)),""))</f>
        <v/>
      </c>
      <c r="T216" s="39" t="str">
        <f t="array" ref="T216">IF(OR($A214="",T$5=""),"",IFNA(INDEX(DATA_LOG!$C:$C,MATCH(1,(DATA_LOG!$A:$A=$A214)*(TEXT(DATA_LOG!$B:$B,"yyyy-MM-dd")=TEXT(DATE($P$3,MONTH(1&amp;$N$3),VALUE(LEFT(T$5,2))),"yyyy-MM-dd")),0)),""))</f>
        <v/>
      </c>
      <c r="U216" s="39" t="str">
        <f t="array" ref="U216">IF(OR($A214="",U$5=""),"",IFNA(INDEX(DATA_LOG!$C:$C,MATCH(1,(DATA_LOG!$A:$A=$A214)*(TEXT(DATA_LOG!$B:$B,"yyyy-MM-dd")=TEXT(DATE($P$3,MONTH(1&amp;$N$3),VALUE(LEFT(U$5,2))),"yyyy-MM-dd")),0)),""))</f>
        <v/>
      </c>
      <c r="V216" s="39" t="str">
        <f t="array" ref="V216">IF(OR($A214="",V$5=""),"",IFNA(INDEX(DATA_LOG!$C:$C,MATCH(1,(DATA_LOG!$A:$A=$A214)*(TEXT(DATA_LOG!$B:$B,"yyyy-MM-dd")=TEXT(DATE($P$3,MONTH(1&amp;$N$3),VALUE(LEFT(V$5,2))),"yyyy-MM-dd")),0)),""))</f>
        <v/>
      </c>
      <c r="W216" s="39" t="str">
        <f t="array" ref="W216">IF(OR($A214="",W$5=""),"",IFNA(INDEX(DATA_LOG!$C:$C,MATCH(1,(DATA_LOG!$A:$A=$A214)*(TEXT(DATA_LOG!$B:$B,"yyyy-MM-dd")=TEXT(DATE($P$3,MONTH(1&amp;$N$3),VALUE(LEFT(W$5,2))),"yyyy-MM-dd")),0)),""))</f>
        <v/>
      </c>
      <c r="X216" s="39" t="str">
        <f t="array" ref="X216">IF(OR($A214="",X$5=""),"",IFNA(INDEX(DATA_LOG!$C:$C,MATCH(1,(DATA_LOG!$A:$A=$A214)*(TEXT(DATA_LOG!$B:$B,"yyyy-MM-dd")=TEXT(DATE($P$3,MONTH(1&amp;$N$3),VALUE(LEFT(X$5,2))),"yyyy-MM-dd")),0)),""))</f>
        <v/>
      </c>
      <c r="Y216" s="39" t="str">
        <f t="array" ref="Y216">IF(OR($A214="",Y$5=""),"",IFNA(INDEX(DATA_LOG!$C:$C,MATCH(1,(DATA_LOG!$A:$A=$A214)*(TEXT(DATA_LOG!$B:$B,"yyyy-MM-dd")=TEXT(DATE($P$3,MONTH(1&amp;$N$3),VALUE(LEFT(Y$5,2))),"yyyy-MM-dd")),0)),""))</f>
        <v/>
      </c>
      <c r="Z216" s="39" t="str">
        <f t="array" ref="Z216">IF(OR($A214="",Z$5=""),"",IFNA(INDEX(DATA_LOG!$C:$C,MATCH(1,(DATA_LOG!$A:$A=$A214)*(TEXT(DATA_LOG!$B:$B,"yyyy-MM-dd")=TEXT(DATE($P$3,MONTH(1&amp;$N$3),VALUE(LEFT(Z$5,2))),"yyyy-MM-dd")),0)),""))</f>
        <v/>
      </c>
      <c r="AA216" s="39" t="str">
        <f t="array" ref="AA216">IF(OR($A214="",AA$5=""),"",IFNA(INDEX(DATA_LOG!$C:$C,MATCH(1,(DATA_LOG!$A:$A=$A214)*(TEXT(DATA_LOG!$B:$B,"yyyy-MM-dd")=TEXT(DATE($P$3,MONTH(1&amp;$N$3),VALUE(LEFT(AA$5,2))),"yyyy-MM-dd")),0)),""))</f>
        <v/>
      </c>
      <c r="AB216" s="39" t="str">
        <f t="array" ref="AB216">IF(OR($A214="",AB$5=""),"",IFNA(INDEX(DATA_LOG!$C:$C,MATCH(1,(DATA_LOG!$A:$A=$A214)*(TEXT(DATA_LOG!$B:$B,"yyyy-MM-dd")=TEXT(DATE($P$3,MONTH(1&amp;$N$3),VALUE(LEFT(AB$5,2))),"yyyy-MM-dd")),0)),""))</f>
        <v/>
      </c>
      <c r="AC216" s="39" t="str">
        <f t="array" ref="AC216">IF(OR($A214="",AC$5=""),"",IFNA(INDEX(DATA_LOG!$C:$C,MATCH(1,(DATA_LOG!$A:$A=$A214)*(TEXT(DATA_LOG!$B:$B,"yyyy-MM-dd")=TEXT(DATE($P$3,MONTH(1&amp;$N$3),VALUE(LEFT(AC$5,2))),"yyyy-MM-dd")),0)),""))</f>
        <v/>
      </c>
      <c r="AD216" s="39" t="str">
        <f t="array" ref="AD216">IF(OR($A214="",AD$5=""),"",IFNA(INDEX(DATA_LOG!$C:$C,MATCH(1,(DATA_LOG!$A:$A=$A214)*(TEXT(DATA_LOG!$B:$B,"yyyy-MM-dd")=TEXT(DATE($P$3,MONTH(1&amp;$N$3),VALUE(LEFT(AD$5,2))),"yyyy-MM-dd")),0)),""))</f>
        <v/>
      </c>
      <c r="AE216" s="39" t="str">
        <f t="array" ref="AE216">IF(OR($A214="",AE$5=""),"",IFNA(INDEX(DATA_LOG!$C:$C,MATCH(1,(DATA_LOG!$A:$A=$A214)*(TEXT(DATA_LOG!$B:$B,"yyyy-MM-dd")=TEXT(DATE($P$3,MONTH(1&amp;$N$3),VALUE(LEFT(AE$5,2))),"yyyy-MM-dd")),0)),""))</f>
        <v/>
      </c>
      <c r="AF216" s="39" t="str">
        <f t="array" ref="AF216">IF(OR($A214="",AF$5=""),"",IFNA(INDEX(DATA_LOG!$C:$C,MATCH(1,(DATA_LOG!$A:$A=$A214)*(TEXT(DATA_LOG!$B:$B,"yyyy-MM-dd")=TEXT(DATE($P$3,MONTH(1&amp;$N$3),VALUE(LEFT(AF$5,2))),"yyyy-MM-dd")),0)),""))</f>
        <v/>
      </c>
    </row>
    <row r="217">
      <c r="A217" s="37" t="str">
        <f>IF($A214="", "", "OUT")</f>
        <v/>
      </c>
      <c r="B217" s="39" t="str">
        <f t="array" ref="B217">IF(OR($A214="",B$5=""),"",IFNA(INDEX(DATA_LOG!$D:$D,MATCH(1,(DATA_LOG!$A:$A=$A214)*(TEXT(DATA_LOG!$B:$B,"yyyy-MM-dd")=TEXT(DATE($P$3,MONTH(1&amp;$N$3),VALUE(LEFT(B$5,2))),"yyyy-MM-dd")),0)),""))</f>
        <v/>
      </c>
      <c r="C217" s="39" t="str">
        <f t="array" ref="C217">IF(OR($A214="",C$5=""),"",IFNA(INDEX(DATA_LOG!$D:$D,MATCH(1,(DATA_LOG!$A:$A=$A214)*(TEXT(DATA_LOG!$B:$B,"yyyy-MM-dd")=TEXT(DATE($P$3,MONTH(1&amp;$N$3),VALUE(LEFT(C$5,2))),"yyyy-MM-dd")),0)),""))</f>
        <v/>
      </c>
      <c r="D217" s="39" t="str">
        <f t="array" ref="D217">IF(OR($A214="",D$5=""),"",IFNA(INDEX(DATA_LOG!$D:$D,MATCH(1,(DATA_LOG!$A:$A=$A214)*(TEXT(DATA_LOG!$B:$B,"yyyy-MM-dd")=TEXT(DATE($P$3,MONTH(1&amp;$N$3),VALUE(LEFT(D$5,2))),"yyyy-MM-dd")),0)),""))</f>
        <v/>
      </c>
      <c r="E217" s="39" t="str">
        <f t="array" ref="E217">IF(OR($A214="",E$5=""),"",IFNA(INDEX(DATA_LOG!$D:$D,MATCH(1,(DATA_LOG!$A:$A=$A214)*(TEXT(DATA_LOG!$B:$B,"yyyy-MM-dd")=TEXT(DATE($P$3,MONTH(1&amp;$N$3),VALUE(LEFT(E$5,2))),"yyyy-MM-dd")),0)),""))</f>
        <v/>
      </c>
      <c r="F217" s="39" t="str">
        <f t="array" ref="F217">IF(OR($A214="",F$5=""),"",IFNA(INDEX(DATA_LOG!$D:$D,MATCH(1,(DATA_LOG!$A:$A=$A214)*(TEXT(DATA_LOG!$B:$B,"yyyy-MM-dd")=TEXT(DATE($P$3,MONTH(1&amp;$N$3),VALUE(LEFT(F$5,2))),"yyyy-MM-dd")),0)),""))</f>
        <v/>
      </c>
      <c r="G217" s="39" t="str">
        <f t="array" ref="G217">IF(OR($A214="",G$5=""),"",IFNA(INDEX(DATA_LOG!$D:$D,MATCH(1,(DATA_LOG!$A:$A=$A214)*(TEXT(DATA_LOG!$B:$B,"yyyy-MM-dd")=TEXT(DATE($P$3,MONTH(1&amp;$N$3),VALUE(LEFT(G$5,2))),"yyyy-MM-dd")),0)),""))</f>
        <v/>
      </c>
      <c r="H217" s="39" t="str">
        <f t="array" ref="H217">IF(OR($A214="",H$5=""),"",IFNA(INDEX(DATA_LOG!$D:$D,MATCH(1,(DATA_LOG!$A:$A=$A214)*(TEXT(DATA_LOG!$B:$B,"yyyy-MM-dd")=TEXT(DATE($P$3,MONTH(1&amp;$N$3),VALUE(LEFT(H$5,2))),"yyyy-MM-dd")),0)),""))</f>
        <v/>
      </c>
      <c r="I217" s="39" t="str">
        <f t="array" ref="I217">IF(OR($A214="",I$5=""),"",IFNA(INDEX(DATA_LOG!$D:$D,MATCH(1,(DATA_LOG!$A:$A=$A214)*(TEXT(DATA_LOG!$B:$B,"yyyy-MM-dd")=TEXT(DATE($P$3,MONTH(1&amp;$N$3),VALUE(LEFT(I$5,2))),"yyyy-MM-dd")),0)),""))</f>
        <v/>
      </c>
      <c r="J217" s="39" t="str">
        <f t="array" ref="J217">IF(OR($A214="",J$5=""),"",IFNA(INDEX(DATA_LOG!$D:$D,MATCH(1,(DATA_LOG!$A:$A=$A214)*(TEXT(DATA_LOG!$B:$B,"yyyy-MM-dd")=TEXT(DATE($P$3,MONTH(1&amp;$N$3),VALUE(LEFT(J$5,2))),"yyyy-MM-dd")),0)),""))</f>
        <v/>
      </c>
      <c r="K217" s="39" t="str">
        <f t="array" ref="K217">IF(OR($A214="",K$5=""),"",IFNA(INDEX(DATA_LOG!$D:$D,MATCH(1,(DATA_LOG!$A:$A=$A214)*(TEXT(DATA_LOG!$B:$B,"yyyy-MM-dd")=TEXT(DATE($P$3,MONTH(1&amp;$N$3),VALUE(LEFT(K$5,2))),"yyyy-MM-dd")),0)),""))</f>
        <v/>
      </c>
      <c r="L217" s="39" t="str">
        <f t="array" ref="L217">IF(OR($A214="",L$5=""),"",IFNA(INDEX(DATA_LOG!$D:$D,MATCH(1,(DATA_LOG!$A:$A=$A214)*(TEXT(DATA_LOG!$B:$B,"yyyy-MM-dd")=TEXT(DATE($P$3,MONTH(1&amp;$N$3),VALUE(LEFT(L$5,2))),"yyyy-MM-dd")),0)),""))</f>
        <v/>
      </c>
      <c r="M217" s="39" t="str">
        <f t="array" ref="M217">IF(OR($A214="",M$5=""),"",IFNA(INDEX(DATA_LOG!$D:$D,MATCH(1,(DATA_LOG!$A:$A=$A214)*(TEXT(DATA_LOG!$B:$B,"yyyy-MM-dd")=TEXT(DATE($P$3,MONTH(1&amp;$N$3),VALUE(LEFT(M$5,2))),"yyyy-MM-dd")),0)),""))</f>
        <v/>
      </c>
      <c r="N217" s="39" t="str">
        <f t="array" ref="N217">IF(OR($A214="",N$5=""),"",IFNA(INDEX(DATA_LOG!$D:$D,MATCH(1,(DATA_LOG!$A:$A=$A214)*(TEXT(DATA_LOG!$B:$B,"yyyy-MM-dd")=TEXT(DATE($P$3,MONTH(1&amp;$N$3),VALUE(LEFT(N$5,2))),"yyyy-MM-dd")),0)),""))</f>
        <v/>
      </c>
      <c r="O217" s="39" t="str">
        <f t="array" ref="O217">IF(OR($A214="",O$5=""),"",IFNA(INDEX(DATA_LOG!$D:$D,MATCH(1,(DATA_LOG!$A:$A=$A214)*(TEXT(DATA_LOG!$B:$B,"yyyy-MM-dd")=TEXT(DATE($P$3,MONTH(1&amp;$N$3),VALUE(LEFT(O$5,2))),"yyyy-MM-dd")),0)),""))</f>
        <v/>
      </c>
      <c r="P217" s="39" t="str">
        <f t="array" ref="P217">IF(OR($A214="",P$5=""),"",IFNA(INDEX(DATA_LOG!$D:$D,MATCH(1,(DATA_LOG!$A:$A=$A214)*(TEXT(DATA_LOG!$B:$B,"yyyy-MM-dd")=TEXT(DATE($P$3,MONTH(1&amp;$N$3),VALUE(LEFT(P$5,2))),"yyyy-MM-dd")),0)),""))</f>
        <v/>
      </c>
      <c r="Q217" s="39" t="str">
        <f t="array" ref="Q217">IF(OR($A214="",Q$5=""),"",IFNA(INDEX(DATA_LOG!$D:$D,MATCH(1,(DATA_LOG!$A:$A=$A214)*(TEXT(DATA_LOG!$B:$B,"yyyy-MM-dd")=TEXT(DATE($P$3,MONTH(1&amp;$N$3),VALUE(LEFT(Q$5,2))),"yyyy-MM-dd")),0)),""))</f>
        <v/>
      </c>
      <c r="R217" s="39" t="str">
        <f t="array" ref="R217">IF(OR($A214="",R$5=""),"",IFNA(INDEX(DATA_LOG!$D:$D,MATCH(1,(DATA_LOG!$A:$A=$A214)*(TEXT(DATA_LOG!$B:$B,"yyyy-MM-dd")=TEXT(DATE($P$3,MONTH(1&amp;$N$3),VALUE(LEFT(R$5,2))),"yyyy-MM-dd")),0)),""))</f>
        <v/>
      </c>
      <c r="S217" s="39" t="str">
        <f t="array" ref="S217">IF(OR($A214="",S$5=""),"",IFNA(INDEX(DATA_LOG!$D:$D,MATCH(1,(DATA_LOG!$A:$A=$A214)*(TEXT(DATA_LOG!$B:$B,"yyyy-MM-dd")=TEXT(DATE($P$3,MONTH(1&amp;$N$3),VALUE(LEFT(S$5,2))),"yyyy-MM-dd")),0)),""))</f>
        <v/>
      </c>
      <c r="T217" s="39" t="str">
        <f t="array" ref="T217">IF(OR($A214="",T$5=""),"",IFNA(INDEX(DATA_LOG!$D:$D,MATCH(1,(DATA_LOG!$A:$A=$A214)*(TEXT(DATA_LOG!$B:$B,"yyyy-MM-dd")=TEXT(DATE($P$3,MONTH(1&amp;$N$3),VALUE(LEFT(T$5,2))),"yyyy-MM-dd")),0)),""))</f>
        <v/>
      </c>
      <c r="U217" s="39" t="str">
        <f t="array" ref="U217">IF(OR($A214="",U$5=""),"",IFNA(INDEX(DATA_LOG!$D:$D,MATCH(1,(DATA_LOG!$A:$A=$A214)*(TEXT(DATA_LOG!$B:$B,"yyyy-MM-dd")=TEXT(DATE($P$3,MONTH(1&amp;$N$3),VALUE(LEFT(U$5,2))),"yyyy-MM-dd")),0)),""))</f>
        <v/>
      </c>
      <c r="V217" s="39" t="str">
        <f t="array" ref="V217">IF(OR($A214="",V$5=""),"",IFNA(INDEX(DATA_LOG!$D:$D,MATCH(1,(DATA_LOG!$A:$A=$A214)*(TEXT(DATA_LOG!$B:$B,"yyyy-MM-dd")=TEXT(DATE($P$3,MONTH(1&amp;$N$3),VALUE(LEFT(V$5,2))),"yyyy-MM-dd")),0)),""))</f>
        <v/>
      </c>
      <c r="W217" s="39" t="str">
        <f t="array" ref="W217">IF(OR($A214="",W$5=""),"",IFNA(INDEX(DATA_LOG!$D:$D,MATCH(1,(DATA_LOG!$A:$A=$A214)*(TEXT(DATA_LOG!$B:$B,"yyyy-MM-dd")=TEXT(DATE($P$3,MONTH(1&amp;$N$3),VALUE(LEFT(W$5,2))),"yyyy-MM-dd")),0)),""))</f>
        <v/>
      </c>
      <c r="X217" s="39" t="str">
        <f t="array" ref="X217">IF(OR($A214="",X$5=""),"",IFNA(INDEX(DATA_LOG!$D:$D,MATCH(1,(DATA_LOG!$A:$A=$A214)*(TEXT(DATA_LOG!$B:$B,"yyyy-MM-dd")=TEXT(DATE($P$3,MONTH(1&amp;$N$3),VALUE(LEFT(X$5,2))),"yyyy-MM-dd")),0)),""))</f>
        <v/>
      </c>
      <c r="Y217" s="39" t="str">
        <f t="array" ref="Y217">IF(OR($A214="",Y$5=""),"",IFNA(INDEX(DATA_LOG!$D:$D,MATCH(1,(DATA_LOG!$A:$A=$A214)*(TEXT(DATA_LOG!$B:$B,"yyyy-MM-dd")=TEXT(DATE($P$3,MONTH(1&amp;$N$3),VALUE(LEFT(Y$5,2))),"yyyy-MM-dd")),0)),""))</f>
        <v/>
      </c>
      <c r="Z217" s="39" t="str">
        <f t="array" ref="Z217">IF(OR($A214="",Z$5=""),"",IFNA(INDEX(DATA_LOG!$D:$D,MATCH(1,(DATA_LOG!$A:$A=$A214)*(TEXT(DATA_LOG!$B:$B,"yyyy-MM-dd")=TEXT(DATE($P$3,MONTH(1&amp;$N$3),VALUE(LEFT(Z$5,2))),"yyyy-MM-dd")),0)),""))</f>
        <v/>
      </c>
      <c r="AA217" s="39" t="str">
        <f t="array" ref="AA217">IF(OR($A214="",AA$5=""),"",IFNA(INDEX(DATA_LOG!$D:$D,MATCH(1,(DATA_LOG!$A:$A=$A214)*(TEXT(DATA_LOG!$B:$B,"yyyy-MM-dd")=TEXT(DATE($P$3,MONTH(1&amp;$N$3),VALUE(LEFT(AA$5,2))),"yyyy-MM-dd")),0)),""))</f>
        <v/>
      </c>
      <c r="AB217" s="39" t="str">
        <f t="array" ref="AB217">IF(OR($A214="",AB$5=""),"",IFNA(INDEX(DATA_LOG!$D:$D,MATCH(1,(DATA_LOG!$A:$A=$A214)*(TEXT(DATA_LOG!$B:$B,"yyyy-MM-dd")=TEXT(DATE($P$3,MONTH(1&amp;$N$3),VALUE(LEFT(AB$5,2))),"yyyy-MM-dd")),0)),""))</f>
        <v/>
      </c>
      <c r="AC217" s="39" t="str">
        <f t="array" ref="AC217">IF(OR($A214="",AC$5=""),"",IFNA(INDEX(DATA_LOG!$D:$D,MATCH(1,(DATA_LOG!$A:$A=$A214)*(TEXT(DATA_LOG!$B:$B,"yyyy-MM-dd")=TEXT(DATE($P$3,MONTH(1&amp;$N$3),VALUE(LEFT(AC$5,2))),"yyyy-MM-dd")),0)),""))</f>
        <v/>
      </c>
      <c r="AD217" s="39" t="str">
        <f t="array" ref="AD217">IF(OR($A214="",AD$5=""),"",IFNA(INDEX(DATA_LOG!$D:$D,MATCH(1,(DATA_LOG!$A:$A=$A214)*(TEXT(DATA_LOG!$B:$B,"yyyy-MM-dd")=TEXT(DATE($P$3,MONTH(1&amp;$N$3),VALUE(LEFT(AD$5,2))),"yyyy-MM-dd")),0)),""))</f>
        <v/>
      </c>
      <c r="AE217" s="39" t="str">
        <f t="array" ref="AE217">IF(OR($A214="",AE$5=""),"",IFNA(INDEX(DATA_LOG!$D:$D,MATCH(1,(DATA_LOG!$A:$A=$A214)*(TEXT(DATA_LOG!$B:$B,"yyyy-MM-dd")=TEXT(DATE($P$3,MONTH(1&amp;$N$3),VALUE(LEFT(AE$5,2))),"yyyy-MM-dd")),0)),""))</f>
        <v/>
      </c>
      <c r="AF217" s="39" t="str">
        <f t="array" ref="AF217">IF(OR($A214="",AF$5=""),"",IFNA(INDEX(DATA_LOG!$D:$D,MATCH(1,(DATA_LOG!$A:$A=$A214)*(TEXT(DATA_LOG!$B:$B,"yyyy-MM-dd")=TEXT(DATE($P$3,MONTH(1&amp;$N$3),VALUE(LEFT(AF$5,2))),"yyyy-MM-dd")),0)),""))</f>
        <v/>
      </c>
    </row>
    <row r="218">
      <c r="A218" s="40" t="str">
        <f>IF($A214="", "", "TOTAL")</f>
        <v/>
      </c>
      <c r="B218" s="41" t="str">
        <f t="shared" ref="B218:AF218" si="31">IF(AND(B216&lt;&gt;"",B217&lt;&gt;""),TEXT(MOD(B217-B216,1),"hh:mm"),"")</f>
        <v/>
      </c>
      <c r="C218" s="34" t="str">
        <f t="shared" si="31"/>
        <v/>
      </c>
      <c r="D218" s="34" t="str">
        <f t="shared" si="31"/>
        <v/>
      </c>
      <c r="E218" s="34" t="str">
        <f t="shared" si="31"/>
        <v/>
      </c>
      <c r="F218" s="34" t="str">
        <f t="shared" si="31"/>
        <v/>
      </c>
      <c r="G218" s="34" t="str">
        <f t="shared" si="31"/>
        <v/>
      </c>
      <c r="H218" s="34" t="str">
        <f t="shared" si="31"/>
        <v/>
      </c>
      <c r="I218" s="34" t="str">
        <f t="shared" si="31"/>
        <v/>
      </c>
      <c r="J218" s="34" t="str">
        <f t="shared" si="31"/>
        <v/>
      </c>
      <c r="K218" s="34" t="str">
        <f t="shared" si="31"/>
        <v/>
      </c>
      <c r="L218" s="34" t="str">
        <f t="shared" si="31"/>
        <v/>
      </c>
      <c r="M218" s="34" t="str">
        <f t="shared" si="31"/>
        <v/>
      </c>
      <c r="N218" s="34" t="str">
        <f t="shared" si="31"/>
        <v/>
      </c>
      <c r="O218" s="34" t="str">
        <f t="shared" si="31"/>
        <v/>
      </c>
      <c r="P218" s="34" t="str">
        <f t="shared" si="31"/>
        <v/>
      </c>
      <c r="Q218" s="34" t="str">
        <f t="shared" si="31"/>
        <v/>
      </c>
      <c r="R218" s="34" t="str">
        <f t="shared" si="31"/>
        <v/>
      </c>
      <c r="S218" s="34" t="str">
        <f t="shared" si="31"/>
        <v/>
      </c>
      <c r="T218" s="34" t="str">
        <f t="shared" si="31"/>
        <v/>
      </c>
      <c r="U218" s="34" t="str">
        <f t="shared" si="31"/>
        <v/>
      </c>
      <c r="V218" s="34" t="str">
        <f t="shared" si="31"/>
        <v/>
      </c>
      <c r="W218" s="34" t="str">
        <f t="shared" si="31"/>
        <v/>
      </c>
      <c r="X218" s="34" t="str">
        <f t="shared" si="31"/>
        <v/>
      </c>
      <c r="Y218" s="34" t="str">
        <f t="shared" si="31"/>
        <v/>
      </c>
      <c r="Z218" s="34" t="str">
        <f t="shared" si="31"/>
        <v/>
      </c>
      <c r="AA218" s="34" t="str">
        <f t="shared" si="31"/>
        <v/>
      </c>
      <c r="AB218" s="34" t="str">
        <f t="shared" si="31"/>
        <v/>
      </c>
      <c r="AC218" s="34" t="str">
        <f t="shared" si="31"/>
        <v/>
      </c>
      <c r="AD218" s="34" t="str">
        <f t="shared" si="31"/>
        <v/>
      </c>
      <c r="AE218" s="34" t="str">
        <f t="shared" si="31"/>
        <v/>
      </c>
      <c r="AF218" s="34" t="str">
        <f t="shared" si="31"/>
        <v/>
      </c>
    </row>
    <row r="219">
      <c r="A219" s="42" t="str">
        <f>IF($A214="", "", "STATUS")</f>
        <v/>
      </c>
      <c r="B219" s="43" t="str">
        <f>IFERROR(__xludf.DUMMYFUNCTION("IF($A214="""","""",IF(B$5="""","""",LET(logStatus,IFNA(INDEX(DATA_LOG!$E:$E,MATCH(1,(DATA_LOG!$A:$A=$A214)*(TEXT(DATA_LOG!$B:$B,""yyyy-MM-dd"")=TEXT(DATE($P$3,MONTH(1&amp;$N$3),VALUE(LEFT(B$5,2))),""yyyy-MM-dd"")),0)),""""),IF(logStatus&lt;&gt;"""",UPPER(logStatus)"&amp;",IF(B218&lt;&gt;"""",IF(VALUE(B218)&gt;=9/24,""FD"",""HD""),IF(REGEXMATCH(B$5,""SUN""),""WO"",""-""))))))"),"")</f>
        <v/>
      </c>
      <c r="C219" s="43" t="str">
        <f>IFERROR(__xludf.DUMMYFUNCTION("IF($A214="""","""",IF(C$5="""","""",LET(logStatus,IFNA(INDEX(DATA_LOG!$E:$E,MATCH(1,(DATA_LOG!$A:$A=$A214)*(TEXT(DATA_LOG!$B:$B,""yyyy-MM-dd"")=TEXT(DATE($P$3,MONTH(1&amp;$N$3),VALUE(LEFT(C$5,2))),""yyyy-MM-dd"")),0)),""""),IF(logStatus&lt;&gt;"""",UPPER(logStatus)"&amp;",IF(C218&lt;&gt;"""",IF(VALUE(C218)&gt;=9/24,""FD"",""HD""),IF(REGEXMATCH(C$5,""SUN""),""WO"",""-""))))))"),"")</f>
        <v/>
      </c>
      <c r="D219" s="43" t="str">
        <f>IFERROR(__xludf.DUMMYFUNCTION("IF($A214="""","""",IF(D$5="""","""",LET(logStatus,IFNA(INDEX(DATA_LOG!$E:$E,MATCH(1,(DATA_LOG!$A:$A=$A214)*(TEXT(DATA_LOG!$B:$B,""yyyy-MM-dd"")=TEXT(DATE($P$3,MONTH(1&amp;$N$3),VALUE(LEFT(D$5,2))),""yyyy-MM-dd"")),0)),""""),IF(logStatus&lt;&gt;"""",UPPER(logStatus)"&amp;",IF(D218&lt;&gt;"""",IF(VALUE(D218)&gt;=9/24,""FD"",""HD""),IF(REGEXMATCH(D$5,""SUN""),""WO"",""-""))))))"),"")</f>
        <v/>
      </c>
      <c r="E219" s="43" t="str">
        <f>IFERROR(__xludf.DUMMYFUNCTION("IF($A214="""","""",IF(E$5="""","""",LET(logStatus,IFNA(INDEX(DATA_LOG!$E:$E,MATCH(1,(DATA_LOG!$A:$A=$A214)*(TEXT(DATA_LOG!$B:$B,""yyyy-MM-dd"")=TEXT(DATE($P$3,MONTH(1&amp;$N$3),VALUE(LEFT(E$5,2))),""yyyy-MM-dd"")),0)),""""),IF(logStatus&lt;&gt;"""",UPPER(logStatus)"&amp;",IF(E218&lt;&gt;"""",IF(VALUE(E218)&gt;=9/24,""FD"",""HD""),IF(REGEXMATCH(E$5,""SUN""),""WO"",""-""))))))"),"")</f>
        <v/>
      </c>
      <c r="F219" s="43" t="str">
        <f>IFERROR(__xludf.DUMMYFUNCTION("IF($A214="""","""",IF(F$5="""","""",LET(logStatus,IFNA(INDEX(DATA_LOG!$E:$E,MATCH(1,(DATA_LOG!$A:$A=$A214)*(TEXT(DATA_LOG!$B:$B,""yyyy-MM-dd"")=TEXT(DATE($P$3,MONTH(1&amp;$N$3),VALUE(LEFT(F$5,2))),""yyyy-MM-dd"")),0)),""""),IF(logStatus&lt;&gt;"""",UPPER(logStatus)"&amp;",IF(F218&lt;&gt;"""",IF(VALUE(F218)&gt;=9/24,""FD"",""HD""),IF(REGEXMATCH(F$5,""SUN""),""WO"",""-""))))))"),"")</f>
        <v/>
      </c>
      <c r="G219" s="43" t="str">
        <f>IFERROR(__xludf.DUMMYFUNCTION("IF($A214="""","""",IF(G$5="""","""",LET(logStatus,IFNA(INDEX(DATA_LOG!$E:$E,MATCH(1,(DATA_LOG!$A:$A=$A214)*(TEXT(DATA_LOG!$B:$B,""yyyy-MM-dd"")=TEXT(DATE($P$3,MONTH(1&amp;$N$3),VALUE(LEFT(G$5,2))),""yyyy-MM-dd"")),0)),""""),IF(logStatus&lt;&gt;"""",UPPER(logStatus)"&amp;",IF(G218&lt;&gt;"""",IF(VALUE(G218)&gt;=9/24,""FD"",""HD""),IF(REGEXMATCH(G$5,""SUN""),""WO"",""-""))))))"),"")</f>
        <v/>
      </c>
      <c r="H219" s="43" t="str">
        <f>IFERROR(__xludf.DUMMYFUNCTION("IF($A214="""","""",IF(H$5="""","""",LET(logStatus,IFNA(INDEX(DATA_LOG!$E:$E,MATCH(1,(DATA_LOG!$A:$A=$A214)*(TEXT(DATA_LOG!$B:$B,""yyyy-MM-dd"")=TEXT(DATE($P$3,MONTH(1&amp;$N$3),VALUE(LEFT(H$5,2))),""yyyy-MM-dd"")),0)),""""),IF(logStatus&lt;&gt;"""",UPPER(logStatus)"&amp;",IF(H218&lt;&gt;"""",IF(VALUE(H218)&gt;=9/24,""FD"",""HD""),IF(REGEXMATCH(H$5,""SUN""),""WO"",""-""))))))"),"")</f>
        <v/>
      </c>
      <c r="I219" s="43" t="str">
        <f>IFERROR(__xludf.DUMMYFUNCTION("IF($A214="""","""",IF(I$5="""","""",LET(logStatus,IFNA(INDEX(DATA_LOG!$E:$E,MATCH(1,(DATA_LOG!$A:$A=$A214)*(TEXT(DATA_LOG!$B:$B,""yyyy-MM-dd"")=TEXT(DATE($P$3,MONTH(1&amp;$N$3),VALUE(LEFT(I$5,2))),""yyyy-MM-dd"")),0)),""""),IF(logStatus&lt;&gt;"""",UPPER(logStatus)"&amp;",IF(I218&lt;&gt;"""",IF(VALUE(I218)&gt;=9/24,""FD"",""HD""),IF(REGEXMATCH(I$5,""SUN""),""WO"",""-""))))))"),"")</f>
        <v/>
      </c>
      <c r="J219" s="43" t="str">
        <f>IFERROR(__xludf.DUMMYFUNCTION("IF($A214="""","""",IF(J$5="""","""",LET(logStatus,IFNA(INDEX(DATA_LOG!$E:$E,MATCH(1,(DATA_LOG!$A:$A=$A214)*(TEXT(DATA_LOG!$B:$B,""yyyy-MM-dd"")=TEXT(DATE($P$3,MONTH(1&amp;$N$3),VALUE(LEFT(J$5,2))),""yyyy-MM-dd"")),0)),""""),IF(logStatus&lt;&gt;"""",UPPER(logStatus)"&amp;",IF(J218&lt;&gt;"""",IF(VALUE(J218)&gt;=9/24,""FD"",""HD""),IF(REGEXMATCH(J$5,""SUN""),""WO"",""-""))))))"),"")</f>
        <v/>
      </c>
      <c r="K219" s="43" t="str">
        <f>IFERROR(__xludf.DUMMYFUNCTION("IF($A214="""","""",IF(K$5="""","""",LET(logStatus,IFNA(INDEX(DATA_LOG!$E:$E,MATCH(1,(DATA_LOG!$A:$A=$A214)*(TEXT(DATA_LOG!$B:$B,""yyyy-MM-dd"")=TEXT(DATE($P$3,MONTH(1&amp;$N$3),VALUE(LEFT(K$5,2))),""yyyy-MM-dd"")),0)),""""),IF(logStatus&lt;&gt;"""",UPPER(logStatus)"&amp;",IF(K218&lt;&gt;"""",IF(VALUE(K218)&gt;=9/24,""FD"",""HD""),IF(REGEXMATCH(K$5,""SUN""),""WO"",""-""))))))"),"")</f>
        <v/>
      </c>
      <c r="L219" s="43" t="str">
        <f>IFERROR(__xludf.DUMMYFUNCTION("IF($A214="""","""",IF(L$5="""","""",LET(logStatus,IFNA(INDEX(DATA_LOG!$E:$E,MATCH(1,(DATA_LOG!$A:$A=$A214)*(TEXT(DATA_LOG!$B:$B,""yyyy-MM-dd"")=TEXT(DATE($P$3,MONTH(1&amp;$N$3),VALUE(LEFT(L$5,2))),""yyyy-MM-dd"")),0)),""""),IF(logStatus&lt;&gt;"""",UPPER(logStatus)"&amp;",IF(L218&lt;&gt;"""",IF(VALUE(L218)&gt;=9/24,""FD"",""HD""),IF(REGEXMATCH(L$5,""SUN""),""WO"",""-""))))))"),"")</f>
        <v/>
      </c>
      <c r="M219" s="43" t="str">
        <f>IFERROR(__xludf.DUMMYFUNCTION("IF($A214="""","""",IF(M$5="""","""",LET(logStatus,IFNA(INDEX(DATA_LOG!$E:$E,MATCH(1,(DATA_LOG!$A:$A=$A214)*(TEXT(DATA_LOG!$B:$B,""yyyy-MM-dd"")=TEXT(DATE($P$3,MONTH(1&amp;$N$3),VALUE(LEFT(M$5,2))),""yyyy-MM-dd"")),0)),""""),IF(logStatus&lt;&gt;"""",UPPER(logStatus)"&amp;",IF(M218&lt;&gt;"""",IF(VALUE(M218)&gt;=9/24,""FD"",""HD""),IF(REGEXMATCH(M$5,""SUN""),""WO"",""-""))))))"),"")</f>
        <v/>
      </c>
      <c r="N219" s="43" t="str">
        <f>IFERROR(__xludf.DUMMYFUNCTION("IF($A214="""","""",IF(N$5="""","""",LET(logStatus,IFNA(INDEX(DATA_LOG!$E:$E,MATCH(1,(DATA_LOG!$A:$A=$A214)*(TEXT(DATA_LOG!$B:$B,""yyyy-MM-dd"")=TEXT(DATE($P$3,MONTH(1&amp;$N$3),VALUE(LEFT(N$5,2))),""yyyy-MM-dd"")),0)),""""),IF(logStatus&lt;&gt;"""",UPPER(logStatus)"&amp;",IF(N218&lt;&gt;"""",IF(VALUE(N218)&gt;=9/24,""FD"",""HD""),IF(REGEXMATCH(N$5,""SUN""),""WO"",""-""))))))"),"")</f>
        <v/>
      </c>
      <c r="O219" s="43" t="str">
        <f>IFERROR(__xludf.DUMMYFUNCTION("IF($A214="""","""",IF(O$5="""","""",LET(logStatus,IFNA(INDEX(DATA_LOG!$E:$E,MATCH(1,(DATA_LOG!$A:$A=$A214)*(TEXT(DATA_LOG!$B:$B,""yyyy-MM-dd"")=TEXT(DATE($P$3,MONTH(1&amp;$N$3),VALUE(LEFT(O$5,2))),""yyyy-MM-dd"")),0)),""""),IF(logStatus&lt;&gt;"""",UPPER(logStatus)"&amp;",IF(O218&lt;&gt;"""",IF(VALUE(O218)&gt;=9/24,""FD"",""HD""),IF(REGEXMATCH(O$5,""SUN""),""WO"",""-""))))))"),"")</f>
        <v/>
      </c>
      <c r="P219" s="43" t="str">
        <f>IFERROR(__xludf.DUMMYFUNCTION("IF($A214="""","""",IF(P$5="""","""",LET(logStatus,IFNA(INDEX(DATA_LOG!$E:$E,MATCH(1,(DATA_LOG!$A:$A=$A214)*(TEXT(DATA_LOG!$B:$B,""yyyy-MM-dd"")=TEXT(DATE($P$3,MONTH(1&amp;$N$3),VALUE(LEFT(P$5,2))),""yyyy-MM-dd"")),0)),""""),IF(logStatus&lt;&gt;"""",UPPER(logStatus)"&amp;",IF(P218&lt;&gt;"""",IF(VALUE(P218)&gt;=9/24,""FD"",""HD""),IF(REGEXMATCH(P$5,""SUN""),""WO"",""-""))))))"),"")</f>
        <v/>
      </c>
      <c r="Q219" s="43" t="str">
        <f>IFERROR(__xludf.DUMMYFUNCTION("IF($A214="""","""",IF(Q$5="""","""",LET(logStatus,IFNA(INDEX(DATA_LOG!$E:$E,MATCH(1,(DATA_LOG!$A:$A=$A214)*(TEXT(DATA_LOG!$B:$B,""yyyy-MM-dd"")=TEXT(DATE($P$3,MONTH(1&amp;$N$3),VALUE(LEFT(Q$5,2))),""yyyy-MM-dd"")),0)),""""),IF(logStatus&lt;&gt;"""",UPPER(logStatus)"&amp;",IF(Q218&lt;&gt;"""",IF(VALUE(Q218)&gt;=9/24,""FD"",""HD""),IF(REGEXMATCH(Q$5,""SUN""),""WO"",""-""))))))"),"")</f>
        <v/>
      </c>
      <c r="R219" s="43" t="str">
        <f>IFERROR(__xludf.DUMMYFUNCTION("IF($A214="""","""",IF(R$5="""","""",LET(logStatus,IFNA(INDEX(DATA_LOG!$E:$E,MATCH(1,(DATA_LOG!$A:$A=$A214)*(TEXT(DATA_LOG!$B:$B,""yyyy-MM-dd"")=TEXT(DATE($P$3,MONTH(1&amp;$N$3),VALUE(LEFT(R$5,2))),""yyyy-MM-dd"")),0)),""""),IF(logStatus&lt;&gt;"""",UPPER(logStatus)"&amp;",IF(R218&lt;&gt;"""",IF(VALUE(R218)&gt;=9/24,""FD"",""HD""),IF(REGEXMATCH(R$5,""SUN""),""WO"",""-""))))))"),"")</f>
        <v/>
      </c>
      <c r="S219" s="43" t="str">
        <f>IFERROR(__xludf.DUMMYFUNCTION("IF($A214="""","""",IF(S$5="""","""",LET(logStatus,IFNA(INDEX(DATA_LOG!$E:$E,MATCH(1,(DATA_LOG!$A:$A=$A214)*(TEXT(DATA_LOG!$B:$B,""yyyy-MM-dd"")=TEXT(DATE($P$3,MONTH(1&amp;$N$3),VALUE(LEFT(S$5,2))),""yyyy-MM-dd"")),0)),""""),IF(logStatus&lt;&gt;"""",UPPER(logStatus)"&amp;",IF(S218&lt;&gt;"""",IF(VALUE(S218)&gt;=9/24,""FD"",""HD""),IF(REGEXMATCH(S$5,""SUN""),""WO"",""-""))))))"),"")</f>
        <v/>
      </c>
      <c r="T219" s="43" t="str">
        <f>IFERROR(__xludf.DUMMYFUNCTION("IF($A214="""","""",IF(T$5="""","""",LET(logStatus,IFNA(INDEX(DATA_LOG!$E:$E,MATCH(1,(DATA_LOG!$A:$A=$A214)*(TEXT(DATA_LOG!$B:$B,""yyyy-MM-dd"")=TEXT(DATE($P$3,MONTH(1&amp;$N$3),VALUE(LEFT(T$5,2))),""yyyy-MM-dd"")),0)),""""),IF(logStatus&lt;&gt;"""",UPPER(logStatus)"&amp;",IF(T218&lt;&gt;"""",IF(VALUE(T218)&gt;=9/24,""FD"",""HD""),IF(REGEXMATCH(T$5,""SUN""),""WO"",""-""))))))"),"")</f>
        <v/>
      </c>
      <c r="U219" s="43" t="str">
        <f>IFERROR(__xludf.DUMMYFUNCTION("IF($A214="""","""",IF(U$5="""","""",LET(logStatus,IFNA(INDEX(DATA_LOG!$E:$E,MATCH(1,(DATA_LOG!$A:$A=$A214)*(TEXT(DATA_LOG!$B:$B,""yyyy-MM-dd"")=TEXT(DATE($P$3,MONTH(1&amp;$N$3),VALUE(LEFT(U$5,2))),""yyyy-MM-dd"")),0)),""""),IF(logStatus&lt;&gt;"""",UPPER(logStatus)"&amp;",IF(U218&lt;&gt;"""",IF(VALUE(U218)&gt;=9/24,""FD"",""HD""),IF(REGEXMATCH(U$5,""SUN""),""WO"",""-""))))))"),"")</f>
        <v/>
      </c>
      <c r="V219" s="43" t="str">
        <f>IFERROR(__xludf.DUMMYFUNCTION("IF($A214="""","""",IF(V$5="""","""",LET(logStatus,IFNA(INDEX(DATA_LOG!$E:$E,MATCH(1,(DATA_LOG!$A:$A=$A214)*(TEXT(DATA_LOG!$B:$B,""yyyy-MM-dd"")=TEXT(DATE($P$3,MONTH(1&amp;$N$3),VALUE(LEFT(V$5,2))),""yyyy-MM-dd"")),0)),""""),IF(logStatus&lt;&gt;"""",UPPER(logStatus)"&amp;",IF(V218&lt;&gt;"""",IF(VALUE(V218)&gt;=9/24,""FD"",""HD""),IF(REGEXMATCH(V$5,""SUN""),""WO"",""-""))))))"),"")</f>
        <v/>
      </c>
      <c r="W219" s="43" t="str">
        <f>IFERROR(__xludf.DUMMYFUNCTION("IF($A214="""","""",IF(W$5="""","""",LET(logStatus,IFNA(INDEX(DATA_LOG!$E:$E,MATCH(1,(DATA_LOG!$A:$A=$A214)*(TEXT(DATA_LOG!$B:$B,""yyyy-MM-dd"")=TEXT(DATE($P$3,MONTH(1&amp;$N$3),VALUE(LEFT(W$5,2))),""yyyy-MM-dd"")),0)),""""),IF(logStatus&lt;&gt;"""",UPPER(logStatus)"&amp;",IF(W218&lt;&gt;"""",IF(VALUE(W218)&gt;=9/24,""FD"",""HD""),IF(REGEXMATCH(W$5,""SUN""),""WO"",""-""))))))"),"")</f>
        <v/>
      </c>
      <c r="X219" s="43" t="str">
        <f>IFERROR(__xludf.DUMMYFUNCTION("IF($A214="""","""",IF(X$5="""","""",LET(logStatus,IFNA(INDEX(DATA_LOG!$E:$E,MATCH(1,(DATA_LOG!$A:$A=$A214)*(TEXT(DATA_LOG!$B:$B,""yyyy-MM-dd"")=TEXT(DATE($P$3,MONTH(1&amp;$N$3),VALUE(LEFT(X$5,2))),""yyyy-MM-dd"")),0)),""""),IF(logStatus&lt;&gt;"""",UPPER(logStatus)"&amp;",IF(X218&lt;&gt;"""",IF(VALUE(X218)&gt;=9/24,""FD"",""HD""),IF(REGEXMATCH(X$5,""SUN""),""WO"",""-""))))))"),"")</f>
        <v/>
      </c>
      <c r="Y219" s="43" t="str">
        <f>IFERROR(__xludf.DUMMYFUNCTION("IF($A214="""","""",IF(Y$5="""","""",LET(logStatus,IFNA(INDEX(DATA_LOG!$E:$E,MATCH(1,(DATA_LOG!$A:$A=$A214)*(TEXT(DATA_LOG!$B:$B,""yyyy-MM-dd"")=TEXT(DATE($P$3,MONTH(1&amp;$N$3),VALUE(LEFT(Y$5,2))),""yyyy-MM-dd"")),0)),""""),IF(logStatus&lt;&gt;"""",UPPER(logStatus)"&amp;",IF(Y218&lt;&gt;"""",IF(VALUE(Y218)&gt;=9/24,""FD"",""HD""),IF(REGEXMATCH(Y$5,""SUN""),""WO"",""-""))))))"),"")</f>
        <v/>
      </c>
      <c r="Z219" s="43" t="str">
        <f>IFERROR(__xludf.DUMMYFUNCTION("IF($A214="""","""",IF(Z$5="""","""",LET(logStatus,IFNA(INDEX(DATA_LOG!$E:$E,MATCH(1,(DATA_LOG!$A:$A=$A214)*(TEXT(DATA_LOG!$B:$B,""yyyy-MM-dd"")=TEXT(DATE($P$3,MONTH(1&amp;$N$3),VALUE(LEFT(Z$5,2))),""yyyy-MM-dd"")),0)),""""),IF(logStatus&lt;&gt;"""",UPPER(logStatus)"&amp;",IF(Z218&lt;&gt;"""",IF(VALUE(Z218)&gt;=9/24,""FD"",""HD""),IF(REGEXMATCH(Z$5,""SUN""),""WO"",""-""))))))"),"")</f>
        <v/>
      </c>
      <c r="AA219" s="43" t="str">
        <f>IFERROR(__xludf.DUMMYFUNCTION("IF($A214="""","""",IF(AA$5="""","""",LET(logStatus,IFNA(INDEX(DATA_LOG!$E:$E,MATCH(1,(DATA_LOG!$A:$A=$A214)*(TEXT(DATA_LOG!$B:$B,""yyyy-MM-dd"")=TEXT(DATE($P$3,MONTH(1&amp;$N$3),VALUE(LEFT(AA$5,2))),""yyyy-MM-dd"")),0)),""""),IF(logStatus&lt;&gt;"""",UPPER(logStatu"&amp;"s),IF(AA218&lt;&gt;"""",IF(VALUE(AA218)&gt;=9/24,""FD"",""HD""),IF(REGEXMATCH(AA$5,""SUN""),""WO"",""-""))))))"),"")</f>
        <v/>
      </c>
      <c r="AB219" s="43" t="str">
        <f>IFERROR(__xludf.DUMMYFUNCTION("IF($A214="""","""",IF(AB$5="""","""",LET(logStatus,IFNA(INDEX(DATA_LOG!$E:$E,MATCH(1,(DATA_LOG!$A:$A=$A214)*(TEXT(DATA_LOG!$B:$B,""yyyy-MM-dd"")=TEXT(DATE($P$3,MONTH(1&amp;$N$3),VALUE(LEFT(AB$5,2))),""yyyy-MM-dd"")),0)),""""),IF(logStatus&lt;&gt;"""",UPPER(logStatu"&amp;"s),IF(AB218&lt;&gt;"""",IF(VALUE(AB218)&gt;=9/24,""FD"",""HD""),IF(REGEXMATCH(AB$5,""SUN""),""WO"",""-""))))))"),"")</f>
        <v/>
      </c>
      <c r="AC219" s="43" t="str">
        <f>IFERROR(__xludf.DUMMYFUNCTION("IF($A214="""","""",IF(AC$5="""","""",LET(logStatus,IFNA(INDEX(DATA_LOG!$E:$E,MATCH(1,(DATA_LOG!$A:$A=$A214)*(TEXT(DATA_LOG!$B:$B,""yyyy-MM-dd"")=TEXT(DATE($P$3,MONTH(1&amp;$N$3),VALUE(LEFT(AC$5,2))),""yyyy-MM-dd"")),0)),""""),IF(logStatus&lt;&gt;"""",UPPER(logStatu"&amp;"s),IF(AC218&lt;&gt;"""",IF(VALUE(AC218)&gt;=9/24,""FD"",""HD""),IF(REGEXMATCH(AC$5,""SUN""),""WO"",""-""))))))"),"")</f>
        <v/>
      </c>
      <c r="AD219" s="43" t="str">
        <f>IFERROR(__xludf.DUMMYFUNCTION("IF($A214="""","""",IF(AD$5="""","""",LET(logStatus,IFNA(INDEX(DATA_LOG!$E:$E,MATCH(1,(DATA_LOG!$A:$A=$A214)*(TEXT(DATA_LOG!$B:$B,""yyyy-MM-dd"")=TEXT(DATE($P$3,MONTH(1&amp;$N$3),VALUE(LEFT(AD$5,2))),""yyyy-MM-dd"")),0)),""""),IF(logStatus&lt;&gt;"""",UPPER(logStatu"&amp;"s),IF(AD218&lt;&gt;"""",IF(VALUE(AD218)&gt;=9/24,""FD"",""HD""),IF(REGEXMATCH(AD$5,""SUN""),""WO"",""-""))))))"),"")</f>
        <v/>
      </c>
      <c r="AE219" s="43" t="str">
        <f>IFERROR(__xludf.DUMMYFUNCTION("IF($A214="""","""",IF(AE$5="""","""",LET(logStatus,IFNA(INDEX(DATA_LOG!$E:$E,MATCH(1,(DATA_LOG!$A:$A=$A214)*(TEXT(DATA_LOG!$B:$B,""yyyy-MM-dd"")=TEXT(DATE($P$3,MONTH(1&amp;$N$3),VALUE(LEFT(AE$5,2))),""yyyy-MM-dd"")),0)),""""),IF(logStatus&lt;&gt;"""",UPPER(logStatu"&amp;"s),IF(AE218&lt;&gt;"""",IF(VALUE(AE218)&gt;=9/24,""FD"",""HD""),IF(REGEXMATCH(AE$5,""SUN""),""WO"",""-""))))))"),"")</f>
        <v/>
      </c>
      <c r="AF219" s="43" t="str">
        <f>IFERROR(__xludf.DUMMYFUNCTION("IF($A214="""","""",IF(AF$5="""","""",LET(logStatus,IFNA(INDEX(DATA_LOG!$E:$E,MATCH(1,(DATA_LOG!$A:$A=$A214)*(TEXT(DATA_LOG!$B:$B,""yyyy-MM-dd"")=TEXT(DATE($P$3,MONTH(1&amp;$N$3),VALUE(LEFT(AF$5,2))),""yyyy-MM-dd"")),0)),""""),IF(logStatus&lt;&gt;"""",UPPER(logStatu"&amp;"s),IF(AF218&lt;&gt;"""",IF(VALUE(AF218)&gt;=9/24,""FD"",""HD""),IF(REGEXMATCH(AF$5,""SUN""),""WO"",""-""))))))"),"")</f>
        <v/>
      </c>
    </row>
    <row r="220">
      <c r="A220" s="44"/>
    </row>
    <row r="221">
      <c r="A221" s="25" t="str">
        <f t="array" ref="A221">INDEX(EMPLOYEE_LIST!$A:$A,INT((ROW()-4)/7)+2)</f>
        <v/>
      </c>
      <c r="B221" s="26"/>
      <c r="C221" s="27"/>
      <c r="D221" s="28" t="str">
        <f>IF(A221="", "", IFERROR(VLOOKUP(A221, EMPLOYEE_LIST!$A:$H, 2, FALSE), ""))</f>
        <v/>
      </c>
      <c r="E221" s="26"/>
      <c r="F221" s="26"/>
      <c r="G221" s="27"/>
      <c r="H221" s="29" t="str">
        <f>IF(A221="", "", IFERROR(VLOOKUP(A221, EMPLOYEE_LIST!$A:$H, 3, FALSE), ""))</f>
        <v/>
      </c>
      <c r="I221" s="26"/>
      <c r="J221" s="26"/>
      <c r="K221" s="27"/>
      <c r="L221" s="29" t="str">
        <f>IF(A221="", "", IFERROR(VLOOKUP(A221, EMPLOYEE_LIST!$A:$H, 4, FALSE), ""))</f>
        <v/>
      </c>
      <c r="M221" s="26"/>
      <c r="N221" s="26"/>
      <c r="O221" s="27"/>
      <c r="P221" s="30" t="str">
        <f>IF($A221="", "", "Full Day: " &amp; COUNTIF(B226:AF226, "FD"))</f>
        <v/>
      </c>
      <c r="Q221" s="26"/>
      <c r="R221" s="27"/>
      <c r="S221" s="31" t="str">
        <f>IF($A221="", "", "HALF Day: " &amp; COUNTIF(B226:AF226, "HD"))</f>
        <v/>
      </c>
      <c r="T221" s="26"/>
      <c r="U221" s="27"/>
      <c r="V221" s="31" t="str">
        <f>IF($A221="", "", "ABSENT: " &amp; COUNTIF(B226:AF226, "A"))</f>
        <v/>
      </c>
      <c r="W221" s="26"/>
      <c r="X221" s="27"/>
      <c r="Y221" s="31" t="str">
        <f>IF($A221="", "", "WEEK OFF: " &amp; COUNTIF(B226:AF226, "WO"))</f>
        <v/>
      </c>
      <c r="Z221" s="26"/>
      <c r="AA221" s="27"/>
      <c r="AB221" s="31" t="str">
        <f>IF($A221="", "", "LEAVE: " &amp; COUNTIF(B226:AF226, "L"))</f>
        <v/>
      </c>
      <c r="AC221" s="27"/>
      <c r="AD221" s="31" t="str">
        <f>IF($A221="", "", "HOLIDAY: " &amp; COUNTIF(B226:AF226, "HL"))</f>
        <v/>
      </c>
      <c r="AE221" s="26"/>
      <c r="AF221" s="27"/>
    </row>
    <row r="222">
      <c r="A222" s="32" t="str">
        <f>IF($A221="", "", "DATE")</f>
        <v/>
      </c>
      <c r="B222" s="33" t="str">
        <f t="array" ref="B222">IF($A221="","",LET(mNum,MONTH(1&amp;$N$3),start,DATE($P$3,mNum,1),days,DAY(EOMONTH(start,0)),MAP(SEQUENCE(1,days,0),LAMBDA(n,UPPER(TEXT(start+n,"dd (ddd)"))))))</f>
        <v/>
      </c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>
      <c r="A223" s="37" t="str">
        <f>IF($A221="", "", "IN")</f>
        <v/>
      </c>
      <c r="B223" s="39" t="str">
        <f t="array" ref="B223">IF(OR($A221="",B$5=""),"",IFNA(INDEX(DATA_LOG!$C:$C,MATCH(1,(DATA_LOG!$A:$A=$A221)*(TEXT(DATA_LOG!$B:$B,"yyyy-MM-dd")=TEXT(DATE($P$3,MONTH(1&amp;$N$3),VALUE(LEFT(B$5,2))),"yyyy-MM-dd")),0)),""))</f>
        <v/>
      </c>
      <c r="C223" s="39" t="str">
        <f t="array" ref="C223">IF(OR($A221="",C$5=""),"",IFNA(INDEX(DATA_LOG!$C:$C,MATCH(1,(DATA_LOG!$A:$A=$A221)*(TEXT(DATA_LOG!$B:$B,"yyyy-MM-dd")=TEXT(DATE($P$3,MONTH(1&amp;$N$3),VALUE(LEFT(C$5,2))),"yyyy-MM-dd")),0)),""))</f>
        <v/>
      </c>
      <c r="D223" s="39" t="str">
        <f t="array" ref="D223">IF(OR($A221="",D$5=""),"",IFNA(INDEX(DATA_LOG!$C:$C,MATCH(1,(DATA_LOG!$A:$A=$A221)*(TEXT(DATA_LOG!$B:$B,"yyyy-MM-dd")=TEXT(DATE($P$3,MONTH(1&amp;$N$3),VALUE(LEFT(D$5,2))),"yyyy-MM-dd")),0)),""))</f>
        <v/>
      </c>
      <c r="E223" s="39" t="str">
        <f t="array" ref="E223">IF(OR($A221="",E$5=""),"",IFNA(INDEX(DATA_LOG!$C:$C,MATCH(1,(DATA_LOG!$A:$A=$A221)*(TEXT(DATA_LOG!$B:$B,"yyyy-MM-dd")=TEXT(DATE($P$3,MONTH(1&amp;$N$3),VALUE(LEFT(E$5,2))),"yyyy-MM-dd")),0)),""))</f>
        <v/>
      </c>
      <c r="F223" s="39" t="str">
        <f t="array" ref="F223">IF(OR($A221="",F$5=""),"",IFNA(INDEX(DATA_LOG!$C:$C,MATCH(1,(DATA_LOG!$A:$A=$A221)*(TEXT(DATA_LOG!$B:$B,"yyyy-MM-dd")=TEXT(DATE($P$3,MONTH(1&amp;$N$3),VALUE(LEFT(F$5,2))),"yyyy-MM-dd")),0)),""))</f>
        <v/>
      </c>
      <c r="G223" s="39" t="str">
        <f t="array" ref="G223">IF(OR($A221="",G$5=""),"",IFNA(INDEX(DATA_LOG!$C:$C,MATCH(1,(DATA_LOG!$A:$A=$A221)*(TEXT(DATA_LOG!$B:$B,"yyyy-MM-dd")=TEXT(DATE($P$3,MONTH(1&amp;$N$3),VALUE(LEFT(G$5,2))),"yyyy-MM-dd")),0)),""))</f>
        <v/>
      </c>
      <c r="H223" s="39" t="str">
        <f t="array" ref="H223">IF(OR($A221="",H$5=""),"",IFNA(INDEX(DATA_LOG!$C:$C,MATCH(1,(DATA_LOG!$A:$A=$A221)*(TEXT(DATA_LOG!$B:$B,"yyyy-MM-dd")=TEXT(DATE($P$3,MONTH(1&amp;$N$3),VALUE(LEFT(H$5,2))),"yyyy-MM-dd")),0)),""))</f>
        <v/>
      </c>
      <c r="I223" s="39" t="str">
        <f t="array" ref="I223">IF(OR($A221="",I$5=""),"",IFNA(INDEX(DATA_LOG!$C:$C,MATCH(1,(DATA_LOG!$A:$A=$A221)*(TEXT(DATA_LOG!$B:$B,"yyyy-MM-dd")=TEXT(DATE($P$3,MONTH(1&amp;$N$3),VALUE(LEFT(I$5,2))),"yyyy-MM-dd")),0)),""))</f>
        <v/>
      </c>
      <c r="J223" s="39" t="str">
        <f t="array" ref="J223">IF(OR($A221="",J$5=""),"",IFNA(INDEX(DATA_LOG!$C:$C,MATCH(1,(DATA_LOG!$A:$A=$A221)*(TEXT(DATA_LOG!$B:$B,"yyyy-MM-dd")=TEXT(DATE($P$3,MONTH(1&amp;$N$3),VALUE(LEFT(J$5,2))),"yyyy-MM-dd")),0)),""))</f>
        <v/>
      </c>
      <c r="K223" s="39" t="str">
        <f t="array" ref="K223">IF(OR($A221="",K$5=""),"",IFNA(INDEX(DATA_LOG!$C:$C,MATCH(1,(DATA_LOG!$A:$A=$A221)*(TEXT(DATA_LOG!$B:$B,"yyyy-MM-dd")=TEXT(DATE($P$3,MONTH(1&amp;$N$3),VALUE(LEFT(K$5,2))),"yyyy-MM-dd")),0)),""))</f>
        <v/>
      </c>
      <c r="L223" s="39" t="str">
        <f t="array" ref="L223">IF(OR($A221="",L$5=""),"",IFNA(INDEX(DATA_LOG!$C:$C,MATCH(1,(DATA_LOG!$A:$A=$A221)*(TEXT(DATA_LOG!$B:$B,"yyyy-MM-dd")=TEXT(DATE($P$3,MONTH(1&amp;$N$3),VALUE(LEFT(L$5,2))),"yyyy-MM-dd")),0)),""))</f>
        <v/>
      </c>
      <c r="M223" s="39" t="str">
        <f t="array" ref="M223">IF(OR($A221="",M$5=""),"",IFNA(INDEX(DATA_LOG!$C:$C,MATCH(1,(DATA_LOG!$A:$A=$A221)*(TEXT(DATA_LOG!$B:$B,"yyyy-MM-dd")=TEXT(DATE($P$3,MONTH(1&amp;$N$3),VALUE(LEFT(M$5,2))),"yyyy-MM-dd")),0)),""))</f>
        <v/>
      </c>
      <c r="N223" s="39" t="str">
        <f t="array" ref="N223">IF(OR($A221="",N$5=""),"",IFNA(INDEX(DATA_LOG!$C:$C,MATCH(1,(DATA_LOG!$A:$A=$A221)*(TEXT(DATA_LOG!$B:$B,"yyyy-MM-dd")=TEXT(DATE($P$3,MONTH(1&amp;$N$3),VALUE(LEFT(N$5,2))),"yyyy-MM-dd")),0)),""))</f>
        <v/>
      </c>
      <c r="O223" s="39" t="str">
        <f t="array" ref="O223">IF(OR($A221="",O$5=""),"",IFNA(INDEX(DATA_LOG!$C:$C,MATCH(1,(DATA_LOG!$A:$A=$A221)*(TEXT(DATA_LOG!$B:$B,"yyyy-MM-dd")=TEXT(DATE($P$3,MONTH(1&amp;$N$3),VALUE(LEFT(O$5,2))),"yyyy-MM-dd")),0)),""))</f>
        <v/>
      </c>
      <c r="P223" s="39" t="str">
        <f t="array" ref="P223">IF(OR($A221="",P$5=""),"",IFNA(INDEX(DATA_LOG!$C:$C,MATCH(1,(DATA_LOG!$A:$A=$A221)*(TEXT(DATA_LOG!$B:$B,"yyyy-MM-dd")=TEXT(DATE($P$3,MONTH(1&amp;$N$3),VALUE(LEFT(P$5,2))),"yyyy-MM-dd")),0)),""))</f>
        <v/>
      </c>
      <c r="Q223" s="39" t="str">
        <f t="array" ref="Q223">IF(OR($A221="",Q$5=""),"",IFNA(INDEX(DATA_LOG!$C:$C,MATCH(1,(DATA_LOG!$A:$A=$A221)*(TEXT(DATA_LOG!$B:$B,"yyyy-MM-dd")=TEXT(DATE($P$3,MONTH(1&amp;$N$3),VALUE(LEFT(Q$5,2))),"yyyy-MM-dd")),0)),""))</f>
        <v/>
      </c>
      <c r="R223" s="39" t="str">
        <f t="array" ref="R223">IF(OR($A221="",R$5=""),"",IFNA(INDEX(DATA_LOG!$C:$C,MATCH(1,(DATA_LOG!$A:$A=$A221)*(TEXT(DATA_LOG!$B:$B,"yyyy-MM-dd")=TEXT(DATE($P$3,MONTH(1&amp;$N$3),VALUE(LEFT(R$5,2))),"yyyy-MM-dd")),0)),""))</f>
        <v/>
      </c>
      <c r="S223" s="39" t="str">
        <f t="array" ref="S223">IF(OR($A221="",S$5=""),"",IFNA(INDEX(DATA_LOG!$C:$C,MATCH(1,(DATA_LOG!$A:$A=$A221)*(TEXT(DATA_LOG!$B:$B,"yyyy-MM-dd")=TEXT(DATE($P$3,MONTH(1&amp;$N$3),VALUE(LEFT(S$5,2))),"yyyy-MM-dd")),0)),""))</f>
        <v/>
      </c>
      <c r="T223" s="39" t="str">
        <f t="array" ref="T223">IF(OR($A221="",T$5=""),"",IFNA(INDEX(DATA_LOG!$C:$C,MATCH(1,(DATA_LOG!$A:$A=$A221)*(TEXT(DATA_LOG!$B:$B,"yyyy-MM-dd")=TEXT(DATE($P$3,MONTH(1&amp;$N$3),VALUE(LEFT(T$5,2))),"yyyy-MM-dd")),0)),""))</f>
        <v/>
      </c>
      <c r="U223" s="39" t="str">
        <f t="array" ref="U223">IF(OR($A221="",U$5=""),"",IFNA(INDEX(DATA_LOG!$C:$C,MATCH(1,(DATA_LOG!$A:$A=$A221)*(TEXT(DATA_LOG!$B:$B,"yyyy-MM-dd")=TEXT(DATE($P$3,MONTH(1&amp;$N$3),VALUE(LEFT(U$5,2))),"yyyy-MM-dd")),0)),""))</f>
        <v/>
      </c>
      <c r="V223" s="39" t="str">
        <f t="array" ref="V223">IF(OR($A221="",V$5=""),"",IFNA(INDEX(DATA_LOG!$C:$C,MATCH(1,(DATA_LOG!$A:$A=$A221)*(TEXT(DATA_LOG!$B:$B,"yyyy-MM-dd")=TEXT(DATE($P$3,MONTH(1&amp;$N$3),VALUE(LEFT(V$5,2))),"yyyy-MM-dd")),0)),""))</f>
        <v/>
      </c>
      <c r="W223" s="39" t="str">
        <f t="array" ref="W223">IF(OR($A221="",W$5=""),"",IFNA(INDEX(DATA_LOG!$C:$C,MATCH(1,(DATA_LOG!$A:$A=$A221)*(TEXT(DATA_LOG!$B:$B,"yyyy-MM-dd")=TEXT(DATE($P$3,MONTH(1&amp;$N$3),VALUE(LEFT(W$5,2))),"yyyy-MM-dd")),0)),""))</f>
        <v/>
      </c>
      <c r="X223" s="39" t="str">
        <f t="array" ref="X223">IF(OR($A221="",X$5=""),"",IFNA(INDEX(DATA_LOG!$C:$C,MATCH(1,(DATA_LOG!$A:$A=$A221)*(TEXT(DATA_LOG!$B:$B,"yyyy-MM-dd")=TEXT(DATE($P$3,MONTH(1&amp;$N$3),VALUE(LEFT(X$5,2))),"yyyy-MM-dd")),0)),""))</f>
        <v/>
      </c>
      <c r="Y223" s="39" t="str">
        <f t="array" ref="Y223">IF(OR($A221="",Y$5=""),"",IFNA(INDEX(DATA_LOG!$C:$C,MATCH(1,(DATA_LOG!$A:$A=$A221)*(TEXT(DATA_LOG!$B:$B,"yyyy-MM-dd")=TEXT(DATE($P$3,MONTH(1&amp;$N$3),VALUE(LEFT(Y$5,2))),"yyyy-MM-dd")),0)),""))</f>
        <v/>
      </c>
      <c r="Z223" s="39" t="str">
        <f t="array" ref="Z223">IF(OR($A221="",Z$5=""),"",IFNA(INDEX(DATA_LOG!$C:$C,MATCH(1,(DATA_LOG!$A:$A=$A221)*(TEXT(DATA_LOG!$B:$B,"yyyy-MM-dd")=TEXT(DATE($P$3,MONTH(1&amp;$N$3),VALUE(LEFT(Z$5,2))),"yyyy-MM-dd")),0)),""))</f>
        <v/>
      </c>
      <c r="AA223" s="39" t="str">
        <f t="array" ref="AA223">IF(OR($A221="",AA$5=""),"",IFNA(INDEX(DATA_LOG!$C:$C,MATCH(1,(DATA_LOG!$A:$A=$A221)*(TEXT(DATA_LOG!$B:$B,"yyyy-MM-dd")=TEXT(DATE($P$3,MONTH(1&amp;$N$3),VALUE(LEFT(AA$5,2))),"yyyy-MM-dd")),0)),""))</f>
        <v/>
      </c>
      <c r="AB223" s="39" t="str">
        <f t="array" ref="AB223">IF(OR($A221="",AB$5=""),"",IFNA(INDEX(DATA_LOG!$C:$C,MATCH(1,(DATA_LOG!$A:$A=$A221)*(TEXT(DATA_LOG!$B:$B,"yyyy-MM-dd")=TEXT(DATE($P$3,MONTH(1&amp;$N$3),VALUE(LEFT(AB$5,2))),"yyyy-MM-dd")),0)),""))</f>
        <v/>
      </c>
      <c r="AC223" s="39" t="str">
        <f t="array" ref="AC223">IF(OR($A221="",AC$5=""),"",IFNA(INDEX(DATA_LOG!$C:$C,MATCH(1,(DATA_LOG!$A:$A=$A221)*(TEXT(DATA_LOG!$B:$B,"yyyy-MM-dd")=TEXT(DATE($P$3,MONTH(1&amp;$N$3),VALUE(LEFT(AC$5,2))),"yyyy-MM-dd")),0)),""))</f>
        <v/>
      </c>
      <c r="AD223" s="39" t="str">
        <f t="array" ref="AD223">IF(OR($A221="",AD$5=""),"",IFNA(INDEX(DATA_LOG!$C:$C,MATCH(1,(DATA_LOG!$A:$A=$A221)*(TEXT(DATA_LOG!$B:$B,"yyyy-MM-dd")=TEXT(DATE($P$3,MONTH(1&amp;$N$3),VALUE(LEFT(AD$5,2))),"yyyy-MM-dd")),0)),""))</f>
        <v/>
      </c>
      <c r="AE223" s="39" t="str">
        <f t="array" ref="AE223">IF(OR($A221="",AE$5=""),"",IFNA(INDEX(DATA_LOG!$C:$C,MATCH(1,(DATA_LOG!$A:$A=$A221)*(TEXT(DATA_LOG!$B:$B,"yyyy-MM-dd")=TEXT(DATE($P$3,MONTH(1&amp;$N$3),VALUE(LEFT(AE$5,2))),"yyyy-MM-dd")),0)),""))</f>
        <v/>
      </c>
      <c r="AF223" s="39" t="str">
        <f t="array" ref="AF223">IF(OR($A221="",AF$5=""),"",IFNA(INDEX(DATA_LOG!$C:$C,MATCH(1,(DATA_LOG!$A:$A=$A221)*(TEXT(DATA_LOG!$B:$B,"yyyy-MM-dd")=TEXT(DATE($P$3,MONTH(1&amp;$N$3),VALUE(LEFT(AF$5,2))),"yyyy-MM-dd")),0)),""))</f>
        <v/>
      </c>
    </row>
    <row r="224">
      <c r="A224" s="37" t="str">
        <f>IF($A221="", "", "OUT")</f>
        <v/>
      </c>
      <c r="B224" s="39" t="str">
        <f t="array" ref="B224">IF(OR($A221="",B$5=""),"",IFNA(INDEX(DATA_LOG!$D:$D,MATCH(1,(DATA_LOG!$A:$A=$A221)*(TEXT(DATA_LOG!$B:$B,"yyyy-MM-dd")=TEXT(DATE($P$3,MONTH(1&amp;$N$3),VALUE(LEFT(B$5,2))),"yyyy-MM-dd")),0)),""))</f>
        <v/>
      </c>
      <c r="C224" s="39" t="str">
        <f t="array" ref="C224">IF(OR($A221="",C$5=""),"",IFNA(INDEX(DATA_LOG!$D:$D,MATCH(1,(DATA_LOG!$A:$A=$A221)*(TEXT(DATA_LOG!$B:$B,"yyyy-MM-dd")=TEXT(DATE($P$3,MONTH(1&amp;$N$3),VALUE(LEFT(C$5,2))),"yyyy-MM-dd")),0)),""))</f>
        <v/>
      </c>
      <c r="D224" s="39" t="str">
        <f t="array" ref="D224">IF(OR($A221="",D$5=""),"",IFNA(INDEX(DATA_LOG!$D:$D,MATCH(1,(DATA_LOG!$A:$A=$A221)*(TEXT(DATA_LOG!$B:$B,"yyyy-MM-dd")=TEXT(DATE($P$3,MONTH(1&amp;$N$3),VALUE(LEFT(D$5,2))),"yyyy-MM-dd")),0)),""))</f>
        <v/>
      </c>
      <c r="E224" s="39" t="str">
        <f t="array" ref="E224">IF(OR($A221="",E$5=""),"",IFNA(INDEX(DATA_LOG!$D:$D,MATCH(1,(DATA_LOG!$A:$A=$A221)*(TEXT(DATA_LOG!$B:$B,"yyyy-MM-dd")=TEXT(DATE($P$3,MONTH(1&amp;$N$3),VALUE(LEFT(E$5,2))),"yyyy-MM-dd")),0)),""))</f>
        <v/>
      </c>
      <c r="F224" s="39" t="str">
        <f t="array" ref="F224">IF(OR($A221="",F$5=""),"",IFNA(INDEX(DATA_LOG!$D:$D,MATCH(1,(DATA_LOG!$A:$A=$A221)*(TEXT(DATA_LOG!$B:$B,"yyyy-MM-dd")=TEXT(DATE($P$3,MONTH(1&amp;$N$3),VALUE(LEFT(F$5,2))),"yyyy-MM-dd")),0)),""))</f>
        <v/>
      </c>
      <c r="G224" s="39" t="str">
        <f t="array" ref="G224">IF(OR($A221="",G$5=""),"",IFNA(INDEX(DATA_LOG!$D:$D,MATCH(1,(DATA_LOG!$A:$A=$A221)*(TEXT(DATA_LOG!$B:$B,"yyyy-MM-dd")=TEXT(DATE($P$3,MONTH(1&amp;$N$3),VALUE(LEFT(G$5,2))),"yyyy-MM-dd")),0)),""))</f>
        <v/>
      </c>
      <c r="H224" s="39" t="str">
        <f t="array" ref="H224">IF(OR($A221="",H$5=""),"",IFNA(INDEX(DATA_LOG!$D:$D,MATCH(1,(DATA_LOG!$A:$A=$A221)*(TEXT(DATA_LOG!$B:$B,"yyyy-MM-dd")=TEXT(DATE($P$3,MONTH(1&amp;$N$3),VALUE(LEFT(H$5,2))),"yyyy-MM-dd")),0)),""))</f>
        <v/>
      </c>
      <c r="I224" s="39" t="str">
        <f t="array" ref="I224">IF(OR($A221="",I$5=""),"",IFNA(INDEX(DATA_LOG!$D:$D,MATCH(1,(DATA_LOG!$A:$A=$A221)*(TEXT(DATA_LOG!$B:$B,"yyyy-MM-dd")=TEXT(DATE($P$3,MONTH(1&amp;$N$3),VALUE(LEFT(I$5,2))),"yyyy-MM-dd")),0)),""))</f>
        <v/>
      </c>
      <c r="J224" s="39" t="str">
        <f t="array" ref="J224">IF(OR($A221="",J$5=""),"",IFNA(INDEX(DATA_LOG!$D:$D,MATCH(1,(DATA_LOG!$A:$A=$A221)*(TEXT(DATA_LOG!$B:$B,"yyyy-MM-dd")=TEXT(DATE($P$3,MONTH(1&amp;$N$3),VALUE(LEFT(J$5,2))),"yyyy-MM-dd")),0)),""))</f>
        <v/>
      </c>
      <c r="K224" s="39" t="str">
        <f t="array" ref="K224">IF(OR($A221="",K$5=""),"",IFNA(INDEX(DATA_LOG!$D:$D,MATCH(1,(DATA_LOG!$A:$A=$A221)*(TEXT(DATA_LOG!$B:$B,"yyyy-MM-dd")=TEXT(DATE($P$3,MONTH(1&amp;$N$3),VALUE(LEFT(K$5,2))),"yyyy-MM-dd")),0)),""))</f>
        <v/>
      </c>
      <c r="L224" s="39" t="str">
        <f t="array" ref="L224">IF(OR($A221="",L$5=""),"",IFNA(INDEX(DATA_LOG!$D:$D,MATCH(1,(DATA_LOG!$A:$A=$A221)*(TEXT(DATA_LOG!$B:$B,"yyyy-MM-dd")=TEXT(DATE($P$3,MONTH(1&amp;$N$3),VALUE(LEFT(L$5,2))),"yyyy-MM-dd")),0)),""))</f>
        <v/>
      </c>
      <c r="M224" s="39" t="str">
        <f t="array" ref="M224">IF(OR($A221="",M$5=""),"",IFNA(INDEX(DATA_LOG!$D:$D,MATCH(1,(DATA_LOG!$A:$A=$A221)*(TEXT(DATA_LOG!$B:$B,"yyyy-MM-dd")=TEXT(DATE($P$3,MONTH(1&amp;$N$3),VALUE(LEFT(M$5,2))),"yyyy-MM-dd")),0)),""))</f>
        <v/>
      </c>
      <c r="N224" s="39" t="str">
        <f t="array" ref="N224">IF(OR($A221="",N$5=""),"",IFNA(INDEX(DATA_LOG!$D:$D,MATCH(1,(DATA_LOG!$A:$A=$A221)*(TEXT(DATA_LOG!$B:$B,"yyyy-MM-dd")=TEXT(DATE($P$3,MONTH(1&amp;$N$3),VALUE(LEFT(N$5,2))),"yyyy-MM-dd")),0)),""))</f>
        <v/>
      </c>
      <c r="O224" s="39" t="str">
        <f t="array" ref="O224">IF(OR($A221="",O$5=""),"",IFNA(INDEX(DATA_LOG!$D:$D,MATCH(1,(DATA_LOG!$A:$A=$A221)*(TEXT(DATA_LOG!$B:$B,"yyyy-MM-dd")=TEXT(DATE($P$3,MONTH(1&amp;$N$3),VALUE(LEFT(O$5,2))),"yyyy-MM-dd")),0)),""))</f>
        <v/>
      </c>
      <c r="P224" s="39" t="str">
        <f t="array" ref="P224">IF(OR($A221="",P$5=""),"",IFNA(INDEX(DATA_LOG!$D:$D,MATCH(1,(DATA_LOG!$A:$A=$A221)*(TEXT(DATA_LOG!$B:$B,"yyyy-MM-dd")=TEXT(DATE($P$3,MONTH(1&amp;$N$3),VALUE(LEFT(P$5,2))),"yyyy-MM-dd")),0)),""))</f>
        <v/>
      </c>
      <c r="Q224" s="39" t="str">
        <f t="array" ref="Q224">IF(OR($A221="",Q$5=""),"",IFNA(INDEX(DATA_LOG!$D:$D,MATCH(1,(DATA_LOG!$A:$A=$A221)*(TEXT(DATA_LOG!$B:$B,"yyyy-MM-dd")=TEXT(DATE($P$3,MONTH(1&amp;$N$3),VALUE(LEFT(Q$5,2))),"yyyy-MM-dd")),0)),""))</f>
        <v/>
      </c>
      <c r="R224" s="39" t="str">
        <f t="array" ref="R224">IF(OR($A221="",R$5=""),"",IFNA(INDEX(DATA_LOG!$D:$D,MATCH(1,(DATA_LOG!$A:$A=$A221)*(TEXT(DATA_LOG!$B:$B,"yyyy-MM-dd")=TEXT(DATE($P$3,MONTH(1&amp;$N$3),VALUE(LEFT(R$5,2))),"yyyy-MM-dd")),0)),""))</f>
        <v/>
      </c>
      <c r="S224" s="39" t="str">
        <f t="array" ref="S224">IF(OR($A221="",S$5=""),"",IFNA(INDEX(DATA_LOG!$D:$D,MATCH(1,(DATA_LOG!$A:$A=$A221)*(TEXT(DATA_LOG!$B:$B,"yyyy-MM-dd")=TEXT(DATE($P$3,MONTH(1&amp;$N$3),VALUE(LEFT(S$5,2))),"yyyy-MM-dd")),0)),""))</f>
        <v/>
      </c>
      <c r="T224" s="39" t="str">
        <f t="array" ref="T224">IF(OR($A221="",T$5=""),"",IFNA(INDEX(DATA_LOG!$D:$D,MATCH(1,(DATA_LOG!$A:$A=$A221)*(TEXT(DATA_LOG!$B:$B,"yyyy-MM-dd")=TEXT(DATE($P$3,MONTH(1&amp;$N$3),VALUE(LEFT(T$5,2))),"yyyy-MM-dd")),0)),""))</f>
        <v/>
      </c>
      <c r="U224" s="39" t="str">
        <f t="array" ref="U224">IF(OR($A221="",U$5=""),"",IFNA(INDEX(DATA_LOG!$D:$D,MATCH(1,(DATA_LOG!$A:$A=$A221)*(TEXT(DATA_LOG!$B:$B,"yyyy-MM-dd")=TEXT(DATE($P$3,MONTH(1&amp;$N$3),VALUE(LEFT(U$5,2))),"yyyy-MM-dd")),0)),""))</f>
        <v/>
      </c>
      <c r="V224" s="39" t="str">
        <f t="array" ref="V224">IF(OR($A221="",V$5=""),"",IFNA(INDEX(DATA_LOG!$D:$D,MATCH(1,(DATA_LOG!$A:$A=$A221)*(TEXT(DATA_LOG!$B:$B,"yyyy-MM-dd")=TEXT(DATE($P$3,MONTH(1&amp;$N$3),VALUE(LEFT(V$5,2))),"yyyy-MM-dd")),0)),""))</f>
        <v/>
      </c>
      <c r="W224" s="39" t="str">
        <f t="array" ref="W224">IF(OR($A221="",W$5=""),"",IFNA(INDEX(DATA_LOG!$D:$D,MATCH(1,(DATA_LOG!$A:$A=$A221)*(TEXT(DATA_LOG!$B:$B,"yyyy-MM-dd")=TEXT(DATE($P$3,MONTH(1&amp;$N$3),VALUE(LEFT(W$5,2))),"yyyy-MM-dd")),0)),""))</f>
        <v/>
      </c>
      <c r="X224" s="39" t="str">
        <f t="array" ref="X224">IF(OR($A221="",X$5=""),"",IFNA(INDEX(DATA_LOG!$D:$D,MATCH(1,(DATA_LOG!$A:$A=$A221)*(TEXT(DATA_LOG!$B:$B,"yyyy-MM-dd")=TEXT(DATE($P$3,MONTH(1&amp;$N$3),VALUE(LEFT(X$5,2))),"yyyy-MM-dd")),0)),""))</f>
        <v/>
      </c>
      <c r="Y224" s="39" t="str">
        <f t="array" ref="Y224">IF(OR($A221="",Y$5=""),"",IFNA(INDEX(DATA_LOG!$D:$D,MATCH(1,(DATA_LOG!$A:$A=$A221)*(TEXT(DATA_LOG!$B:$B,"yyyy-MM-dd")=TEXT(DATE($P$3,MONTH(1&amp;$N$3),VALUE(LEFT(Y$5,2))),"yyyy-MM-dd")),0)),""))</f>
        <v/>
      </c>
      <c r="Z224" s="39" t="str">
        <f t="array" ref="Z224">IF(OR($A221="",Z$5=""),"",IFNA(INDEX(DATA_LOG!$D:$D,MATCH(1,(DATA_LOG!$A:$A=$A221)*(TEXT(DATA_LOG!$B:$B,"yyyy-MM-dd")=TEXT(DATE($P$3,MONTH(1&amp;$N$3),VALUE(LEFT(Z$5,2))),"yyyy-MM-dd")),0)),""))</f>
        <v/>
      </c>
      <c r="AA224" s="39" t="str">
        <f t="array" ref="AA224">IF(OR($A221="",AA$5=""),"",IFNA(INDEX(DATA_LOG!$D:$D,MATCH(1,(DATA_LOG!$A:$A=$A221)*(TEXT(DATA_LOG!$B:$B,"yyyy-MM-dd")=TEXT(DATE($P$3,MONTH(1&amp;$N$3),VALUE(LEFT(AA$5,2))),"yyyy-MM-dd")),0)),""))</f>
        <v/>
      </c>
      <c r="AB224" s="39" t="str">
        <f t="array" ref="AB224">IF(OR($A221="",AB$5=""),"",IFNA(INDEX(DATA_LOG!$D:$D,MATCH(1,(DATA_LOG!$A:$A=$A221)*(TEXT(DATA_LOG!$B:$B,"yyyy-MM-dd")=TEXT(DATE($P$3,MONTH(1&amp;$N$3),VALUE(LEFT(AB$5,2))),"yyyy-MM-dd")),0)),""))</f>
        <v/>
      </c>
      <c r="AC224" s="39" t="str">
        <f t="array" ref="AC224">IF(OR($A221="",AC$5=""),"",IFNA(INDEX(DATA_LOG!$D:$D,MATCH(1,(DATA_LOG!$A:$A=$A221)*(TEXT(DATA_LOG!$B:$B,"yyyy-MM-dd")=TEXT(DATE($P$3,MONTH(1&amp;$N$3),VALUE(LEFT(AC$5,2))),"yyyy-MM-dd")),0)),""))</f>
        <v/>
      </c>
      <c r="AD224" s="39" t="str">
        <f t="array" ref="AD224">IF(OR($A221="",AD$5=""),"",IFNA(INDEX(DATA_LOG!$D:$D,MATCH(1,(DATA_LOG!$A:$A=$A221)*(TEXT(DATA_LOG!$B:$B,"yyyy-MM-dd")=TEXT(DATE($P$3,MONTH(1&amp;$N$3),VALUE(LEFT(AD$5,2))),"yyyy-MM-dd")),0)),""))</f>
        <v/>
      </c>
      <c r="AE224" s="39" t="str">
        <f t="array" ref="AE224">IF(OR($A221="",AE$5=""),"",IFNA(INDEX(DATA_LOG!$D:$D,MATCH(1,(DATA_LOG!$A:$A=$A221)*(TEXT(DATA_LOG!$B:$B,"yyyy-MM-dd")=TEXT(DATE($P$3,MONTH(1&amp;$N$3),VALUE(LEFT(AE$5,2))),"yyyy-MM-dd")),0)),""))</f>
        <v/>
      </c>
      <c r="AF224" s="39" t="str">
        <f t="array" ref="AF224">IF(OR($A221="",AF$5=""),"",IFNA(INDEX(DATA_LOG!$D:$D,MATCH(1,(DATA_LOG!$A:$A=$A221)*(TEXT(DATA_LOG!$B:$B,"yyyy-MM-dd")=TEXT(DATE($P$3,MONTH(1&amp;$N$3),VALUE(LEFT(AF$5,2))),"yyyy-MM-dd")),0)),""))</f>
        <v/>
      </c>
    </row>
    <row r="225">
      <c r="A225" s="40" t="str">
        <f>IF($A221="", "", "TOTAL")</f>
        <v/>
      </c>
      <c r="B225" s="41" t="str">
        <f t="shared" ref="B225:AF225" si="32">IF(AND(B223&lt;&gt;"",B224&lt;&gt;""),TEXT(MOD(B224-B223,1),"hh:mm"),"")</f>
        <v/>
      </c>
      <c r="C225" s="34" t="str">
        <f t="shared" si="32"/>
        <v/>
      </c>
      <c r="D225" s="34" t="str">
        <f t="shared" si="32"/>
        <v/>
      </c>
      <c r="E225" s="34" t="str">
        <f t="shared" si="32"/>
        <v/>
      </c>
      <c r="F225" s="34" t="str">
        <f t="shared" si="32"/>
        <v/>
      </c>
      <c r="G225" s="34" t="str">
        <f t="shared" si="32"/>
        <v/>
      </c>
      <c r="H225" s="34" t="str">
        <f t="shared" si="32"/>
        <v/>
      </c>
      <c r="I225" s="34" t="str">
        <f t="shared" si="32"/>
        <v/>
      </c>
      <c r="J225" s="34" t="str">
        <f t="shared" si="32"/>
        <v/>
      </c>
      <c r="K225" s="34" t="str">
        <f t="shared" si="32"/>
        <v/>
      </c>
      <c r="L225" s="34" t="str">
        <f t="shared" si="32"/>
        <v/>
      </c>
      <c r="M225" s="34" t="str">
        <f t="shared" si="32"/>
        <v/>
      </c>
      <c r="N225" s="34" t="str">
        <f t="shared" si="32"/>
        <v/>
      </c>
      <c r="O225" s="34" t="str">
        <f t="shared" si="32"/>
        <v/>
      </c>
      <c r="P225" s="34" t="str">
        <f t="shared" si="32"/>
        <v/>
      </c>
      <c r="Q225" s="34" t="str">
        <f t="shared" si="32"/>
        <v/>
      </c>
      <c r="R225" s="34" t="str">
        <f t="shared" si="32"/>
        <v/>
      </c>
      <c r="S225" s="34" t="str">
        <f t="shared" si="32"/>
        <v/>
      </c>
      <c r="T225" s="34" t="str">
        <f t="shared" si="32"/>
        <v/>
      </c>
      <c r="U225" s="34" t="str">
        <f t="shared" si="32"/>
        <v/>
      </c>
      <c r="V225" s="34" t="str">
        <f t="shared" si="32"/>
        <v/>
      </c>
      <c r="W225" s="34" t="str">
        <f t="shared" si="32"/>
        <v/>
      </c>
      <c r="X225" s="34" t="str">
        <f t="shared" si="32"/>
        <v/>
      </c>
      <c r="Y225" s="34" t="str">
        <f t="shared" si="32"/>
        <v/>
      </c>
      <c r="Z225" s="34" t="str">
        <f t="shared" si="32"/>
        <v/>
      </c>
      <c r="AA225" s="34" t="str">
        <f t="shared" si="32"/>
        <v/>
      </c>
      <c r="AB225" s="34" t="str">
        <f t="shared" si="32"/>
        <v/>
      </c>
      <c r="AC225" s="34" t="str">
        <f t="shared" si="32"/>
        <v/>
      </c>
      <c r="AD225" s="34" t="str">
        <f t="shared" si="32"/>
        <v/>
      </c>
      <c r="AE225" s="34" t="str">
        <f t="shared" si="32"/>
        <v/>
      </c>
      <c r="AF225" s="34" t="str">
        <f t="shared" si="32"/>
        <v/>
      </c>
    </row>
    <row r="226">
      <c r="A226" s="42" t="str">
        <f>IF($A221="", "", "STATUS")</f>
        <v/>
      </c>
      <c r="B226" s="43" t="str">
        <f>IFERROR(__xludf.DUMMYFUNCTION("IF($A221="""","""",IF(B$5="""","""",LET(logStatus,IFNA(INDEX(DATA_LOG!$E:$E,MATCH(1,(DATA_LOG!$A:$A=$A221)*(TEXT(DATA_LOG!$B:$B,""yyyy-MM-dd"")=TEXT(DATE($P$3,MONTH(1&amp;$N$3),VALUE(LEFT(B$5,2))),""yyyy-MM-dd"")),0)),""""),IF(logStatus&lt;&gt;"""",UPPER(logStatus)"&amp;",IF(B225&lt;&gt;"""",IF(VALUE(B225)&gt;=9/24,""FD"",""HD""),IF(REGEXMATCH(B$5,""SUN""),""WO"",""-""))))))"),"")</f>
        <v/>
      </c>
      <c r="C226" s="43" t="str">
        <f>IFERROR(__xludf.DUMMYFUNCTION("IF($A221="""","""",IF(C$5="""","""",LET(logStatus,IFNA(INDEX(DATA_LOG!$E:$E,MATCH(1,(DATA_LOG!$A:$A=$A221)*(TEXT(DATA_LOG!$B:$B,""yyyy-MM-dd"")=TEXT(DATE($P$3,MONTH(1&amp;$N$3),VALUE(LEFT(C$5,2))),""yyyy-MM-dd"")),0)),""""),IF(logStatus&lt;&gt;"""",UPPER(logStatus)"&amp;",IF(C225&lt;&gt;"""",IF(VALUE(C225)&gt;=9/24,""FD"",""HD""),IF(REGEXMATCH(C$5,""SUN""),""WO"",""-""))))))"),"")</f>
        <v/>
      </c>
      <c r="D226" s="43" t="str">
        <f>IFERROR(__xludf.DUMMYFUNCTION("IF($A221="""","""",IF(D$5="""","""",LET(logStatus,IFNA(INDEX(DATA_LOG!$E:$E,MATCH(1,(DATA_LOG!$A:$A=$A221)*(TEXT(DATA_LOG!$B:$B,""yyyy-MM-dd"")=TEXT(DATE($P$3,MONTH(1&amp;$N$3),VALUE(LEFT(D$5,2))),""yyyy-MM-dd"")),0)),""""),IF(logStatus&lt;&gt;"""",UPPER(logStatus)"&amp;",IF(D225&lt;&gt;"""",IF(VALUE(D225)&gt;=9/24,""FD"",""HD""),IF(REGEXMATCH(D$5,""SUN""),""WO"",""-""))))))"),"")</f>
        <v/>
      </c>
      <c r="E226" s="43" t="str">
        <f>IFERROR(__xludf.DUMMYFUNCTION("IF($A221="""","""",IF(E$5="""","""",LET(logStatus,IFNA(INDEX(DATA_LOG!$E:$E,MATCH(1,(DATA_LOG!$A:$A=$A221)*(TEXT(DATA_LOG!$B:$B,""yyyy-MM-dd"")=TEXT(DATE($P$3,MONTH(1&amp;$N$3),VALUE(LEFT(E$5,2))),""yyyy-MM-dd"")),0)),""""),IF(logStatus&lt;&gt;"""",UPPER(logStatus)"&amp;",IF(E225&lt;&gt;"""",IF(VALUE(E225)&gt;=9/24,""FD"",""HD""),IF(REGEXMATCH(E$5,""SUN""),""WO"",""-""))))))"),"")</f>
        <v/>
      </c>
      <c r="F226" s="43" t="str">
        <f>IFERROR(__xludf.DUMMYFUNCTION("IF($A221="""","""",IF(F$5="""","""",LET(logStatus,IFNA(INDEX(DATA_LOG!$E:$E,MATCH(1,(DATA_LOG!$A:$A=$A221)*(TEXT(DATA_LOG!$B:$B,""yyyy-MM-dd"")=TEXT(DATE($P$3,MONTH(1&amp;$N$3),VALUE(LEFT(F$5,2))),""yyyy-MM-dd"")),0)),""""),IF(logStatus&lt;&gt;"""",UPPER(logStatus)"&amp;",IF(F225&lt;&gt;"""",IF(VALUE(F225)&gt;=9/24,""FD"",""HD""),IF(REGEXMATCH(F$5,""SUN""),""WO"",""-""))))))"),"")</f>
        <v/>
      </c>
      <c r="G226" s="43" t="str">
        <f>IFERROR(__xludf.DUMMYFUNCTION("IF($A221="""","""",IF(G$5="""","""",LET(logStatus,IFNA(INDEX(DATA_LOG!$E:$E,MATCH(1,(DATA_LOG!$A:$A=$A221)*(TEXT(DATA_LOG!$B:$B,""yyyy-MM-dd"")=TEXT(DATE($P$3,MONTH(1&amp;$N$3),VALUE(LEFT(G$5,2))),""yyyy-MM-dd"")),0)),""""),IF(logStatus&lt;&gt;"""",UPPER(logStatus)"&amp;",IF(G225&lt;&gt;"""",IF(VALUE(G225)&gt;=9/24,""FD"",""HD""),IF(REGEXMATCH(G$5,""SUN""),""WO"",""-""))))))"),"")</f>
        <v/>
      </c>
      <c r="H226" s="43" t="str">
        <f>IFERROR(__xludf.DUMMYFUNCTION("IF($A221="""","""",IF(H$5="""","""",LET(logStatus,IFNA(INDEX(DATA_LOG!$E:$E,MATCH(1,(DATA_LOG!$A:$A=$A221)*(TEXT(DATA_LOG!$B:$B,""yyyy-MM-dd"")=TEXT(DATE($P$3,MONTH(1&amp;$N$3),VALUE(LEFT(H$5,2))),""yyyy-MM-dd"")),0)),""""),IF(logStatus&lt;&gt;"""",UPPER(logStatus)"&amp;",IF(H225&lt;&gt;"""",IF(VALUE(H225)&gt;=9/24,""FD"",""HD""),IF(REGEXMATCH(H$5,""SUN""),""WO"",""-""))))))"),"")</f>
        <v/>
      </c>
      <c r="I226" s="43" t="str">
        <f>IFERROR(__xludf.DUMMYFUNCTION("IF($A221="""","""",IF(I$5="""","""",LET(logStatus,IFNA(INDEX(DATA_LOG!$E:$E,MATCH(1,(DATA_LOG!$A:$A=$A221)*(TEXT(DATA_LOG!$B:$B,""yyyy-MM-dd"")=TEXT(DATE($P$3,MONTH(1&amp;$N$3),VALUE(LEFT(I$5,2))),""yyyy-MM-dd"")),0)),""""),IF(logStatus&lt;&gt;"""",UPPER(logStatus)"&amp;",IF(I225&lt;&gt;"""",IF(VALUE(I225)&gt;=9/24,""FD"",""HD""),IF(REGEXMATCH(I$5,""SUN""),""WO"",""-""))))))"),"")</f>
        <v/>
      </c>
      <c r="J226" s="43" t="str">
        <f>IFERROR(__xludf.DUMMYFUNCTION("IF($A221="""","""",IF(J$5="""","""",LET(logStatus,IFNA(INDEX(DATA_LOG!$E:$E,MATCH(1,(DATA_LOG!$A:$A=$A221)*(TEXT(DATA_LOG!$B:$B,""yyyy-MM-dd"")=TEXT(DATE($P$3,MONTH(1&amp;$N$3),VALUE(LEFT(J$5,2))),""yyyy-MM-dd"")),0)),""""),IF(logStatus&lt;&gt;"""",UPPER(logStatus)"&amp;",IF(J225&lt;&gt;"""",IF(VALUE(J225)&gt;=9/24,""FD"",""HD""),IF(REGEXMATCH(J$5,""SUN""),""WO"",""-""))))))"),"")</f>
        <v/>
      </c>
      <c r="K226" s="43" t="str">
        <f>IFERROR(__xludf.DUMMYFUNCTION("IF($A221="""","""",IF(K$5="""","""",LET(logStatus,IFNA(INDEX(DATA_LOG!$E:$E,MATCH(1,(DATA_LOG!$A:$A=$A221)*(TEXT(DATA_LOG!$B:$B,""yyyy-MM-dd"")=TEXT(DATE($P$3,MONTH(1&amp;$N$3),VALUE(LEFT(K$5,2))),""yyyy-MM-dd"")),0)),""""),IF(logStatus&lt;&gt;"""",UPPER(logStatus)"&amp;",IF(K225&lt;&gt;"""",IF(VALUE(K225)&gt;=9/24,""FD"",""HD""),IF(REGEXMATCH(K$5,""SUN""),""WO"",""-""))))))"),"")</f>
        <v/>
      </c>
      <c r="L226" s="43" t="str">
        <f>IFERROR(__xludf.DUMMYFUNCTION("IF($A221="""","""",IF(L$5="""","""",LET(logStatus,IFNA(INDEX(DATA_LOG!$E:$E,MATCH(1,(DATA_LOG!$A:$A=$A221)*(TEXT(DATA_LOG!$B:$B,""yyyy-MM-dd"")=TEXT(DATE($P$3,MONTH(1&amp;$N$3),VALUE(LEFT(L$5,2))),""yyyy-MM-dd"")),0)),""""),IF(logStatus&lt;&gt;"""",UPPER(logStatus)"&amp;",IF(L225&lt;&gt;"""",IF(VALUE(L225)&gt;=9/24,""FD"",""HD""),IF(REGEXMATCH(L$5,""SUN""),""WO"",""-""))))))"),"")</f>
        <v/>
      </c>
      <c r="M226" s="43" t="str">
        <f>IFERROR(__xludf.DUMMYFUNCTION("IF($A221="""","""",IF(M$5="""","""",LET(logStatus,IFNA(INDEX(DATA_LOG!$E:$E,MATCH(1,(DATA_LOG!$A:$A=$A221)*(TEXT(DATA_LOG!$B:$B,""yyyy-MM-dd"")=TEXT(DATE($P$3,MONTH(1&amp;$N$3),VALUE(LEFT(M$5,2))),""yyyy-MM-dd"")),0)),""""),IF(logStatus&lt;&gt;"""",UPPER(logStatus)"&amp;",IF(M225&lt;&gt;"""",IF(VALUE(M225)&gt;=9/24,""FD"",""HD""),IF(REGEXMATCH(M$5,""SUN""),""WO"",""-""))))))"),"")</f>
        <v/>
      </c>
      <c r="N226" s="43" t="str">
        <f>IFERROR(__xludf.DUMMYFUNCTION("IF($A221="""","""",IF(N$5="""","""",LET(logStatus,IFNA(INDEX(DATA_LOG!$E:$E,MATCH(1,(DATA_LOG!$A:$A=$A221)*(TEXT(DATA_LOG!$B:$B,""yyyy-MM-dd"")=TEXT(DATE($P$3,MONTH(1&amp;$N$3),VALUE(LEFT(N$5,2))),""yyyy-MM-dd"")),0)),""""),IF(logStatus&lt;&gt;"""",UPPER(logStatus)"&amp;",IF(N225&lt;&gt;"""",IF(VALUE(N225)&gt;=9/24,""FD"",""HD""),IF(REGEXMATCH(N$5,""SUN""),""WO"",""-""))))))"),"")</f>
        <v/>
      </c>
      <c r="O226" s="43" t="str">
        <f>IFERROR(__xludf.DUMMYFUNCTION("IF($A221="""","""",IF(O$5="""","""",LET(logStatus,IFNA(INDEX(DATA_LOG!$E:$E,MATCH(1,(DATA_LOG!$A:$A=$A221)*(TEXT(DATA_LOG!$B:$B,""yyyy-MM-dd"")=TEXT(DATE($P$3,MONTH(1&amp;$N$3),VALUE(LEFT(O$5,2))),""yyyy-MM-dd"")),0)),""""),IF(logStatus&lt;&gt;"""",UPPER(logStatus)"&amp;",IF(O225&lt;&gt;"""",IF(VALUE(O225)&gt;=9/24,""FD"",""HD""),IF(REGEXMATCH(O$5,""SUN""),""WO"",""-""))))))"),"")</f>
        <v/>
      </c>
      <c r="P226" s="43" t="str">
        <f>IFERROR(__xludf.DUMMYFUNCTION("IF($A221="""","""",IF(P$5="""","""",LET(logStatus,IFNA(INDEX(DATA_LOG!$E:$E,MATCH(1,(DATA_LOG!$A:$A=$A221)*(TEXT(DATA_LOG!$B:$B,""yyyy-MM-dd"")=TEXT(DATE($P$3,MONTH(1&amp;$N$3),VALUE(LEFT(P$5,2))),""yyyy-MM-dd"")),0)),""""),IF(logStatus&lt;&gt;"""",UPPER(logStatus)"&amp;",IF(P225&lt;&gt;"""",IF(VALUE(P225)&gt;=9/24,""FD"",""HD""),IF(REGEXMATCH(P$5,""SUN""),""WO"",""-""))))))"),"")</f>
        <v/>
      </c>
      <c r="Q226" s="43" t="str">
        <f>IFERROR(__xludf.DUMMYFUNCTION("IF($A221="""","""",IF(Q$5="""","""",LET(logStatus,IFNA(INDEX(DATA_LOG!$E:$E,MATCH(1,(DATA_LOG!$A:$A=$A221)*(TEXT(DATA_LOG!$B:$B,""yyyy-MM-dd"")=TEXT(DATE($P$3,MONTH(1&amp;$N$3),VALUE(LEFT(Q$5,2))),""yyyy-MM-dd"")),0)),""""),IF(logStatus&lt;&gt;"""",UPPER(logStatus)"&amp;",IF(Q225&lt;&gt;"""",IF(VALUE(Q225)&gt;=9/24,""FD"",""HD""),IF(REGEXMATCH(Q$5,""SUN""),""WO"",""-""))))))"),"")</f>
        <v/>
      </c>
      <c r="R226" s="43" t="str">
        <f>IFERROR(__xludf.DUMMYFUNCTION("IF($A221="""","""",IF(R$5="""","""",LET(logStatus,IFNA(INDEX(DATA_LOG!$E:$E,MATCH(1,(DATA_LOG!$A:$A=$A221)*(TEXT(DATA_LOG!$B:$B,""yyyy-MM-dd"")=TEXT(DATE($P$3,MONTH(1&amp;$N$3),VALUE(LEFT(R$5,2))),""yyyy-MM-dd"")),0)),""""),IF(logStatus&lt;&gt;"""",UPPER(logStatus)"&amp;",IF(R225&lt;&gt;"""",IF(VALUE(R225)&gt;=9/24,""FD"",""HD""),IF(REGEXMATCH(R$5,""SUN""),""WO"",""-""))))))"),"")</f>
        <v/>
      </c>
      <c r="S226" s="43" t="str">
        <f>IFERROR(__xludf.DUMMYFUNCTION("IF($A221="""","""",IF(S$5="""","""",LET(logStatus,IFNA(INDEX(DATA_LOG!$E:$E,MATCH(1,(DATA_LOG!$A:$A=$A221)*(TEXT(DATA_LOG!$B:$B,""yyyy-MM-dd"")=TEXT(DATE($P$3,MONTH(1&amp;$N$3),VALUE(LEFT(S$5,2))),""yyyy-MM-dd"")),0)),""""),IF(logStatus&lt;&gt;"""",UPPER(logStatus)"&amp;",IF(S225&lt;&gt;"""",IF(VALUE(S225)&gt;=9/24,""FD"",""HD""),IF(REGEXMATCH(S$5,""SUN""),""WO"",""-""))))))"),"")</f>
        <v/>
      </c>
      <c r="T226" s="43" t="str">
        <f>IFERROR(__xludf.DUMMYFUNCTION("IF($A221="""","""",IF(T$5="""","""",LET(logStatus,IFNA(INDEX(DATA_LOG!$E:$E,MATCH(1,(DATA_LOG!$A:$A=$A221)*(TEXT(DATA_LOG!$B:$B,""yyyy-MM-dd"")=TEXT(DATE($P$3,MONTH(1&amp;$N$3),VALUE(LEFT(T$5,2))),""yyyy-MM-dd"")),0)),""""),IF(logStatus&lt;&gt;"""",UPPER(logStatus)"&amp;",IF(T225&lt;&gt;"""",IF(VALUE(T225)&gt;=9/24,""FD"",""HD""),IF(REGEXMATCH(T$5,""SUN""),""WO"",""-""))))))"),"")</f>
        <v/>
      </c>
      <c r="U226" s="43" t="str">
        <f>IFERROR(__xludf.DUMMYFUNCTION("IF($A221="""","""",IF(U$5="""","""",LET(logStatus,IFNA(INDEX(DATA_LOG!$E:$E,MATCH(1,(DATA_LOG!$A:$A=$A221)*(TEXT(DATA_LOG!$B:$B,""yyyy-MM-dd"")=TEXT(DATE($P$3,MONTH(1&amp;$N$3),VALUE(LEFT(U$5,2))),""yyyy-MM-dd"")),0)),""""),IF(logStatus&lt;&gt;"""",UPPER(logStatus)"&amp;",IF(U225&lt;&gt;"""",IF(VALUE(U225)&gt;=9/24,""FD"",""HD""),IF(REGEXMATCH(U$5,""SUN""),""WO"",""-""))))))"),"")</f>
        <v/>
      </c>
      <c r="V226" s="43" t="str">
        <f>IFERROR(__xludf.DUMMYFUNCTION("IF($A221="""","""",IF(V$5="""","""",LET(logStatus,IFNA(INDEX(DATA_LOG!$E:$E,MATCH(1,(DATA_LOG!$A:$A=$A221)*(TEXT(DATA_LOG!$B:$B,""yyyy-MM-dd"")=TEXT(DATE($P$3,MONTH(1&amp;$N$3),VALUE(LEFT(V$5,2))),""yyyy-MM-dd"")),0)),""""),IF(logStatus&lt;&gt;"""",UPPER(logStatus)"&amp;",IF(V225&lt;&gt;"""",IF(VALUE(V225)&gt;=9/24,""FD"",""HD""),IF(REGEXMATCH(V$5,""SUN""),""WO"",""-""))))))"),"")</f>
        <v/>
      </c>
      <c r="W226" s="43" t="str">
        <f>IFERROR(__xludf.DUMMYFUNCTION("IF($A221="""","""",IF(W$5="""","""",LET(logStatus,IFNA(INDEX(DATA_LOG!$E:$E,MATCH(1,(DATA_LOG!$A:$A=$A221)*(TEXT(DATA_LOG!$B:$B,""yyyy-MM-dd"")=TEXT(DATE($P$3,MONTH(1&amp;$N$3),VALUE(LEFT(W$5,2))),""yyyy-MM-dd"")),0)),""""),IF(logStatus&lt;&gt;"""",UPPER(logStatus)"&amp;",IF(W225&lt;&gt;"""",IF(VALUE(W225)&gt;=9/24,""FD"",""HD""),IF(REGEXMATCH(W$5,""SUN""),""WO"",""-""))))))"),"")</f>
        <v/>
      </c>
      <c r="X226" s="43" t="str">
        <f>IFERROR(__xludf.DUMMYFUNCTION("IF($A221="""","""",IF(X$5="""","""",LET(logStatus,IFNA(INDEX(DATA_LOG!$E:$E,MATCH(1,(DATA_LOG!$A:$A=$A221)*(TEXT(DATA_LOG!$B:$B,""yyyy-MM-dd"")=TEXT(DATE($P$3,MONTH(1&amp;$N$3),VALUE(LEFT(X$5,2))),""yyyy-MM-dd"")),0)),""""),IF(logStatus&lt;&gt;"""",UPPER(logStatus)"&amp;",IF(X225&lt;&gt;"""",IF(VALUE(X225)&gt;=9/24,""FD"",""HD""),IF(REGEXMATCH(X$5,""SUN""),""WO"",""-""))))))"),"")</f>
        <v/>
      </c>
      <c r="Y226" s="43" t="str">
        <f>IFERROR(__xludf.DUMMYFUNCTION("IF($A221="""","""",IF(Y$5="""","""",LET(logStatus,IFNA(INDEX(DATA_LOG!$E:$E,MATCH(1,(DATA_LOG!$A:$A=$A221)*(TEXT(DATA_LOG!$B:$B,""yyyy-MM-dd"")=TEXT(DATE($P$3,MONTH(1&amp;$N$3),VALUE(LEFT(Y$5,2))),""yyyy-MM-dd"")),0)),""""),IF(logStatus&lt;&gt;"""",UPPER(logStatus)"&amp;",IF(Y225&lt;&gt;"""",IF(VALUE(Y225)&gt;=9/24,""FD"",""HD""),IF(REGEXMATCH(Y$5,""SUN""),""WO"",""-""))))))"),"")</f>
        <v/>
      </c>
      <c r="Z226" s="43" t="str">
        <f>IFERROR(__xludf.DUMMYFUNCTION("IF($A221="""","""",IF(Z$5="""","""",LET(logStatus,IFNA(INDEX(DATA_LOG!$E:$E,MATCH(1,(DATA_LOG!$A:$A=$A221)*(TEXT(DATA_LOG!$B:$B,""yyyy-MM-dd"")=TEXT(DATE($P$3,MONTH(1&amp;$N$3),VALUE(LEFT(Z$5,2))),""yyyy-MM-dd"")),0)),""""),IF(logStatus&lt;&gt;"""",UPPER(logStatus)"&amp;",IF(Z225&lt;&gt;"""",IF(VALUE(Z225)&gt;=9/24,""FD"",""HD""),IF(REGEXMATCH(Z$5,""SUN""),""WO"",""-""))))))"),"")</f>
        <v/>
      </c>
      <c r="AA226" s="43" t="str">
        <f>IFERROR(__xludf.DUMMYFUNCTION("IF($A221="""","""",IF(AA$5="""","""",LET(logStatus,IFNA(INDEX(DATA_LOG!$E:$E,MATCH(1,(DATA_LOG!$A:$A=$A221)*(TEXT(DATA_LOG!$B:$B,""yyyy-MM-dd"")=TEXT(DATE($P$3,MONTH(1&amp;$N$3),VALUE(LEFT(AA$5,2))),""yyyy-MM-dd"")),0)),""""),IF(logStatus&lt;&gt;"""",UPPER(logStatu"&amp;"s),IF(AA225&lt;&gt;"""",IF(VALUE(AA225)&gt;=9/24,""FD"",""HD""),IF(REGEXMATCH(AA$5,""SUN""),""WO"",""-""))))))"),"")</f>
        <v/>
      </c>
      <c r="AB226" s="43" t="str">
        <f>IFERROR(__xludf.DUMMYFUNCTION("IF($A221="""","""",IF(AB$5="""","""",LET(logStatus,IFNA(INDEX(DATA_LOG!$E:$E,MATCH(1,(DATA_LOG!$A:$A=$A221)*(TEXT(DATA_LOG!$B:$B,""yyyy-MM-dd"")=TEXT(DATE($P$3,MONTH(1&amp;$N$3),VALUE(LEFT(AB$5,2))),""yyyy-MM-dd"")),0)),""""),IF(logStatus&lt;&gt;"""",UPPER(logStatu"&amp;"s),IF(AB225&lt;&gt;"""",IF(VALUE(AB225)&gt;=9/24,""FD"",""HD""),IF(REGEXMATCH(AB$5,""SUN""),""WO"",""-""))))))"),"")</f>
        <v/>
      </c>
      <c r="AC226" s="43" t="str">
        <f>IFERROR(__xludf.DUMMYFUNCTION("IF($A221="""","""",IF(AC$5="""","""",LET(logStatus,IFNA(INDEX(DATA_LOG!$E:$E,MATCH(1,(DATA_LOG!$A:$A=$A221)*(TEXT(DATA_LOG!$B:$B,""yyyy-MM-dd"")=TEXT(DATE($P$3,MONTH(1&amp;$N$3),VALUE(LEFT(AC$5,2))),""yyyy-MM-dd"")),0)),""""),IF(logStatus&lt;&gt;"""",UPPER(logStatu"&amp;"s),IF(AC225&lt;&gt;"""",IF(VALUE(AC225)&gt;=9/24,""FD"",""HD""),IF(REGEXMATCH(AC$5,""SUN""),""WO"",""-""))))))"),"")</f>
        <v/>
      </c>
      <c r="AD226" s="43" t="str">
        <f>IFERROR(__xludf.DUMMYFUNCTION("IF($A221="""","""",IF(AD$5="""","""",LET(logStatus,IFNA(INDEX(DATA_LOG!$E:$E,MATCH(1,(DATA_LOG!$A:$A=$A221)*(TEXT(DATA_LOG!$B:$B,""yyyy-MM-dd"")=TEXT(DATE($P$3,MONTH(1&amp;$N$3),VALUE(LEFT(AD$5,2))),""yyyy-MM-dd"")),0)),""""),IF(logStatus&lt;&gt;"""",UPPER(logStatu"&amp;"s),IF(AD225&lt;&gt;"""",IF(VALUE(AD225)&gt;=9/24,""FD"",""HD""),IF(REGEXMATCH(AD$5,""SUN""),""WO"",""-""))))))"),"")</f>
        <v/>
      </c>
      <c r="AE226" s="43" t="str">
        <f>IFERROR(__xludf.DUMMYFUNCTION("IF($A221="""","""",IF(AE$5="""","""",LET(logStatus,IFNA(INDEX(DATA_LOG!$E:$E,MATCH(1,(DATA_LOG!$A:$A=$A221)*(TEXT(DATA_LOG!$B:$B,""yyyy-MM-dd"")=TEXT(DATE($P$3,MONTH(1&amp;$N$3),VALUE(LEFT(AE$5,2))),""yyyy-MM-dd"")),0)),""""),IF(logStatus&lt;&gt;"""",UPPER(logStatu"&amp;"s),IF(AE225&lt;&gt;"""",IF(VALUE(AE225)&gt;=9/24,""FD"",""HD""),IF(REGEXMATCH(AE$5,""SUN""),""WO"",""-""))))))"),"")</f>
        <v/>
      </c>
      <c r="AF226" s="43" t="str">
        <f>IFERROR(__xludf.DUMMYFUNCTION("IF($A221="""","""",IF(AF$5="""","""",LET(logStatus,IFNA(INDEX(DATA_LOG!$E:$E,MATCH(1,(DATA_LOG!$A:$A=$A221)*(TEXT(DATA_LOG!$B:$B,""yyyy-MM-dd"")=TEXT(DATE($P$3,MONTH(1&amp;$N$3),VALUE(LEFT(AF$5,2))),""yyyy-MM-dd"")),0)),""""),IF(logStatus&lt;&gt;"""",UPPER(logStatu"&amp;"s),IF(AF225&lt;&gt;"""",IF(VALUE(AF225)&gt;=9/24,""FD"",""HD""),IF(REGEXMATCH(AF$5,""SUN""),""WO"",""-""))))))"),"")</f>
        <v/>
      </c>
    </row>
    <row r="227">
      <c r="A227" s="44"/>
    </row>
    <row r="228">
      <c r="A228" s="25" t="str">
        <f t="array" ref="A228">INDEX(EMPLOYEE_LIST!$A:$A,INT((ROW()-4)/7)+2)</f>
        <v/>
      </c>
      <c r="B228" s="26"/>
      <c r="C228" s="27"/>
      <c r="D228" s="28" t="str">
        <f>IF(A228="", "", IFERROR(VLOOKUP(A228, EMPLOYEE_LIST!$A:$H, 2, FALSE), ""))</f>
        <v/>
      </c>
      <c r="E228" s="26"/>
      <c r="F228" s="26"/>
      <c r="G228" s="27"/>
      <c r="H228" s="29" t="str">
        <f>IF(A228="", "", IFERROR(VLOOKUP(A228, EMPLOYEE_LIST!$A:$H, 3, FALSE), ""))</f>
        <v/>
      </c>
      <c r="I228" s="26"/>
      <c r="J228" s="26"/>
      <c r="K228" s="27"/>
      <c r="L228" s="29" t="str">
        <f>IF(A228="", "", IFERROR(VLOOKUP(A228, EMPLOYEE_LIST!$A:$H, 4, FALSE), ""))</f>
        <v/>
      </c>
      <c r="M228" s="26"/>
      <c r="N228" s="26"/>
      <c r="O228" s="27"/>
      <c r="P228" s="30" t="str">
        <f>IF($A228="", "", "Full Day: " &amp; COUNTIF(B233:AF233, "FD"))</f>
        <v/>
      </c>
      <c r="Q228" s="26"/>
      <c r="R228" s="27"/>
      <c r="S228" s="31" t="str">
        <f>IF($A228="", "", "HALF Day: " &amp; COUNTIF(B233:AF233, "HD"))</f>
        <v/>
      </c>
      <c r="T228" s="26"/>
      <c r="U228" s="27"/>
      <c r="V228" s="31" t="str">
        <f>IF($A228="", "", "ABSENT: " &amp; COUNTIF(B233:AF233, "A"))</f>
        <v/>
      </c>
      <c r="W228" s="26"/>
      <c r="X228" s="27"/>
      <c r="Y228" s="31" t="str">
        <f>IF($A228="", "", "WEEK OFF: " &amp; COUNTIF(B233:AF233, "WO"))</f>
        <v/>
      </c>
      <c r="Z228" s="26"/>
      <c r="AA228" s="27"/>
      <c r="AB228" s="31" t="str">
        <f>IF($A228="", "", "LEAVE: " &amp; COUNTIF(B233:AF233, "L"))</f>
        <v/>
      </c>
      <c r="AC228" s="27"/>
      <c r="AD228" s="31" t="str">
        <f>IF($A228="", "", "HOLIDAY: " &amp; COUNTIF(B233:AF233, "HL"))</f>
        <v/>
      </c>
      <c r="AE228" s="26"/>
      <c r="AF228" s="27"/>
    </row>
    <row r="229">
      <c r="A229" s="32" t="str">
        <f>IF($A228="", "", "DATE")</f>
        <v/>
      </c>
      <c r="B229" s="33" t="str">
        <f t="array" ref="B229">IF($A228="","",LET(mNum,MONTH(1&amp;$N$3),start,DATE($P$3,mNum,1),days,DAY(EOMONTH(start,0)),MAP(SEQUENCE(1,days,0),LAMBDA(n,UPPER(TEXT(start+n,"dd (ddd)"))))))</f>
        <v/>
      </c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>
      <c r="A230" s="37" t="str">
        <f>IF($A228="", "", "IN")</f>
        <v/>
      </c>
      <c r="B230" s="38" t="str">
        <f t="array" ref="B230">IF(OR($A228="",B$5=""),"",IFNA(INDEX(DATA_LOG!$C:$C,MATCH(1,(DATA_LOG!$A:$A=$A228)*(TEXT(DATA_LOG!$B:$B,"yyyy-MM-dd")=TEXT(DATE($P$3,MONTH(1&amp;$N$3),VALUE(LEFT(B$5,2))),"yyyy-MM-dd")),0)),""))</f>
        <v/>
      </c>
      <c r="C230" s="39" t="str">
        <f t="array" ref="C230">IF(OR($A228="",C$5=""),"",IFNA(INDEX(DATA_LOG!$C:$C,MATCH(1,(DATA_LOG!$A:$A=$A228)*(TEXT(DATA_LOG!$B:$B,"yyyy-MM-dd")=TEXT(DATE($P$3,MONTH(1&amp;$N$3),VALUE(LEFT(C$5,2))),"yyyy-MM-dd")),0)),""))</f>
        <v/>
      </c>
      <c r="D230" s="39" t="str">
        <f t="array" ref="D230">IF(OR($A228="",D$5=""),"",IFNA(INDEX(DATA_LOG!$C:$C,MATCH(1,(DATA_LOG!$A:$A=$A228)*(TEXT(DATA_LOG!$B:$B,"yyyy-MM-dd")=TEXT(DATE($P$3,MONTH(1&amp;$N$3),VALUE(LEFT(D$5,2))),"yyyy-MM-dd")),0)),""))</f>
        <v/>
      </c>
      <c r="E230" s="39" t="str">
        <f t="array" ref="E230">IF(OR($A228="",E$5=""),"",IFNA(INDEX(DATA_LOG!$C:$C,MATCH(1,(DATA_LOG!$A:$A=$A228)*(TEXT(DATA_LOG!$B:$B,"yyyy-MM-dd")=TEXT(DATE($P$3,MONTH(1&amp;$N$3),VALUE(LEFT(E$5,2))),"yyyy-MM-dd")),0)),""))</f>
        <v/>
      </c>
      <c r="F230" s="39" t="str">
        <f t="array" ref="F230">IF(OR($A228="",F$5=""),"",IFNA(INDEX(DATA_LOG!$C:$C,MATCH(1,(DATA_LOG!$A:$A=$A228)*(TEXT(DATA_LOG!$B:$B,"yyyy-MM-dd")=TEXT(DATE($P$3,MONTH(1&amp;$N$3),VALUE(LEFT(F$5,2))),"yyyy-MM-dd")),0)),""))</f>
        <v/>
      </c>
      <c r="G230" s="39" t="str">
        <f t="array" ref="G230">IF(OR($A228="",G$5=""),"",IFNA(INDEX(DATA_LOG!$C:$C,MATCH(1,(DATA_LOG!$A:$A=$A228)*(TEXT(DATA_LOG!$B:$B,"yyyy-MM-dd")=TEXT(DATE($P$3,MONTH(1&amp;$N$3),VALUE(LEFT(G$5,2))),"yyyy-MM-dd")),0)),""))</f>
        <v/>
      </c>
      <c r="H230" s="39" t="str">
        <f t="array" ref="H230">IF(OR($A228="",H$5=""),"",IFNA(INDEX(DATA_LOG!$C:$C,MATCH(1,(DATA_LOG!$A:$A=$A228)*(TEXT(DATA_LOG!$B:$B,"yyyy-MM-dd")=TEXT(DATE($P$3,MONTH(1&amp;$N$3),VALUE(LEFT(H$5,2))),"yyyy-MM-dd")),0)),""))</f>
        <v/>
      </c>
      <c r="I230" s="39" t="str">
        <f t="array" ref="I230">IF(OR($A228="",I$5=""),"",IFNA(INDEX(DATA_LOG!$C:$C,MATCH(1,(DATA_LOG!$A:$A=$A228)*(TEXT(DATA_LOG!$B:$B,"yyyy-MM-dd")=TEXT(DATE($P$3,MONTH(1&amp;$N$3),VALUE(LEFT(I$5,2))),"yyyy-MM-dd")),0)),""))</f>
        <v/>
      </c>
      <c r="J230" s="39" t="str">
        <f t="array" ref="J230">IF(OR($A228="",J$5=""),"",IFNA(INDEX(DATA_LOG!$C:$C,MATCH(1,(DATA_LOG!$A:$A=$A228)*(TEXT(DATA_LOG!$B:$B,"yyyy-MM-dd")=TEXT(DATE($P$3,MONTH(1&amp;$N$3),VALUE(LEFT(J$5,2))),"yyyy-MM-dd")),0)),""))</f>
        <v/>
      </c>
      <c r="K230" s="39" t="str">
        <f t="array" ref="K230">IF(OR($A228="",K$5=""),"",IFNA(INDEX(DATA_LOG!$C:$C,MATCH(1,(DATA_LOG!$A:$A=$A228)*(TEXT(DATA_LOG!$B:$B,"yyyy-MM-dd")=TEXT(DATE($P$3,MONTH(1&amp;$N$3),VALUE(LEFT(K$5,2))),"yyyy-MM-dd")),0)),""))</f>
        <v/>
      </c>
      <c r="L230" s="39" t="str">
        <f t="array" ref="L230">IF(OR($A228="",L$5=""),"",IFNA(INDEX(DATA_LOG!$C:$C,MATCH(1,(DATA_LOG!$A:$A=$A228)*(TEXT(DATA_LOG!$B:$B,"yyyy-MM-dd")=TEXT(DATE($P$3,MONTH(1&amp;$N$3),VALUE(LEFT(L$5,2))),"yyyy-MM-dd")),0)),""))</f>
        <v/>
      </c>
      <c r="M230" s="39" t="str">
        <f t="array" ref="M230">IF(OR($A228="",M$5=""),"",IFNA(INDEX(DATA_LOG!$C:$C,MATCH(1,(DATA_LOG!$A:$A=$A228)*(TEXT(DATA_LOG!$B:$B,"yyyy-MM-dd")=TEXT(DATE($P$3,MONTH(1&amp;$N$3),VALUE(LEFT(M$5,2))),"yyyy-MM-dd")),0)),""))</f>
        <v/>
      </c>
      <c r="N230" s="39" t="str">
        <f t="array" ref="N230">IF(OR($A228="",N$5=""),"",IFNA(INDEX(DATA_LOG!$C:$C,MATCH(1,(DATA_LOG!$A:$A=$A228)*(TEXT(DATA_LOG!$B:$B,"yyyy-MM-dd")=TEXT(DATE($P$3,MONTH(1&amp;$N$3),VALUE(LEFT(N$5,2))),"yyyy-MM-dd")),0)),""))</f>
        <v/>
      </c>
      <c r="O230" s="39" t="str">
        <f t="array" ref="O230">IF(OR($A228="",O$5=""),"",IFNA(INDEX(DATA_LOG!$C:$C,MATCH(1,(DATA_LOG!$A:$A=$A228)*(TEXT(DATA_LOG!$B:$B,"yyyy-MM-dd")=TEXT(DATE($P$3,MONTH(1&amp;$N$3),VALUE(LEFT(O$5,2))),"yyyy-MM-dd")),0)),""))</f>
        <v/>
      </c>
      <c r="P230" s="39" t="str">
        <f t="array" ref="P230">IF(OR($A228="",P$5=""),"",IFNA(INDEX(DATA_LOG!$C:$C,MATCH(1,(DATA_LOG!$A:$A=$A228)*(TEXT(DATA_LOG!$B:$B,"yyyy-MM-dd")=TEXT(DATE($P$3,MONTH(1&amp;$N$3),VALUE(LEFT(P$5,2))),"yyyy-MM-dd")),0)),""))</f>
        <v/>
      </c>
      <c r="Q230" s="39" t="str">
        <f t="array" ref="Q230">IF(OR($A228="",Q$5=""),"",IFNA(INDEX(DATA_LOG!$C:$C,MATCH(1,(DATA_LOG!$A:$A=$A228)*(TEXT(DATA_LOG!$B:$B,"yyyy-MM-dd")=TEXT(DATE($P$3,MONTH(1&amp;$N$3),VALUE(LEFT(Q$5,2))),"yyyy-MM-dd")),0)),""))</f>
        <v/>
      </c>
      <c r="R230" s="39" t="str">
        <f t="array" ref="R230">IF(OR($A228="",R$5=""),"",IFNA(INDEX(DATA_LOG!$C:$C,MATCH(1,(DATA_LOG!$A:$A=$A228)*(TEXT(DATA_LOG!$B:$B,"yyyy-MM-dd")=TEXT(DATE($P$3,MONTH(1&amp;$N$3),VALUE(LEFT(R$5,2))),"yyyy-MM-dd")),0)),""))</f>
        <v/>
      </c>
      <c r="S230" s="39" t="str">
        <f t="array" ref="S230">IF(OR($A228="",S$5=""),"",IFNA(INDEX(DATA_LOG!$C:$C,MATCH(1,(DATA_LOG!$A:$A=$A228)*(TEXT(DATA_LOG!$B:$B,"yyyy-MM-dd")=TEXT(DATE($P$3,MONTH(1&amp;$N$3),VALUE(LEFT(S$5,2))),"yyyy-MM-dd")),0)),""))</f>
        <v/>
      </c>
      <c r="T230" s="39" t="str">
        <f t="array" ref="T230">IF(OR($A228="",T$5=""),"",IFNA(INDEX(DATA_LOG!$C:$C,MATCH(1,(DATA_LOG!$A:$A=$A228)*(TEXT(DATA_LOG!$B:$B,"yyyy-MM-dd")=TEXT(DATE($P$3,MONTH(1&amp;$N$3),VALUE(LEFT(T$5,2))),"yyyy-MM-dd")),0)),""))</f>
        <v/>
      </c>
      <c r="U230" s="39" t="str">
        <f t="array" ref="U230">IF(OR($A228="",U$5=""),"",IFNA(INDEX(DATA_LOG!$C:$C,MATCH(1,(DATA_LOG!$A:$A=$A228)*(TEXT(DATA_LOG!$B:$B,"yyyy-MM-dd")=TEXT(DATE($P$3,MONTH(1&amp;$N$3),VALUE(LEFT(U$5,2))),"yyyy-MM-dd")),0)),""))</f>
        <v/>
      </c>
      <c r="V230" s="39" t="str">
        <f t="array" ref="V230">IF(OR($A228="",V$5=""),"",IFNA(INDEX(DATA_LOG!$C:$C,MATCH(1,(DATA_LOG!$A:$A=$A228)*(TEXT(DATA_LOG!$B:$B,"yyyy-MM-dd")=TEXT(DATE($P$3,MONTH(1&amp;$N$3),VALUE(LEFT(V$5,2))),"yyyy-MM-dd")),0)),""))</f>
        <v/>
      </c>
      <c r="W230" s="39" t="str">
        <f t="array" ref="W230">IF(OR($A228="",W$5=""),"",IFNA(INDEX(DATA_LOG!$C:$C,MATCH(1,(DATA_LOG!$A:$A=$A228)*(TEXT(DATA_LOG!$B:$B,"yyyy-MM-dd")=TEXT(DATE($P$3,MONTH(1&amp;$N$3),VALUE(LEFT(W$5,2))),"yyyy-MM-dd")),0)),""))</f>
        <v/>
      </c>
      <c r="X230" s="39" t="str">
        <f t="array" ref="X230">IF(OR($A228="",X$5=""),"",IFNA(INDEX(DATA_LOG!$C:$C,MATCH(1,(DATA_LOG!$A:$A=$A228)*(TEXT(DATA_LOG!$B:$B,"yyyy-MM-dd")=TEXT(DATE($P$3,MONTH(1&amp;$N$3),VALUE(LEFT(X$5,2))),"yyyy-MM-dd")),0)),""))</f>
        <v/>
      </c>
      <c r="Y230" s="39" t="str">
        <f t="array" ref="Y230">IF(OR($A228="",Y$5=""),"",IFNA(INDEX(DATA_LOG!$C:$C,MATCH(1,(DATA_LOG!$A:$A=$A228)*(TEXT(DATA_LOG!$B:$B,"yyyy-MM-dd")=TEXT(DATE($P$3,MONTH(1&amp;$N$3),VALUE(LEFT(Y$5,2))),"yyyy-MM-dd")),0)),""))</f>
        <v/>
      </c>
      <c r="Z230" s="39" t="str">
        <f t="array" ref="Z230">IF(OR($A228="",Z$5=""),"",IFNA(INDEX(DATA_LOG!$C:$C,MATCH(1,(DATA_LOG!$A:$A=$A228)*(TEXT(DATA_LOG!$B:$B,"yyyy-MM-dd")=TEXT(DATE($P$3,MONTH(1&amp;$N$3),VALUE(LEFT(Z$5,2))),"yyyy-MM-dd")),0)),""))</f>
        <v/>
      </c>
      <c r="AA230" s="39" t="str">
        <f t="array" ref="AA230">IF(OR($A228="",AA$5=""),"",IFNA(INDEX(DATA_LOG!$C:$C,MATCH(1,(DATA_LOG!$A:$A=$A228)*(TEXT(DATA_LOG!$B:$B,"yyyy-MM-dd")=TEXT(DATE($P$3,MONTH(1&amp;$N$3),VALUE(LEFT(AA$5,2))),"yyyy-MM-dd")),0)),""))</f>
        <v/>
      </c>
      <c r="AB230" s="39" t="str">
        <f t="array" ref="AB230">IF(OR($A228="",AB$5=""),"",IFNA(INDEX(DATA_LOG!$C:$C,MATCH(1,(DATA_LOG!$A:$A=$A228)*(TEXT(DATA_LOG!$B:$B,"yyyy-MM-dd")=TEXT(DATE($P$3,MONTH(1&amp;$N$3),VALUE(LEFT(AB$5,2))),"yyyy-MM-dd")),0)),""))</f>
        <v/>
      </c>
      <c r="AC230" s="39" t="str">
        <f t="array" ref="AC230">IF(OR($A228="",AC$5=""),"",IFNA(INDEX(DATA_LOG!$C:$C,MATCH(1,(DATA_LOG!$A:$A=$A228)*(TEXT(DATA_LOG!$B:$B,"yyyy-MM-dd")=TEXT(DATE($P$3,MONTH(1&amp;$N$3),VALUE(LEFT(AC$5,2))),"yyyy-MM-dd")),0)),""))</f>
        <v/>
      </c>
      <c r="AD230" s="39" t="str">
        <f t="array" ref="AD230">IF(OR($A228="",AD$5=""),"",IFNA(INDEX(DATA_LOG!$C:$C,MATCH(1,(DATA_LOG!$A:$A=$A228)*(TEXT(DATA_LOG!$B:$B,"yyyy-MM-dd")=TEXT(DATE($P$3,MONTH(1&amp;$N$3),VALUE(LEFT(AD$5,2))),"yyyy-MM-dd")),0)),""))</f>
        <v/>
      </c>
      <c r="AE230" s="39" t="str">
        <f t="array" ref="AE230">IF(OR($A228="",AE$5=""),"",IFNA(INDEX(DATA_LOG!$C:$C,MATCH(1,(DATA_LOG!$A:$A=$A228)*(TEXT(DATA_LOG!$B:$B,"yyyy-MM-dd")=TEXT(DATE($P$3,MONTH(1&amp;$N$3),VALUE(LEFT(AE$5,2))),"yyyy-MM-dd")),0)),""))</f>
        <v/>
      </c>
      <c r="AF230" s="39" t="str">
        <f t="array" ref="AF230">IF(OR($A228="",AF$5=""),"",IFNA(INDEX(DATA_LOG!$C:$C,MATCH(1,(DATA_LOG!$A:$A=$A228)*(TEXT(DATA_LOG!$B:$B,"yyyy-MM-dd")=TEXT(DATE($P$3,MONTH(1&amp;$N$3),VALUE(LEFT(AF$5,2))),"yyyy-MM-dd")),0)),""))</f>
        <v/>
      </c>
    </row>
    <row r="231">
      <c r="A231" s="37" t="str">
        <f>IF($A228="", "", "OUT")</f>
        <v/>
      </c>
      <c r="B231" s="38" t="str">
        <f t="array" ref="B231">IF(OR($A228="",B$5=""),"",IFNA(INDEX(DATA_LOG!$D:$D,MATCH(1,(DATA_LOG!$A:$A=$A228)*(TEXT(DATA_LOG!$B:$B,"yyyy-MM-dd")=TEXT(DATE($P$3,MONTH(1&amp;$N$3),VALUE(LEFT(B$5,2))),"yyyy-MM-dd")),0)),""))</f>
        <v/>
      </c>
      <c r="C231" s="39" t="str">
        <f t="array" ref="C231">IF(OR($A228="",C$5=""),"",IFNA(INDEX(DATA_LOG!$D:$D,MATCH(1,(DATA_LOG!$A:$A=$A228)*(TEXT(DATA_LOG!$B:$B,"yyyy-MM-dd")=TEXT(DATE($P$3,MONTH(1&amp;$N$3),VALUE(LEFT(C$5,2))),"yyyy-MM-dd")),0)),""))</f>
        <v/>
      </c>
      <c r="D231" s="39" t="str">
        <f t="array" ref="D231">IF(OR($A228="",D$5=""),"",IFNA(INDEX(DATA_LOG!$D:$D,MATCH(1,(DATA_LOG!$A:$A=$A228)*(TEXT(DATA_LOG!$B:$B,"yyyy-MM-dd")=TEXT(DATE($P$3,MONTH(1&amp;$N$3),VALUE(LEFT(D$5,2))),"yyyy-MM-dd")),0)),""))</f>
        <v/>
      </c>
      <c r="E231" s="39" t="str">
        <f t="array" ref="E231">IF(OR($A228="",E$5=""),"",IFNA(INDEX(DATA_LOG!$D:$D,MATCH(1,(DATA_LOG!$A:$A=$A228)*(TEXT(DATA_LOG!$B:$B,"yyyy-MM-dd")=TEXT(DATE($P$3,MONTH(1&amp;$N$3),VALUE(LEFT(E$5,2))),"yyyy-MM-dd")),0)),""))</f>
        <v/>
      </c>
      <c r="F231" s="39" t="str">
        <f t="array" ref="F231">IF(OR($A228="",F$5=""),"",IFNA(INDEX(DATA_LOG!$D:$D,MATCH(1,(DATA_LOG!$A:$A=$A228)*(TEXT(DATA_LOG!$B:$B,"yyyy-MM-dd")=TEXT(DATE($P$3,MONTH(1&amp;$N$3),VALUE(LEFT(F$5,2))),"yyyy-MM-dd")),0)),""))</f>
        <v/>
      </c>
      <c r="G231" s="39" t="str">
        <f t="array" ref="G231">IF(OR($A228="",G$5=""),"",IFNA(INDEX(DATA_LOG!$D:$D,MATCH(1,(DATA_LOG!$A:$A=$A228)*(TEXT(DATA_LOG!$B:$B,"yyyy-MM-dd")=TEXT(DATE($P$3,MONTH(1&amp;$N$3),VALUE(LEFT(G$5,2))),"yyyy-MM-dd")),0)),""))</f>
        <v/>
      </c>
      <c r="H231" s="39" t="str">
        <f t="array" ref="H231">IF(OR($A228="",H$5=""),"",IFNA(INDEX(DATA_LOG!$D:$D,MATCH(1,(DATA_LOG!$A:$A=$A228)*(TEXT(DATA_LOG!$B:$B,"yyyy-MM-dd")=TEXT(DATE($P$3,MONTH(1&amp;$N$3),VALUE(LEFT(H$5,2))),"yyyy-MM-dd")),0)),""))</f>
        <v/>
      </c>
      <c r="I231" s="39" t="str">
        <f t="array" ref="I231">IF(OR($A228="",I$5=""),"",IFNA(INDEX(DATA_LOG!$D:$D,MATCH(1,(DATA_LOG!$A:$A=$A228)*(TEXT(DATA_LOG!$B:$B,"yyyy-MM-dd")=TEXT(DATE($P$3,MONTH(1&amp;$N$3),VALUE(LEFT(I$5,2))),"yyyy-MM-dd")),0)),""))</f>
        <v/>
      </c>
      <c r="J231" s="39" t="str">
        <f t="array" ref="J231">IF(OR($A228="",J$5=""),"",IFNA(INDEX(DATA_LOG!$D:$D,MATCH(1,(DATA_LOG!$A:$A=$A228)*(TEXT(DATA_LOG!$B:$B,"yyyy-MM-dd")=TEXT(DATE($P$3,MONTH(1&amp;$N$3),VALUE(LEFT(J$5,2))),"yyyy-MM-dd")),0)),""))</f>
        <v/>
      </c>
      <c r="K231" s="39" t="str">
        <f t="array" ref="K231">IF(OR($A228="",K$5=""),"",IFNA(INDEX(DATA_LOG!$D:$D,MATCH(1,(DATA_LOG!$A:$A=$A228)*(TEXT(DATA_LOG!$B:$B,"yyyy-MM-dd")=TEXT(DATE($P$3,MONTH(1&amp;$N$3),VALUE(LEFT(K$5,2))),"yyyy-MM-dd")),0)),""))</f>
        <v/>
      </c>
      <c r="L231" s="39" t="str">
        <f t="array" ref="L231">IF(OR($A228="",L$5=""),"",IFNA(INDEX(DATA_LOG!$D:$D,MATCH(1,(DATA_LOG!$A:$A=$A228)*(TEXT(DATA_LOG!$B:$B,"yyyy-MM-dd")=TEXT(DATE($P$3,MONTH(1&amp;$N$3),VALUE(LEFT(L$5,2))),"yyyy-MM-dd")),0)),""))</f>
        <v/>
      </c>
      <c r="M231" s="39" t="str">
        <f t="array" ref="M231">IF(OR($A228="",M$5=""),"",IFNA(INDEX(DATA_LOG!$D:$D,MATCH(1,(DATA_LOG!$A:$A=$A228)*(TEXT(DATA_LOG!$B:$B,"yyyy-MM-dd")=TEXT(DATE($P$3,MONTH(1&amp;$N$3),VALUE(LEFT(M$5,2))),"yyyy-MM-dd")),0)),""))</f>
        <v/>
      </c>
      <c r="N231" s="39" t="str">
        <f t="array" ref="N231">IF(OR($A228="",N$5=""),"",IFNA(INDEX(DATA_LOG!$D:$D,MATCH(1,(DATA_LOG!$A:$A=$A228)*(TEXT(DATA_LOG!$B:$B,"yyyy-MM-dd")=TEXT(DATE($P$3,MONTH(1&amp;$N$3),VALUE(LEFT(N$5,2))),"yyyy-MM-dd")),0)),""))</f>
        <v/>
      </c>
      <c r="O231" s="39" t="str">
        <f t="array" ref="O231">IF(OR($A228="",O$5=""),"",IFNA(INDEX(DATA_LOG!$D:$D,MATCH(1,(DATA_LOG!$A:$A=$A228)*(TEXT(DATA_LOG!$B:$B,"yyyy-MM-dd")=TEXT(DATE($P$3,MONTH(1&amp;$N$3),VALUE(LEFT(O$5,2))),"yyyy-MM-dd")),0)),""))</f>
        <v/>
      </c>
      <c r="P231" s="39" t="str">
        <f t="array" ref="P231">IF(OR($A228="",P$5=""),"",IFNA(INDEX(DATA_LOG!$D:$D,MATCH(1,(DATA_LOG!$A:$A=$A228)*(TEXT(DATA_LOG!$B:$B,"yyyy-MM-dd")=TEXT(DATE($P$3,MONTH(1&amp;$N$3),VALUE(LEFT(P$5,2))),"yyyy-MM-dd")),0)),""))</f>
        <v/>
      </c>
      <c r="Q231" s="39" t="str">
        <f t="array" ref="Q231">IF(OR($A228="",Q$5=""),"",IFNA(INDEX(DATA_LOG!$D:$D,MATCH(1,(DATA_LOG!$A:$A=$A228)*(TEXT(DATA_LOG!$B:$B,"yyyy-MM-dd")=TEXT(DATE($P$3,MONTH(1&amp;$N$3),VALUE(LEFT(Q$5,2))),"yyyy-MM-dd")),0)),""))</f>
        <v/>
      </c>
      <c r="R231" s="39" t="str">
        <f t="array" ref="R231">IF(OR($A228="",R$5=""),"",IFNA(INDEX(DATA_LOG!$D:$D,MATCH(1,(DATA_LOG!$A:$A=$A228)*(TEXT(DATA_LOG!$B:$B,"yyyy-MM-dd")=TEXT(DATE($P$3,MONTH(1&amp;$N$3),VALUE(LEFT(R$5,2))),"yyyy-MM-dd")),0)),""))</f>
        <v/>
      </c>
      <c r="S231" s="39" t="str">
        <f t="array" ref="S231">IF(OR($A228="",S$5=""),"",IFNA(INDEX(DATA_LOG!$D:$D,MATCH(1,(DATA_LOG!$A:$A=$A228)*(TEXT(DATA_LOG!$B:$B,"yyyy-MM-dd")=TEXT(DATE($P$3,MONTH(1&amp;$N$3),VALUE(LEFT(S$5,2))),"yyyy-MM-dd")),0)),""))</f>
        <v/>
      </c>
      <c r="T231" s="39" t="str">
        <f t="array" ref="T231">IF(OR($A228="",T$5=""),"",IFNA(INDEX(DATA_LOG!$D:$D,MATCH(1,(DATA_LOG!$A:$A=$A228)*(TEXT(DATA_LOG!$B:$B,"yyyy-MM-dd")=TEXT(DATE($P$3,MONTH(1&amp;$N$3),VALUE(LEFT(T$5,2))),"yyyy-MM-dd")),0)),""))</f>
        <v/>
      </c>
      <c r="U231" s="39" t="str">
        <f t="array" ref="U231">IF(OR($A228="",U$5=""),"",IFNA(INDEX(DATA_LOG!$D:$D,MATCH(1,(DATA_LOG!$A:$A=$A228)*(TEXT(DATA_LOG!$B:$B,"yyyy-MM-dd")=TEXT(DATE($P$3,MONTH(1&amp;$N$3),VALUE(LEFT(U$5,2))),"yyyy-MM-dd")),0)),""))</f>
        <v/>
      </c>
      <c r="V231" s="39" t="str">
        <f t="array" ref="V231">IF(OR($A228="",V$5=""),"",IFNA(INDEX(DATA_LOG!$D:$D,MATCH(1,(DATA_LOG!$A:$A=$A228)*(TEXT(DATA_LOG!$B:$B,"yyyy-MM-dd")=TEXT(DATE($P$3,MONTH(1&amp;$N$3),VALUE(LEFT(V$5,2))),"yyyy-MM-dd")),0)),""))</f>
        <v/>
      </c>
      <c r="W231" s="39" t="str">
        <f t="array" ref="W231">IF(OR($A228="",W$5=""),"",IFNA(INDEX(DATA_LOG!$D:$D,MATCH(1,(DATA_LOG!$A:$A=$A228)*(TEXT(DATA_LOG!$B:$B,"yyyy-MM-dd")=TEXT(DATE($P$3,MONTH(1&amp;$N$3),VALUE(LEFT(W$5,2))),"yyyy-MM-dd")),0)),""))</f>
        <v/>
      </c>
      <c r="X231" s="39" t="str">
        <f t="array" ref="X231">IF(OR($A228="",X$5=""),"",IFNA(INDEX(DATA_LOG!$D:$D,MATCH(1,(DATA_LOG!$A:$A=$A228)*(TEXT(DATA_LOG!$B:$B,"yyyy-MM-dd")=TEXT(DATE($P$3,MONTH(1&amp;$N$3),VALUE(LEFT(X$5,2))),"yyyy-MM-dd")),0)),""))</f>
        <v/>
      </c>
      <c r="Y231" s="39" t="str">
        <f t="array" ref="Y231">IF(OR($A228="",Y$5=""),"",IFNA(INDEX(DATA_LOG!$D:$D,MATCH(1,(DATA_LOG!$A:$A=$A228)*(TEXT(DATA_LOG!$B:$B,"yyyy-MM-dd")=TEXT(DATE($P$3,MONTH(1&amp;$N$3),VALUE(LEFT(Y$5,2))),"yyyy-MM-dd")),0)),""))</f>
        <v/>
      </c>
      <c r="Z231" s="39" t="str">
        <f t="array" ref="Z231">IF(OR($A228="",Z$5=""),"",IFNA(INDEX(DATA_LOG!$D:$D,MATCH(1,(DATA_LOG!$A:$A=$A228)*(TEXT(DATA_LOG!$B:$B,"yyyy-MM-dd")=TEXT(DATE($P$3,MONTH(1&amp;$N$3),VALUE(LEFT(Z$5,2))),"yyyy-MM-dd")),0)),""))</f>
        <v/>
      </c>
      <c r="AA231" s="39" t="str">
        <f t="array" ref="AA231">IF(OR($A228="",AA$5=""),"",IFNA(INDEX(DATA_LOG!$D:$D,MATCH(1,(DATA_LOG!$A:$A=$A228)*(TEXT(DATA_LOG!$B:$B,"yyyy-MM-dd")=TEXT(DATE($P$3,MONTH(1&amp;$N$3),VALUE(LEFT(AA$5,2))),"yyyy-MM-dd")),0)),""))</f>
        <v/>
      </c>
      <c r="AB231" s="39" t="str">
        <f t="array" ref="AB231">IF(OR($A228="",AB$5=""),"",IFNA(INDEX(DATA_LOG!$D:$D,MATCH(1,(DATA_LOG!$A:$A=$A228)*(TEXT(DATA_LOG!$B:$B,"yyyy-MM-dd")=TEXT(DATE($P$3,MONTH(1&amp;$N$3),VALUE(LEFT(AB$5,2))),"yyyy-MM-dd")),0)),""))</f>
        <v/>
      </c>
      <c r="AC231" s="39" t="str">
        <f t="array" ref="AC231">IF(OR($A228="",AC$5=""),"",IFNA(INDEX(DATA_LOG!$D:$D,MATCH(1,(DATA_LOG!$A:$A=$A228)*(TEXT(DATA_LOG!$B:$B,"yyyy-MM-dd")=TEXT(DATE($P$3,MONTH(1&amp;$N$3),VALUE(LEFT(AC$5,2))),"yyyy-MM-dd")),0)),""))</f>
        <v/>
      </c>
      <c r="AD231" s="39" t="str">
        <f t="array" ref="AD231">IF(OR($A228="",AD$5=""),"",IFNA(INDEX(DATA_LOG!$D:$D,MATCH(1,(DATA_LOG!$A:$A=$A228)*(TEXT(DATA_LOG!$B:$B,"yyyy-MM-dd")=TEXT(DATE($P$3,MONTH(1&amp;$N$3),VALUE(LEFT(AD$5,2))),"yyyy-MM-dd")),0)),""))</f>
        <v/>
      </c>
      <c r="AE231" s="39" t="str">
        <f t="array" ref="AE231">IF(OR($A228="",AE$5=""),"",IFNA(INDEX(DATA_LOG!$D:$D,MATCH(1,(DATA_LOG!$A:$A=$A228)*(TEXT(DATA_LOG!$B:$B,"yyyy-MM-dd")=TEXT(DATE($P$3,MONTH(1&amp;$N$3),VALUE(LEFT(AE$5,2))),"yyyy-MM-dd")),0)),""))</f>
        <v/>
      </c>
      <c r="AF231" s="39" t="str">
        <f t="array" ref="AF231">IF(OR($A228="",AF$5=""),"",IFNA(INDEX(DATA_LOG!$D:$D,MATCH(1,(DATA_LOG!$A:$A=$A228)*(TEXT(DATA_LOG!$B:$B,"yyyy-MM-dd")=TEXT(DATE($P$3,MONTH(1&amp;$N$3),VALUE(LEFT(AF$5,2))),"yyyy-MM-dd")),0)),""))</f>
        <v/>
      </c>
    </row>
    <row r="232">
      <c r="A232" s="40" t="str">
        <f>IF($A228="", "", "TOTAL")</f>
        <v/>
      </c>
      <c r="B232" s="41" t="str">
        <f t="shared" ref="B232:AF232" si="33">IF(AND(B230&lt;&gt;"",B231&lt;&gt;""),TEXT(MOD(B231-B230,1),"hh:mm"),"")</f>
        <v/>
      </c>
      <c r="C232" s="34" t="str">
        <f t="shared" si="33"/>
        <v/>
      </c>
      <c r="D232" s="34" t="str">
        <f t="shared" si="33"/>
        <v/>
      </c>
      <c r="E232" s="34" t="str">
        <f t="shared" si="33"/>
        <v/>
      </c>
      <c r="F232" s="34" t="str">
        <f t="shared" si="33"/>
        <v/>
      </c>
      <c r="G232" s="34" t="str">
        <f t="shared" si="33"/>
        <v/>
      </c>
      <c r="H232" s="34" t="str">
        <f t="shared" si="33"/>
        <v/>
      </c>
      <c r="I232" s="34" t="str">
        <f t="shared" si="33"/>
        <v/>
      </c>
      <c r="J232" s="34" t="str">
        <f t="shared" si="33"/>
        <v/>
      </c>
      <c r="K232" s="34" t="str">
        <f t="shared" si="33"/>
        <v/>
      </c>
      <c r="L232" s="34" t="str">
        <f t="shared" si="33"/>
        <v/>
      </c>
      <c r="M232" s="34" t="str">
        <f t="shared" si="33"/>
        <v/>
      </c>
      <c r="N232" s="34" t="str">
        <f t="shared" si="33"/>
        <v/>
      </c>
      <c r="O232" s="34" t="str">
        <f t="shared" si="33"/>
        <v/>
      </c>
      <c r="P232" s="34" t="str">
        <f t="shared" si="33"/>
        <v/>
      </c>
      <c r="Q232" s="34" t="str">
        <f t="shared" si="33"/>
        <v/>
      </c>
      <c r="R232" s="34" t="str">
        <f t="shared" si="33"/>
        <v/>
      </c>
      <c r="S232" s="34" t="str">
        <f t="shared" si="33"/>
        <v/>
      </c>
      <c r="T232" s="34" t="str">
        <f t="shared" si="33"/>
        <v/>
      </c>
      <c r="U232" s="34" t="str">
        <f t="shared" si="33"/>
        <v/>
      </c>
      <c r="V232" s="34" t="str">
        <f t="shared" si="33"/>
        <v/>
      </c>
      <c r="W232" s="34" t="str">
        <f t="shared" si="33"/>
        <v/>
      </c>
      <c r="X232" s="34" t="str">
        <f t="shared" si="33"/>
        <v/>
      </c>
      <c r="Y232" s="34" t="str">
        <f t="shared" si="33"/>
        <v/>
      </c>
      <c r="Z232" s="34" t="str">
        <f t="shared" si="33"/>
        <v/>
      </c>
      <c r="AA232" s="34" t="str">
        <f t="shared" si="33"/>
        <v/>
      </c>
      <c r="AB232" s="34" t="str">
        <f t="shared" si="33"/>
        <v/>
      </c>
      <c r="AC232" s="34" t="str">
        <f t="shared" si="33"/>
        <v/>
      </c>
      <c r="AD232" s="34" t="str">
        <f t="shared" si="33"/>
        <v/>
      </c>
      <c r="AE232" s="34" t="str">
        <f t="shared" si="33"/>
        <v/>
      </c>
      <c r="AF232" s="34" t="str">
        <f t="shared" si="33"/>
        <v/>
      </c>
    </row>
    <row r="233">
      <c r="A233" s="42" t="str">
        <f>IF($A228="", "", "STATUS")</f>
        <v/>
      </c>
      <c r="B233" s="43" t="str">
        <f>IFERROR(__xludf.DUMMYFUNCTION("IF($A228="""","""",IF(B$5="""","""",LET(logStatus,IFNA(INDEX(DATA_LOG!$E:$E,MATCH(1,(DATA_LOG!$A:$A=$A228)*(TEXT(DATA_LOG!$B:$B,""yyyy-MM-dd"")=TEXT(DATE($P$3,MONTH(1&amp;$N$3),VALUE(LEFT(B$5,2))),""yyyy-MM-dd"")),0)),""""),IF(logStatus&lt;&gt;"""",UPPER(logStatus)"&amp;",IF(B232&lt;&gt;"""",IF(VALUE(B232)&gt;=9/24,""FD"",""HD""),IF(REGEXMATCH(B$5,""SUN""),""WO"",""-""))))))"),"")</f>
        <v/>
      </c>
      <c r="C233" s="43" t="str">
        <f>IFERROR(__xludf.DUMMYFUNCTION("IF($A228="""","""",IF(C$5="""","""",LET(logStatus,IFNA(INDEX(DATA_LOG!$E:$E,MATCH(1,(DATA_LOG!$A:$A=$A228)*(TEXT(DATA_LOG!$B:$B,""yyyy-MM-dd"")=TEXT(DATE($P$3,MONTH(1&amp;$N$3),VALUE(LEFT(C$5,2))),""yyyy-MM-dd"")),0)),""""),IF(logStatus&lt;&gt;"""",UPPER(logStatus)"&amp;",IF(C232&lt;&gt;"""",IF(VALUE(C232)&gt;=9/24,""FD"",""HD""),IF(REGEXMATCH(C$5,""SUN""),""WO"",""-""))))))"),"")</f>
        <v/>
      </c>
      <c r="D233" s="43" t="str">
        <f>IFERROR(__xludf.DUMMYFUNCTION("IF($A228="""","""",IF(D$5="""","""",LET(logStatus,IFNA(INDEX(DATA_LOG!$E:$E,MATCH(1,(DATA_LOG!$A:$A=$A228)*(TEXT(DATA_LOG!$B:$B,""yyyy-MM-dd"")=TEXT(DATE($P$3,MONTH(1&amp;$N$3),VALUE(LEFT(D$5,2))),""yyyy-MM-dd"")),0)),""""),IF(logStatus&lt;&gt;"""",UPPER(logStatus)"&amp;",IF(D232&lt;&gt;"""",IF(VALUE(D232)&gt;=9/24,""FD"",""HD""),IF(REGEXMATCH(D$5,""SUN""),""WO"",""-""))))))"),"")</f>
        <v/>
      </c>
      <c r="E233" s="43" t="str">
        <f>IFERROR(__xludf.DUMMYFUNCTION("IF($A228="""","""",IF(E$5="""","""",LET(logStatus,IFNA(INDEX(DATA_LOG!$E:$E,MATCH(1,(DATA_LOG!$A:$A=$A228)*(TEXT(DATA_LOG!$B:$B,""yyyy-MM-dd"")=TEXT(DATE($P$3,MONTH(1&amp;$N$3),VALUE(LEFT(E$5,2))),""yyyy-MM-dd"")),0)),""""),IF(logStatus&lt;&gt;"""",UPPER(logStatus)"&amp;",IF(E232&lt;&gt;"""",IF(VALUE(E232)&gt;=9/24,""FD"",""HD""),IF(REGEXMATCH(E$5,""SUN""),""WO"",""-""))))))"),"")</f>
        <v/>
      </c>
      <c r="F233" s="43" t="str">
        <f>IFERROR(__xludf.DUMMYFUNCTION("IF($A228="""","""",IF(F$5="""","""",LET(logStatus,IFNA(INDEX(DATA_LOG!$E:$E,MATCH(1,(DATA_LOG!$A:$A=$A228)*(TEXT(DATA_LOG!$B:$B,""yyyy-MM-dd"")=TEXT(DATE($P$3,MONTH(1&amp;$N$3),VALUE(LEFT(F$5,2))),""yyyy-MM-dd"")),0)),""""),IF(logStatus&lt;&gt;"""",UPPER(logStatus)"&amp;",IF(F232&lt;&gt;"""",IF(VALUE(F232)&gt;=9/24,""FD"",""HD""),IF(REGEXMATCH(F$5,""SUN""),""WO"",""-""))))))"),"")</f>
        <v/>
      </c>
      <c r="G233" s="43" t="str">
        <f>IFERROR(__xludf.DUMMYFUNCTION("IF($A228="""","""",IF(G$5="""","""",LET(logStatus,IFNA(INDEX(DATA_LOG!$E:$E,MATCH(1,(DATA_LOG!$A:$A=$A228)*(TEXT(DATA_LOG!$B:$B,""yyyy-MM-dd"")=TEXT(DATE($P$3,MONTH(1&amp;$N$3),VALUE(LEFT(G$5,2))),""yyyy-MM-dd"")),0)),""""),IF(logStatus&lt;&gt;"""",UPPER(logStatus)"&amp;",IF(G232&lt;&gt;"""",IF(VALUE(G232)&gt;=9/24,""FD"",""HD""),IF(REGEXMATCH(G$5,""SUN""),""WO"",""-""))))))"),"")</f>
        <v/>
      </c>
      <c r="H233" s="43" t="str">
        <f>IFERROR(__xludf.DUMMYFUNCTION("IF($A228="""","""",IF(H$5="""","""",LET(logStatus,IFNA(INDEX(DATA_LOG!$E:$E,MATCH(1,(DATA_LOG!$A:$A=$A228)*(TEXT(DATA_LOG!$B:$B,""yyyy-MM-dd"")=TEXT(DATE($P$3,MONTH(1&amp;$N$3),VALUE(LEFT(H$5,2))),""yyyy-MM-dd"")),0)),""""),IF(logStatus&lt;&gt;"""",UPPER(logStatus)"&amp;",IF(H232&lt;&gt;"""",IF(VALUE(H232)&gt;=9/24,""FD"",""HD""),IF(REGEXMATCH(H$5,""SUN""),""WO"",""-""))))))"),"")</f>
        <v/>
      </c>
      <c r="I233" s="43" t="str">
        <f>IFERROR(__xludf.DUMMYFUNCTION("IF($A228="""","""",IF(I$5="""","""",LET(logStatus,IFNA(INDEX(DATA_LOG!$E:$E,MATCH(1,(DATA_LOG!$A:$A=$A228)*(TEXT(DATA_LOG!$B:$B,""yyyy-MM-dd"")=TEXT(DATE($P$3,MONTH(1&amp;$N$3),VALUE(LEFT(I$5,2))),""yyyy-MM-dd"")),0)),""""),IF(logStatus&lt;&gt;"""",UPPER(logStatus)"&amp;",IF(I232&lt;&gt;"""",IF(VALUE(I232)&gt;=9/24,""FD"",""HD""),IF(REGEXMATCH(I$5,""SUN""),""WO"",""-""))))))"),"")</f>
        <v/>
      </c>
      <c r="J233" s="43" t="str">
        <f>IFERROR(__xludf.DUMMYFUNCTION("IF($A228="""","""",IF(J$5="""","""",LET(logStatus,IFNA(INDEX(DATA_LOG!$E:$E,MATCH(1,(DATA_LOG!$A:$A=$A228)*(TEXT(DATA_LOG!$B:$B,""yyyy-MM-dd"")=TEXT(DATE($P$3,MONTH(1&amp;$N$3),VALUE(LEFT(J$5,2))),""yyyy-MM-dd"")),0)),""""),IF(logStatus&lt;&gt;"""",UPPER(logStatus)"&amp;",IF(J232&lt;&gt;"""",IF(VALUE(J232)&gt;=9/24,""FD"",""HD""),IF(REGEXMATCH(J$5,""SUN""),""WO"",""-""))))))"),"")</f>
        <v/>
      </c>
      <c r="K233" s="43" t="str">
        <f>IFERROR(__xludf.DUMMYFUNCTION("IF($A228="""","""",IF(K$5="""","""",LET(logStatus,IFNA(INDEX(DATA_LOG!$E:$E,MATCH(1,(DATA_LOG!$A:$A=$A228)*(TEXT(DATA_LOG!$B:$B,""yyyy-MM-dd"")=TEXT(DATE($P$3,MONTH(1&amp;$N$3),VALUE(LEFT(K$5,2))),""yyyy-MM-dd"")),0)),""""),IF(logStatus&lt;&gt;"""",UPPER(logStatus)"&amp;",IF(K232&lt;&gt;"""",IF(VALUE(K232)&gt;=9/24,""FD"",""HD""),IF(REGEXMATCH(K$5,""SUN""),""WO"",""-""))))))"),"")</f>
        <v/>
      </c>
      <c r="L233" s="43" t="str">
        <f>IFERROR(__xludf.DUMMYFUNCTION("IF($A228="""","""",IF(L$5="""","""",LET(logStatus,IFNA(INDEX(DATA_LOG!$E:$E,MATCH(1,(DATA_LOG!$A:$A=$A228)*(TEXT(DATA_LOG!$B:$B,""yyyy-MM-dd"")=TEXT(DATE($P$3,MONTH(1&amp;$N$3),VALUE(LEFT(L$5,2))),""yyyy-MM-dd"")),0)),""""),IF(logStatus&lt;&gt;"""",UPPER(logStatus)"&amp;",IF(L232&lt;&gt;"""",IF(VALUE(L232)&gt;=9/24,""FD"",""HD""),IF(REGEXMATCH(L$5,""SUN""),""WO"",""-""))))))"),"")</f>
        <v/>
      </c>
      <c r="M233" s="43" t="str">
        <f>IFERROR(__xludf.DUMMYFUNCTION("IF($A228="""","""",IF(M$5="""","""",LET(logStatus,IFNA(INDEX(DATA_LOG!$E:$E,MATCH(1,(DATA_LOG!$A:$A=$A228)*(TEXT(DATA_LOG!$B:$B,""yyyy-MM-dd"")=TEXT(DATE($P$3,MONTH(1&amp;$N$3),VALUE(LEFT(M$5,2))),""yyyy-MM-dd"")),0)),""""),IF(logStatus&lt;&gt;"""",UPPER(logStatus)"&amp;",IF(M232&lt;&gt;"""",IF(VALUE(M232)&gt;=9/24,""FD"",""HD""),IF(REGEXMATCH(M$5,""SUN""),""WO"",""-""))))))"),"")</f>
        <v/>
      </c>
      <c r="N233" s="43" t="str">
        <f>IFERROR(__xludf.DUMMYFUNCTION("IF($A228="""","""",IF(N$5="""","""",LET(logStatus,IFNA(INDEX(DATA_LOG!$E:$E,MATCH(1,(DATA_LOG!$A:$A=$A228)*(TEXT(DATA_LOG!$B:$B,""yyyy-MM-dd"")=TEXT(DATE($P$3,MONTH(1&amp;$N$3),VALUE(LEFT(N$5,2))),""yyyy-MM-dd"")),0)),""""),IF(logStatus&lt;&gt;"""",UPPER(logStatus)"&amp;",IF(N232&lt;&gt;"""",IF(VALUE(N232)&gt;=9/24,""FD"",""HD""),IF(REGEXMATCH(N$5,""SUN""),""WO"",""-""))))))"),"")</f>
        <v/>
      </c>
      <c r="O233" s="43" t="str">
        <f>IFERROR(__xludf.DUMMYFUNCTION("IF($A228="""","""",IF(O$5="""","""",LET(logStatus,IFNA(INDEX(DATA_LOG!$E:$E,MATCH(1,(DATA_LOG!$A:$A=$A228)*(TEXT(DATA_LOG!$B:$B,""yyyy-MM-dd"")=TEXT(DATE($P$3,MONTH(1&amp;$N$3),VALUE(LEFT(O$5,2))),""yyyy-MM-dd"")),0)),""""),IF(logStatus&lt;&gt;"""",UPPER(logStatus)"&amp;",IF(O232&lt;&gt;"""",IF(VALUE(O232)&gt;=9/24,""FD"",""HD""),IF(REGEXMATCH(O$5,""SUN""),""WO"",""-""))))))"),"")</f>
        <v/>
      </c>
      <c r="P233" s="43" t="str">
        <f>IFERROR(__xludf.DUMMYFUNCTION("IF($A228="""","""",IF(P$5="""","""",LET(logStatus,IFNA(INDEX(DATA_LOG!$E:$E,MATCH(1,(DATA_LOG!$A:$A=$A228)*(TEXT(DATA_LOG!$B:$B,""yyyy-MM-dd"")=TEXT(DATE($P$3,MONTH(1&amp;$N$3),VALUE(LEFT(P$5,2))),""yyyy-MM-dd"")),0)),""""),IF(logStatus&lt;&gt;"""",UPPER(logStatus)"&amp;",IF(P232&lt;&gt;"""",IF(VALUE(P232)&gt;=9/24,""FD"",""HD""),IF(REGEXMATCH(P$5,""SUN""),""WO"",""-""))))))"),"")</f>
        <v/>
      </c>
      <c r="Q233" s="43" t="str">
        <f>IFERROR(__xludf.DUMMYFUNCTION("IF($A228="""","""",IF(Q$5="""","""",LET(logStatus,IFNA(INDEX(DATA_LOG!$E:$E,MATCH(1,(DATA_LOG!$A:$A=$A228)*(TEXT(DATA_LOG!$B:$B,""yyyy-MM-dd"")=TEXT(DATE($P$3,MONTH(1&amp;$N$3),VALUE(LEFT(Q$5,2))),""yyyy-MM-dd"")),0)),""""),IF(logStatus&lt;&gt;"""",UPPER(logStatus)"&amp;",IF(Q232&lt;&gt;"""",IF(VALUE(Q232)&gt;=9/24,""FD"",""HD""),IF(REGEXMATCH(Q$5,""SUN""),""WO"",""-""))))))"),"")</f>
        <v/>
      </c>
      <c r="R233" s="43" t="str">
        <f>IFERROR(__xludf.DUMMYFUNCTION("IF($A228="""","""",IF(R$5="""","""",LET(logStatus,IFNA(INDEX(DATA_LOG!$E:$E,MATCH(1,(DATA_LOG!$A:$A=$A228)*(TEXT(DATA_LOG!$B:$B,""yyyy-MM-dd"")=TEXT(DATE($P$3,MONTH(1&amp;$N$3),VALUE(LEFT(R$5,2))),""yyyy-MM-dd"")),0)),""""),IF(logStatus&lt;&gt;"""",UPPER(logStatus)"&amp;",IF(R232&lt;&gt;"""",IF(VALUE(R232)&gt;=9/24,""FD"",""HD""),IF(REGEXMATCH(R$5,""SUN""),""WO"",""-""))))))"),"")</f>
        <v/>
      </c>
      <c r="S233" s="43" t="str">
        <f>IFERROR(__xludf.DUMMYFUNCTION("IF($A228="""","""",IF(S$5="""","""",LET(logStatus,IFNA(INDEX(DATA_LOG!$E:$E,MATCH(1,(DATA_LOG!$A:$A=$A228)*(TEXT(DATA_LOG!$B:$B,""yyyy-MM-dd"")=TEXT(DATE($P$3,MONTH(1&amp;$N$3),VALUE(LEFT(S$5,2))),""yyyy-MM-dd"")),0)),""""),IF(logStatus&lt;&gt;"""",UPPER(logStatus)"&amp;",IF(S232&lt;&gt;"""",IF(VALUE(S232)&gt;=9/24,""FD"",""HD""),IF(REGEXMATCH(S$5,""SUN""),""WO"",""-""))))))"),"")</f>
        <v/>
      </c>
      <c r="T233" s="43" t="str">
        <f>IFERROR(__xludf.DUMMYFUNCTION("IF($A228="""","""",IF(T$5="""","""",LET(logStatus,IFNA(INDEX(DATA_LOG!$E:$E,MATCH(1,(DATA_LOG!$A:$A=$A228)*(TEXT(DATA_LOG!$B:$B,""yyyy-MM-dd"")=TEXT(DATE($P$3,MONTH(1&amp;$N$3),VALUE(LEFT(T$5,2))),""yyyy-MM-dd"")),0)),""""),IF(logStatus&lt;&gt;"""",UPPER(logStatus)"&amp;",IF(T232&lt;&gt;"""",IF(VALUE(T232)&gt;=9/24,""FD"",""HD""),IF(REGEXMATCH(T$5,""SUN""),""WO"",""-""))))))"),"")</f>
        <v/>
      </c>
      <c r="U233" s="43" t="str">
        <f>IFERROR(__xludf.DUMMYFUNCTION("IF($A228="""","""",IF(U$5="""","""",LET(logStatus,IFNA(INDEX(DATA_LOG!$E:$E,MATCH(1,(DATA_LOG!$A:$A=$A228)*(TEXT(DATA_LOG!$B:$B,""yyyy-MM-dd"")=TEXT(DATE($P$3,MONTH(1&amp;$N$3),VALUE(LEFT(U$5,2))),""yyyy-MM-dd"")),0)),""""),IF(logStatus&lt;&gt;"""",UPPER(logStatus)"&amp;",IF(U232&lt;&gt;"""",IF(VALUE(U232)&gt;=9/24,""FD"",""HD""),IF(REGEXMATCH(U$5,""SUN""),""WO"",""-""))))))"),"")</f>
        <v/>
      </c>
      <c r="V233" s="43" t="str">
        <f>IFERROR(__xludf.DUMMYFUNCTION("IF($A228="""","""",IF(V$5="""","""",LET(logStatus,IFNA(INDEX(DATA_LOG!$E:$E,MATCH(1,(DATA_LOG!$A:$A=$A228)*(TEXT(DATA_LOG!$B:$B,""yyyy-MM-dd"")=TEXT(DATE($P$3,MONTH(1&amp;$N$3),VALUE(LEFT(V$5,2))),""yyyy-MM-dd"")),0)),""""),IF(logStatus&lt;&gt;"""",UPPER(logStatus)"&amp;",IF(V232&lt;&gt;"""",IF(VALUE(V232)&gt;=9/24,""FD"",""HD""),IF(REGEXMATCH(V$5,""SUN""),""WO"",""-""))))))"),"")</f>
        <v/>
      </c>
      <c r="W233" s="43" t="str">
        <f>IFERROR(__xludf.DUMMYFUNCTION("IF($A228="""","""",IF(W$5="""","""",LET(logStatus,IFNA(INDEX(DATA_LOG!$E:$E,MATCH(1,(DATA_LOG!$A:$A=$A228)*(TEXT(DATA_LOG!$B:$B,""yyyy-MM-dd"")=TEXT(DATE($P$3,MONTH(1&amp;$N$3),VALUE(LEFT(W$5,2))),""yyyy-MM-dd"")),0)),""""),IF(logStatus&lt;&gt;"""",UPPER(logStatus)"&amp;",IF(W232&lt;&gt;"""",IF(VALUE(W232)&gt;=9/24,""FD"",""HD""),IF(REGEXMATCH(W$5,""SUN""),""WO"",""-""))))))"),"")</f>
        <v/>
      </c>
      <c r="X233" s="43" t="str">
        <f>IFERROR(__xludf.DUMMYFUNCTION("IF($A228="""","""",IF(X$5="""","""",LET(logStatus,IFNA(INDEX(DATA_LOG!$E:$E,MATCH(1,(DATA_LOG!$A:$A=$A228)*(TEXT(DATA_LOG!$B:$B,""yyyy-MM-dd"")=TEXT(DATE($P$3,MONTH(1&amp;$N$3),VALUE(LEFT(X$5,2))),""yyyy-MM-dd"")),0)),""""),IF(logStatus&lt;&gt;"""",UPPER(logStatus)"&amp;",IF(X232&lt;&gt;"""",IF(VALUE(X232)&gt;=9/24,""FD"",""HD""),IF(REGEXMATCH(X$5,""SUN""),""WO"",""-""))))))"),"")</f>
        <v/>
      </c>
      <c r="Y233" s="43" t="str">
        <f>IFERROR(__xludf.DUMMYFUNCTION("IF($A228="""","""",IF(Y$5="""","""",LET(logStatus,IFNA(INDEX(DATA_LOG!$E:$E,MATCH(1,(DATA_LOG!$A:$A=$A228)*(TEXT(DATA_LOG!$B:$B,""yyyy-MM-dd"")=TEXT(DATE($P$3,MONTH(1&amp;$N$3),VALUE(LEFT(Y$5,2))),""yyyy-MM-dd"")),0)),""""),IF(logStatus&lt;&gt;"""",UPPER(logStatus)"&amp;",IF(Y232&lt;&gt;"""",IF(VALUE(Y232)&gt;=9/24,""FD"",""HD""),IF(REGEXMATCH(Y$5,""SUN""),""WO"",""-""))))))"),"")</f>
        <v/>
      </c>
      <c r="Z233" s="43" t="str">
        <f>IFERROR(__xludf.DUMMYFUNCTION("IF($A228="""","""",IF(Z$5="""","""",LET(logStatus,IFNA(INDEX(DATA_LOG!$E:$E,MATCH(1,(DATA_LOG!$A:$A=$A228)*(TEXT(DATA_LOG!$B:$B,""yyyy-MM-dd"")=TEXT(DATE($P$3,MONTH(1&amp;$N$3),VALUE(LEFT(Z$5,2))),""yyyy-MM-dd"")),0)),""""),IF(logStatus&lt;&gt;"""",UPPER(logStatus)"&amp;",IF(Z232&lt;&gt;"""",IF(VALUE(Z232)&gt;=9/24,""FD"",""HD""),IF(REGEXMATCH(Z$5,""SUN""),""WO"",""-""))))))"),"")</f>
        <v/>
      </c>
      <c r="AA233" s="43" t="str">
        <f>IFERROR(__xludf.DUMMYFUNCTION("IF($A228="""","""",IF(AA$5="""","""",LET(logStatus,IFNA(INDEX(DATA_LOG!$E:$E,MATCH(1,(DATA_LOG!$A:$A=$A228)*(TEXT(DATA_LOG!$B:$B,""yyyy-MM-dd"")=TEXT(DATE($P$3,MONTH(1&amp;$N$3),VALUE(LEFT(AA$5,2))),""yyyy-MM-dd"")),0)),""""),IF(logStatus&lt;&gt;"""",UPPER(logStatu"&amp;"s),IF(AA232&lt;&gt;"""",IF(VALUE(AA232)&gt;=9/24,""FD"",""HD""),IF(REGEXMATCH(AA$5,""SUN""),""WO"",""-""))))))"),"")</f>
        <v/>
      </c>
      <c r="AB233" s="43" t="str">
        <f>IFERROR(__xludf.DUMMYFUNCTION("IF($A228="""","""",IF(AB$5="""","""",LET(logStatus,IFNA(INDEX(DATA_LOG!$E:$E,MATCH(1,(DATA_LOG!$A:$A=$A228)*(TEXT(DATA_LOG!$B:$B,""yyyy-MM-dd"")=TEXT(DATE($P$3,MONTH(1&amp;$N$3),VALUE(LEFT(AB$5,2))),""yyyy-MM-dd"")),0)),""""),IF(logStatus&lt;&gt;"""",UPPER(logStatu"&amp;"s),IF(AB232&lt;&gt;"""",IF(VALUE(AB232)&gt;=9/24,""FD"",""HD""),IF(REGEXMATCH(AB$5,""SUN""),""WO"",""-""))))))"),"")</f>
        <v/>
      </c>
      <c r="AC233" s="43" t="str">
        <f>IFERROR(__xludf.DUMMYFUNCTION("IF($A228="""","""",IF(AC$5="""","""",LET(logStatus,IFNA(INDEX(DATA_LOG!$E:$E,MATCH(1,(DATA_LOG!$A:$A=$A228)*(TEXT(DATA_LOG!$B:$B,""yyyy-MM-dd"")=TEXT(DATE($P$3,MONTH(1&amp;$N$3),VALUE(LEFT(AC$5,2))),""yyyy-MM-dd"")),0)),""""),IF(logStatus&lt;&gt;"""",UPPER(logStatu"&amp;"s),IF(AC232&lt;&gt;"""",IF(VALUE(AC232)&gt;=9/24,""FD"",""HD""),IF(REGEXMATCH(AC$5,""SUN""),""WO"",""-""))))))"),"")</f>
        <v/>
      </c>
      <c r="AD233" s="43" t="str">
        <f>IFERROR(__xludf.DUMMYFUNCTION("IF($A228="""","""",IF(AD$5="""","""",LET(logStatus,IFNA(INDEX(DATA_LOG!$E:$E,MATCH(1,(DATA_LOG!$A:$A=$A228)*(TEXT(DATA_LOG!$B:$B,""yyyy-MM-dd"")=TEXT(DATE($P$3,MONTH(1&amp;$N$3),VALUE(LEFT(AD$5,2))),""yyyy-MM-dd"")),0)),""""),IF(logStatus&lt;&gt;"""",UPPER(logStatu"&amp;"s),IF(AD232&lt;&gt;"""",IF(VALUE(AD232)&gt;=9/24,""FD"",""HD""),IF(REGEXMATCH(AD$5,""SUN""),""WO"",""-""))))))"),"")</f>
        <v/>
      </c>
      <c r="AE233" s="43" t="str">
        <f>IFERROR(__xludf.DUMMYFUNCTION("IF($A228="""","""",IF(AE$5="""","""",LET(logStatus,IFNA(INDEX(DATA_LOG!$E:$E,MATCH(1,(DATA_LOG!$A:$A=$A228)*(TEXT(DATA_LOG!$B:$B,""yyyy-MM-dd"")=TEXT(DATE($P$3,MONTH(1&amp;$N$3),VALUE(LEFT(AE$5,2))),""yyyy-MM-dd"")),0)),""""),IF(logStatus&lt;&gt;"""",UPPER(logStatu"&amp;"s),IF(AE232&lt;&gt;"""",IF(VALUE(AE232)&gt;=9/24,""FD"",""HD""),IF(REGEXMATCH(AE$5,""SUN""),""WO"",""-""))))))"),"")</f>
        <v/>
      </c>
      <c r="AF233" s="43" t="str">
        <f>IFERROR(__xludf.DUMMYFUNCTION("IF($A228="""","""",IF(AF$5="""","""",LET(logStatus,IFNA(INDEX(DATA_LOG!$E:$E,MATCH(1,(DATA_LOG!$A:$A=$A228)*(TEXT(DATA_LOG!$B:$B,""yyyy-MM-dd"")=TEXT(DATE($P$3,MONTH(1&amp;$N$3),VALUE(LEFT(AF$5,2))),""yyyy-MM-dd"")),0)),""""),IF(logStatus&lt;&gt;"""",UPPER(logStatu"&amp;"s),IF(AF232&lt;&gt;"""",IF(VALUE(AF232)&gt;=9/24,""FD"",""HD""),IF(REGEXMATCH(AF$5,""SUN""),""WO"",""-""))))))"),"")</f>
        <v/>
      </c>
    </row>
    <row r="234">
      <c r="A234" s="44"/>
    </row>
    <row r="235">
      <c r="A235" s="25" t="str">
        <f>EMPLOYEE_LIST!A13</f>
        <v>SOMNATH CHAKRABORTY</v>
      </c>
      <c r="B235" s="26"/>
      <c r="C235" s="27"/>
      <c r="D235" s="28" t="str">
        <f>IF(A235="", "", IFERROR(VLOOKUP(A235, EMPLOYEE_LIST!$A:$H, 2, FALSE), ""))</f>
        <v>AYV-50</v>
      </c>
      <c r="E235" s="26"/>
      <c r="F235" s="26"/>
      <c r="G235" s="27"/>
      <c r="H235" s="29" t="str">
        <f>IF(A235="", "", IFERROR(VLOOKUP(A235, EMPLOYEE_LIST!$A:$H, 3, FALSE), ""))</f>
        <v>CIVIL</v>
      </c>
      <c r="I235" s="26"/>
      <c r="J235" s="26"/>
      <c r="K235" s="27"/>
      <c r="L235" s="29" t="str">
        <f>IF(A235="", "", IFERROR(VLOOKUP(A235, EMPLOYEE_LIST!$A:$H, 4, FALSE), ""))</f>
        <v>PROJECT MANAGER</v>
      </c>
      <c r="M235" s="26"/>
      <c r="N235" s="26"/>
      <c r="O235" s="27"/>
      <c r="P235" s="30" t="str">
        <f>IF($A235="", "", "Full Day: " &amp; COUNTIF(B240:AF240, "FD"))</f>
        <v>Full Day: 0</v>
      </c>
      <c r="Q235" s="26"/>
      <c r="R235" s="27"/>
      <c r="S235" s="31" t="str">
        <f>IF($A235="", "", "HALF Day: " &amp; COUNTIF(B240:AF240, "HD"))</f>
        <v>HALF Day: 0</v>
      </c>
      <c r="T235" s="26"/>
      <c r="U235" s="27"/>
      <c r="V235" s="31" t="str">
        <f>IF($A235="", "", "ABSENT: " &amp; COUNTIF(B240:AF240, "A"))</f>
        <v>ABSENT: 0</v>
      </c>
      <c r="W235" s="26"/>
      <c r="X235" s="27"/>
      <c r="Y235" s="31" t="str">
        <f>IF($A235="", "", "WEEK OFF: " &amp; COUNTIF(B240:AF240, "WO"))</f>
        <v>WEEK OFF: 4</v>
      </c>
      <c r="Z235" s="26"/>
      <c r="AA235" s="27"/>
      <c r="AB235" s="31" t="str">
        <f>IF($A235="", "", "LEAVE: " &amp; COUNTIF(B240:AF240, "L"))</f>
        <v>LEAVE: 0</v>
      </c>
      <c r="AC235" s="27"/>
      <c r="AD235" s="31" t="str">
        <f>IF($A235="", "", "HOLIDAY: " &amp; COUNTIF(B240:AF240, "HL"))</f>
        <v>HOLIDAY: 0</v>
      </c>
      <c r="AE235" s="26"/>
      <c r="AF235" s="27"/>
    </row>
    <row r="236">
      <c r="A236" s="48" t="str">
        <f>IF($A235="", "", "DATE")</f>
        <v>DATE</v>
      </c>
      <c r="B236" s="34" t="str">
        <f t="array" ref="B236:AE236">IF($A235="", "", LET( start, DATE(YEAR(TODAY()), MONTH(TODAY()), 1), days, DAY(EOMONTH(start, 0)), MAP(SEQUENCE(1, days, 0), LAMBDA(n, UPPER(TEXT(start + n, "dd (ddd)")))) ))</f>
        <v>01 (TUE)</v>
      </c>
      <c r="C236" s="34" t="s">
        <v>89</v>
      </c>
      <c r="D236" s="34" t="s">
        <v>90</v>
      </c>
      <c r="E236" s="34" t="s">
        <v>91</v>
      </c>
      <c r="F236" s="34" t="s">
        <v>92</v>
      </c>
      <c r="G236" s="34" t="s">
        <v>93</v>
      </c>
      <c r="H236" s="34" t="s">
        <v>94</v>
      </c>
      <c r="I236" s="34" t="s">
        <v>95</v>
      </c>
      <c r="J236" s="34" t="s">
        <v>96</v>
      </c>
      <c r="K236" s="34" t="s">
        <v>97</v>
      </c>
      <c r="L236" s="34" t="s">
        <v>98</v>
      </c>
      <c r="M236" s="34" t="s">
        <v>99</v>
      </c>
      <c r="N236" s="34" t="s">
        <v>100</v>
      </c>
      <c r="O236" s="34" t="s">
        <v>101</v>
      </c>
      <c r="P236" s="34" t="s">
        <v>102</v>
      </c>
      <c r="Q236" s="34" t="s">
        <v>103</v>
      </c>
      <c r="R236" s="34" t="s">
        <v>104</v>
      </c>
      <c r="S236" s="34" t="s">
        <v>105</v>
      </c>
      <c r="T236" s="34" t="s">
        <v>106</v>
      </c>
      <c r="U236" s="34" t="s">
        <v>107</v>
      </c>
      <c r="V236" s="34" t="s">
        <v>108</v>
      </c>
      <c r="W236" s="34" t="s">
        <v>109</v>
      </c>
      <c r="X236" s="34" t="s">
        <v>110</v>
      </c>
      <c r="Y236" s="34" t="s">
        <v>111</v>
      </c>
      <c r="Z236" s="34" t="s">
        <v>112</v>
      </c>
      <c r="AA236" s="34" t="s">
        <v>113</v>
      </c>
      <c r="AB236" s="34" t="s">
        <v>114</v>
      </c>
      <c r="AC236" s="34" t="s">
        <v>115</v>
      </c>
      <c r="AD236" s="34" t="s">
        <v>116</v>
      </c>
      <c r="AE236" s="34" t="s">
        <v>117</v>
      </c>
      <c r="AF236" s="34"/>
    </row>
    <row r="237">
      <c r="A237" s="48" t="str">
        <f>IF($A235="", "", "IN")</f>
        <v>IN</v>
      </c>
      <c r="B237" s="49"/>
      <c r="C237" s="49"/>
      <c r="D237" s="49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</row>
    <row r="238">
      <c r="A238" s="48" t="str">
        <f>IF($A235="", "", "OUT")</f>
        <v>OUT</v>
      </c>
      <c r="B238" s="49"/>
      <c r="C238" s="49"/>
      <c r="D238" s="49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</row>
    <row r="239">
      <c r="A239" s="42" t="str">
        <f>IF($A235="", "", "TOTAL")</f>
        <v>TOTAL</v>
      </c>
      <c r="B239" s="34" t="str">
        <f t="shared" ref="B239:AF239" si="34">IF(AND(B237&lt;&gt;"",B238&lt;&gt;""),TEXT(MOD(B238-B237,1),"hh:mm"),"")</f>
        <v/>
      </c>
      <c r="C239" s="34" t="str">
        <f t="shared" si="34"/>
        <v/>
      </c>
      <c r="D239" s="34" t="str">
        <f t="shared" si="34"/>
        <v/>
      </c>
      <c r="E239" s="34" t="str">
        <f t="shared" si="34"/>
        <v/>
      </c>
      <c r="F239" s="34" t="str">
        <f t="shared" si="34"/>
        <v/>
      </c>
      <c r="G239" s="34" t="str">
        <f t="shared" si="34"/>
        <v/>
      </c>
      <c r="H239" s="34" t="str">
        <f t="shared" si="34"/>
        <v/>
      </c>
      <c r="I239" s="34" t="str">
        <f t="shared" si="34"/>
        <v/>
      </c>
      <c r="J239" s="34" t="str">
        <f t="shared" si="34"/>
        <v/>
      </c>
      <c r="K239" s="34" t="str">
        <f t="shared" si="34"/>
        <v/>
      </c>
      <c r="L239" s="34" t="str">
        <f t="shared" si="34"/>
        <v/>
      </c>
      <c r="M239" s="34" t="str">
        <f t="shared" si="34"/>
        <v/>
      </c>
      <c r="N239" s="34" t="str">
        <f t="shared" si="34"/>
        <v/>
      </c>
      <c r="O239" s="34" t="str">
        <f t="shared" si="34"/>
        <v/>
      </c>
      <c r="P239" s="34" t="str">
        <f t="shared" si="34"/>
        <v/>
      </c>
      <c r="Q239" s="34" t="str">
        <f t="shared" si="34"/>
        <v/>
      </c>
      <c r="R239" s="34" t="str">
        <f t="shared" si="34"/>
        <v/>
      </c>
      <c r="S239" s="34" t="str">
        <f t="shared" si="34"/>
        <v/>
      </c>
      <c r="T239" s="34" t="str">
        <f t="shared" si="34"/>
        <v/>
      </c>
      <c r="U239" s="34" t="str">
        <f t="shared" si="34"/>
        <v/>
      </c>
      <c r="V239" s="34" t="str">
        <f t="shared" si="34"/>
        <v/>
      </c>
      <c r="W239" s="34" t="str">
        <f t="shared" si="34"/>
        <v/>
      </c>
      <c r="X239" s="34" t="str">
        <f t="shared" si="34"/>
        <v/>
      </c>
      <c r="Y239" s="34" t="str">
        <f t="shared" si="34"/>
        <v/>
      </c>
      <c r="Z239" s="34" t="str">
        <f t="shared" si="34"/>
        <v/>
      </c>
      <c r="AA239" s="34" t="str">
        <f t="shared" si="34"/>
        <v/>
      </c>
      <c r="AB239" s="34" t="str">
        <f t="shared" si="34"/>
        <v/>
      </c>
      <c r="AC239" s="34" t="str">
        <f t="shared" si="34"/>
        <v/>
      </c>
      <c r="AD239" s="34" t="str">
        <f t="shared" si="34"/>
        <v/>
      </c>
      <c r="AE239" s="34" t="str">
        <f t="shared" si="34"/>
        <v/>
      </c>
      <c r="AF239" s="34" t="str">
        <f t="shared" si="34"/>
        <v/>
      </c>
    </row>
    <row r="240">
      <c r="A240" s="42" t="str">
        <f>IF($A235="", "", "STATUS")</f>
        <v>STATUS</v>
      </c>
      <c r="B240" s="43" t="str">
        <f>IFERROR(__xludf.DUMMYFUNCTION("IF($A235="""","""",IF(B$5="""","""",LET(logStatus,IFNA(INDEX(DATA_LOG!$E:$E,MATCH(1,(DATA_LOG!$A:$A=$A235)*(TEXT(DATA_LOG!$B:$B,""yyyy-MM-dd"")=TEXT(DATE($P$3,MONTH(1&amp;$N$3),VALUE(LEFT(B$5,2))),""yyyy-MM-dd"")),0)),""""),IF(logStatus&lt;&gt;"""",UPPER(logStatus)"&amp;",IF(B239&lt;&gt;"""",IF(VALUE(B239)&gt;=9/24,""FD"",""HD""),IF(REGEXMATCH(B$5,""SUN""),""WO"",""-""))))))"),"-")</f>
        <v>-</v>
      </c>
      <c r="C240" s="43" t="str">
        <f>IFERROR(__xludf.DUMMYFUNCTION("IF($A235="""","""",IF(C$5="""","""",LET(logStatus,IFNA(INDEX(DATA_LOG!$E:$E,MATCH(1,(DATA_LOG!$A:$A=$A235)*(TEXT(DATA_LOG!$B:$B,""yyyy-MM-dd"")=TEXT(DATE($P$3,MONTH(1&amp;$N$3),VALUE(LEFT(C$5,2))),""yyyy-MM-dd"")),0)),""""),IF(logStatus&lt;&gt;"""",UPPER(logStatus)"&amp;",IF(C239&lt;&gt;"""",IF(VALUE(C239)&gt;=9/24,""FD"",""HD""),IF(REGEXMATCH(C$5,""SUN""),""WO"",""-""))))))"),"-")</f>
        <v>-</v>
      </c>
      <c r="D240" s="43" t="str">
        <f>IFERROR(__xludf.DUMMYFUNCTION("IF($A235="""","""",IF(D$5="""","""",LET(logStatus,IFNA(INDEX(DATA_LOG!$E:$E,MATCH(1,(DATA_LOG!$A:$A=$A235)*(TEXT(DATA_LOG!$B:$B,""yyyy-MM-dd"")=TEXT(DATE($P$3,MONTH(1&amp;$N$3),VALUE(LEFT(D$5,2))),""yyyy-MM-dd"")),0)),""""),IF(logStatus&lt;&gt;"""",UPPER(logStatus)"&amp;",IF(D239&lt;&gt;"""",IF(VALUE(D239)&gt;=9/24,""FD"",""HD""),IF(REGEXMATCH(D$5,""SUN""),""WO"",""-""))))))"),"-")</f>
        <v>-</v>
      </c>
      <c r="E240" s="43" t="str">
        <f>IFERROR(__xludf.DUMMYFUNCTION("IF($A235="""","""",IF(E$5="""","""",LET(logStatus,IFNA(INDEX(DATA_LOG!$E:$E,MATCH(1,(DATA_LOG!$A:$A=$A235)*(TEXT(DATA_LOG!$B:$B,""yyyy-MM-dd"")=TEXT(DATE($P$3,MONTH(1&amp;$N$3),VALUE(LEFT(E$5,2))),""yyyy-MM-dd"")),0)),""""),IF(logStatus&lt;&gt;"""",UPPER(logStatus)"&amp;",IF(E239&lt;&gt;"""",IF(VALUE(E239)&gt;=9/24,""FD"",""HD""),IF(REGEXMATCH(E$5,""SUN""),""WO"",""-""))))))"),"-")</f>
        <v>-</v>
      </c>
      <c r="F240" s="43" t="str">
        <f>IFERROR(__xludf.DUMMYFUNCTION("IF($A235="""","""",IF(F$5="""","""",LET(logStatus,IFNA(INDEX(DATA_LOG!$E:$E,MATCH(1,(DATA_LOG!$A:$A=$A235)*(TEXT(DATA_LOG!$B:$B,""yyyy-MM-dd"")=TEXT(DATE($P$3,MONTH(1&amp;$N$3),VALUE(LEFT(F$5,2))),""yyyy-MM-dd"")),0)),""""),IF(logStatus&lt;&gt;"""",UPPER(logStatus)"&amp;",IF(F239&lt;&gt;"""",IF(VALUE(F239)&gt;=9/24,""FD"",""HD""),IF(REGEXMATCH(F$5,""SUN""),""WO"",""-""))))))"),"-")</f>
        <v>-</v>
      </c>
      <c r="G240" s="43" t="str">
        <f>IFERROR(__xludf.DUMMYFUNCTION("IF($A235="""","""",IF(G$5="""","""",LET(logStatus,IFNA(INDEX(DATA_LOG!$E:$E,MATCH(1,(DATA_LOG!$A:$A=$A235)*(TEXT(DATA_LOG!$B:$B,""yyyy-MM-dd"")=TEXT(DATE($P$3,MONTH(1&amp;$N$3),VALUE(LEFT(G$5,2))),""yyyy-MM-dd"")),0)),""""),IF(logStatus&lt;&gt;"""",UPPER(logStatus)"&amp;",IF(G239&lt;&gt;"""",IF(VALUE(G239)&gt;=9/24,""FD"",""HD""),IF(REGEXMATCH(G$5,""SUN""),""WO"",""-""))))))"),"WO")</f>
        <v>WO</v>
      </c>
      <c r="H240" s="43" t="str">
        <f>IFERROR(__xludf.DUMMYFUNCTION("IF($A235="""","""",IF(H$5="""","""",LET(logStatus,IFNA(INDEX(DATA_LOG!$E:$E,MATCH(1,(DATA_LOG!$A:$A=$A235)*(TEXT(DATA_LOG!$B:$B,""yyyy-MM-dd"")=TEXT(DATE($P$3,MONTH(1&amp;$N$3),VALUE(LEFT(H$5,2))),""yyyy-MM-dd"")),0)),""""),IF(logStatus&lt;&gt;"""",UPPER(logStatus)"&amp;",IF(H239&lt;&gt;"""",IF(VALUE(H239)&gt;=9/24,""FD"",""HD""),IF(REGEXMATCH(H$5,""SUN""),""WO"",""-""))))))"),"-")</f>
        <v>-</v>
      </c>
      <c r="I240" s="43" t="str">
        <f>IFERROR(__xludf.DUMMYFUNCTION("IF($A235="""","""",IF(I$5="""","""",LET(logStatus,IFNA(INDEX(DATA_LOG!$E:$E,MATCH(1,(DATA_LOG!$A:$A=$A235)*(TEXT(DATA_LOG!$B:$B,""yyyy-MM-dd"")=TEXT(DATE($P$3,MONTH(1&amp;$N$3),VALUE(LEFT(I$5,2))),""yyyy-MM-dd"")),0)),""""),IF(logStatus&lt;&gt;"""",UPPER(logStatus)"&amp;",IF(I239&lt;&gt;"""",IF(VALUE(I239)&gt;=9/24,""FD"",""HD""),IF(REGEXMATCH(I$5,""SUN""),""WO"",""-""))))))"),"-")</f>
        <v>-</v>
      </c>
      <c r="J240" s="43" t="str">
        <f>IFERROR(__xludf.DUMMYFUNCTION("IF($A235="""","""",IF(J$5="""","""",LET(logStatus,IFNA(INDEX(DATA_LOG!$E:$E,MATCH(1,(DATA_LOG!$A:$A=$A235)*(TEXT(DATA_LOG!$B:$B,""yyyy-MM-dd"")=TEXT(DATE($P$3,MONTH(1&amp;$N$3),VALUE(LEFT(J$5,2))),""yyyy-MM-dd"")),0)),""""),IF(logStatus&lt;&gt;"""",UPPER(logStatus)"&amp;",IF(J239&lt;&gt;"""",IF(VALUE(J239)&gt;=9/24,""FD"",""HD""),IF(REGEXMATCH(J$5,""SUN""),""WO"",""-""))))))"),"-")</f>
        <v>-</v>
      </c>
      <c r="K240" s="43" t="str">
        <f>IFERROR(__xludf.DUMMYFUNCTION("IF($A235="""","""",IF(K$5="""","""",LET(logStatus,IFNA(INDEX(DATA_LOG!$E:$E,MATCH(1,(DATA_LOG!$A:$A=$A235)*(TEXT(DATA_LOG!$B:$B,""yyyy-MM-dd"")=TEXT(DATE($P$3,MONTH(1&amp;$N$3),VALUE(LEFT(K$5,2))),""yyyy-MM-dd"")),0)),""""),IF(logStatus&lt;&gt;"""",UPPER(logStatus)"&amp;",IF(K239&lt;&gt;"""",IF(VALUE(K239)&gt;=9/24,""FD"",""HD""),IF(REGEXMATCH(K$5,""SUN""),""WO"",""-""))))))"),"-")</f>
        <v>-</v>
      </c>
      <c r="L240" s="43" t="str">
        <f>IFERROR(__xludf.DUMMYFUNCTION("IF($A235="""","""",IF(L$5="""","""",LET(logStatus,IFNA(INDEX(DATA_LOG!$E:$E,MATCH(1,(DATA_LOG!$A:$A=$A235)*(TEXT(DATA_LOG!$B:$B,""yyyy-MM-dd"")=TEXT(DATE($P$3,MONTH(1&amp;$N$3),VALUE(LEFT(L$5,2))),""yyyy-MM-dd"")),0)),""""),IF(logStatus&lt;&gt;"""",UPPER(logStatus)"&amp;",IF(L239&lt;&gt;"""",IF(VALUE(L239)&gt;=9/24,""FD"",""HD""),IF(REGEXMATCH(L$5,""SUN""),""WO"",""-""))))))"),"-")</f>
        <v>-</v>
      </c>
      <c r="M240" s="43" t="str">
        <f>IFERROR(__xludf.DUMMYFUNCTION("IF($A235="""","""",IF(M$5="""","""",LET(logStatus,IFNA(INDEX(DATA_LOG!$E:$E,MATCH(1,(DATA_LOG!$A:$A=$A235)*(TEXT(DATA_LOG!$B:$B,""yyyy-MM-dd"")=TEXT(DATE($P$3,MONTH(1&amp;$N$3),VALUE(LEFT(M$5,2))),""yyyy-MM-dd"")),0)),""""),IF(logStatus&lt;&gt;"""",UPPER(logStatus)"&amp;",IF(M239&lt;&gt;"""",IF(VALUE(M239)&gt;=9/24,""FD"",""HD""),IF(REGEXMATCH(M$5,""SUN""),""WO"",""-""))))))"),"-")</f>
        <v>-</v>
      </c>
      <c r="N240" s="43" t="str">
        <f>IFERROR(__xludf.DUMMYFUNCTION("IF($A235="""","""",IF(N$5="""","""",LET(logStatus,IFNA(INDEX(DATA_LOG!$E:$E,MATCH(1,(DATA_LOG!$A:$A=$A235)*(TEXT(DATA_LOG!$B:$B,""yyyy-MM-dd"")=TEXT(DATE($P$3,MONTH(1&amp;$N$3),VALUE(LEFT(N$5,2))),""yyyy-MM-dd"")),0)),""""),IF(logStatus&lt;&gt;"""",UPPER(logStatus)"&amp;",IF(N239&lt;&gt;"""",IF(VALUE(N239)&gt;=9/24,""FD"",""HD""),IF(REGEXMATCH(N$5,""SUN""),""WO"",""-""))))))"),"WO")</f>
        <v>WO</v>
      </c>
      <c r="O240" s="43" t="str">
        <f>IFERROR(__xludf.DUMMYFUNCTION("IF($A235="""","""",IF(O$5="""","""",LET(logStatus,IFNA(INDEX(DATA_LOG!$E:$E,MATCH(1,(DATA_LOG!$A:$A=$A235)*(TEXT(DATA_LOG!$B:$B,""yyyy-MM-dd"")=TEXT(DATE($P$3,MONTH(1&amp;$N$3),VALUE(LEFT(O$5,2))),""yyyy-MM-dd"")),0)),""""),IF(logStatus&lt;&gt;"""",UPPER(logStatus)"&amp;",IF(O239&lt;&gt;"""",IF(VALUE(O239)&gt;=9/24,""FD"",""HD""),IF(REGEXMATCH(O$5,""SUN""),""WO"",""-""))))))"),"-")</f>
        <v>-</v>
      </c>
      <c r="P240" s="43" t="str">
        <f>IFERROR(__xludf.DUMMYFUNCTION("IF($A235="""","""",IF(P$5="""","""",LET(logStatus,IFNA(INDEX(DATA_LOG!$E:$E,MATCH(1,(DATA_LOG!$A:$A=$A235)*(TEXT(DATA_LOG!$B:$B,""yyyy-MM-dd"")=TEXT(DATE($P$3,MONTH(1&amp;$N$3),VALUE(LEFT(P$5,2))),""yyyy-MM-dd"")),0)),""""),IF(logStatus&lt;&gt;"""",UPPER(logStatus)"&amp;",IF(P239&lt;&gt;"""",IF(VALUE(P239)&gt;=9/24,""FD"",""HD""),IF(REGEXMATCH(P$5,""SUN""),""WO"",""-""))))))"),"-")</f>
        <v>-</v>
      </c>
      <c r="Q240" s="43" t="str">
        <f>IFERROR(__xludf.DUMMYFUNCTION("IF($A235="""","""",IF(Q$5="""","""",LET(logStatus,IFNA(INDEX(DATA_LOG!$E:$E,MATCH(1,(DATA_LOG!$A:$A=$A235)*(TEXT(DATA_LOG!$B:$B,""yyyy-MM-dd"")=TEXT(DATE($P$3,MONTH(1&amp;$N$3),VALUE(LEFT(Q$5,2))),""yyyy-MM-dd"")),0)),""""),IF(logStatus&lt;&gt;"""",UPPER(logStatus)"&amp;",IF(Q239&lt;&gt;"""",IF(VALUE(Q239)&gt;=9/24,""FD"",""HD""),IF(REGEXMATCH(Q$5,""SUN""),""WO"",""-""))))))"),"-")</f>
        <v>-</v>
      </c>
      <c r="R240" s="43" t="str">
        <f>IFERROR(__xludf.DUMMYFUNCTION("IF($A235="""","""",IF(R$5="""","""",LET(logStatus,IFNA(INDEX(DATA_LOG!$E:$E,MATCH(1,(DATA_LOG!$A:$A=$A235)*(TEXT(DATA_LOG!$B:$B,""yyyy-MM-dd"")=TEXT(DATE($P$3,MONTH(1&amp;$N$3),VALUE(LEFT(R$5,2))),""yyyy-MM-dd"")),0)),""""),IF(logStatus&lt;&gt;"""",UPPER(logStatus)"&amp;",IF(R239&lt;&gt;"""",IF(VALUE(R239)&gt;=9/24,""FD"",""HD""),IF(REGEXMATCH(R$5,""SUN""),""WO"",""-""))))))"),"-")</f>
        <v>-</v>
      </c>
      <c r="S240" s="43" t="str">
        <f>IFERROR(__xludf.DUMMYFUNCTION("IF($A235="""","""",IF(S$5="""","""",LET(logStatus,IFNA(INDEX(DATA_LOG!$E:$E,MATCH(1,(DATA_LOG!$A:$A=$A235)*(TEXT(DATA_LOG!$B:$B,""yyyy-MM-dd"")=TEXT(DATE($P$3,MONTH(1&amp;$N$3),VALUE(LEFT(S$5,2))),""yyyy-MM-dd"")),0)),""""),IF(logStatus&lt;&gt;"""",UPPER(logStatus)"&amp;",IF(S239&lt;&gt;"""",IF(VALUE(S239)&gt;=9/24,""FD"",""HD""),IF(REGEXMATCH(S$5,""SUN""),""WO"",""-""))))))"),"-")</f>
        <v>-</v>
      </c>
      <c r="T240" s="43" t="str">
        <f>IFERROR(__xludf.DUMMYFUNCTION("IF($A235="""","""",IF(T$5="""","""",LET(logStatus,IFNA(INDEX(DATA_LOG!$E:$E,MATCH(1,(DATA_LOG!$A:$A=$A235)*(TEXT(DATA_LOG!$B:$B,""yyyy-MM-dd"")=TEXT(DATE($P$3,MONTH(1&amp;$N$3),VALUE(LEFT(T$5,2))),""yyyy-MM-dd"")),0)),""""),IF(logStatus&lt;&gt;"""",UPPER(logStatus)"&amp;",IF(T239&lt;&gt;"""",IF(VALUE(T239)&gt;=9/24,""FD"",""HD""),IF(REGEXMATCH(T$5,""SUN""),""WO"",""-""))))))"),"-")</f>
        <v>-</v>
      </c>
      <c r="U240" s="43" t="str">
        <f>IFERROR(__xludf.DUMMYFUNCTION("IF($A235="""","""",IF(U$5="""","""",LET(logStatus,IFNA(INDEX(DATA_LOG!$E:$E,MATCH(1,(DATA_LOG!$A:$A=$A235)*(TEXT(DATA_LOG!$B:$B,""yyyy-MM-dd"")=TEXT(DATE($P$3,MONTH(1&amp;$N$3),VALUE(LEFT(U$5,2))),""yyyy-MM-dd"")),0)),""""),IF(logStatus&lt;&gt;"""",UPPER(logStatus)"&amp;",IF(U239&lt;&gt;"""",IF(VALUE(U239)&gt;=9/24,""FD"",""HD""),IF(REGEXMATCH(U$5,""SUN""),""WO"",""-""))))))"),"WO")</f>
        <v>WO</v>
      </c>
      <c r="V240" s="43" t="str">
        <f>IFERROR(__xludf.DUMMYFUNCTION("IF($A235="""","""",IF(V$5="""","""",LET(logStatus,IFNA(INDEX(DATA_LOG!$E:$E,MATCH(1,(DATA_LOG!$A:$A=$A235)*(TEXT(DATA_LOG!$B:$B,""yyyy-MM-dd"")=TEXT(DATE($P$3,MONTH(1&amp;$N$3),VALUE(LEFT(V$5,2))),""yyyy-MM-dd"")),0)),""""),IF(logStatus&lt;&gt;"""",UPPER(logStatus)"&amp;",IF(V239&lt;&gt;"""",IF(VALUE(V239)&gt;=9/24,""FD"",""HD""),IF(REGEXMATCH(V$5,""SUN""),""WO"",""-""))))))"),"-")</f>
        <v>-</v>
      </c>
      <c r="W240" s="43" t="str">
        <f>IFERROR(__xludf.DUMMYFUNCTION("IF($A235="""","""",IF(W$5="""","""",LET(logStatus,IFNA(INDEX(DATA_LOG!$E:$E,MATCH(1,(DATA_LOG!$A:$A=$A235)*(TEXT(DATA_LOG!$B:$B,""yyyy-MM-dd"")=TEXT(DATE($P$3,MONTH(1&amp;$N$3),VALUE(LEFT(W$5,2))),""yyyy-MM-dd"")),0)),""""),IF(logStatus&lt;&gt;"""",UPPER(logStatus)"&amp;",IF(W239&lt;&gt;"""",IF(VALUE(W239)&gt;=9/24,""FD"",""HD""),IF(REGEXMATCH(W$5,""SUN""),""WO"",""-""))))))"),"-")</f>
        <v>-</v>
      </c>
      <c r="X240" s="43" t="str">
        <f>IFERROR(__xludf.DUMMYFUNCTION("IF($A235="""","""",IF(X$5="""","""",LET(logStatus,IFNA(INDEX(DATA_LOG!$E:$E,MATCH(1,(DATA_LOG!$A:$A=$A235)*(TEXT(DATA_LOG!$B:$B,""yyyy-MM-dd"")=TEXT(DATE($P$3,MONTH(1&amp;$N$3),VALUE(LEFT(X$5,2))),""yyyy-MM-dd"")),0)),""""),IF(logStatus&lt;&gt;"""",UPPER(logStatus)"&amp;",IF(X239&lt;&gt;"""",IF(VALUE(X239)&gt;=9/24,""FD"",""HD""),IF(REGEXMATCH(X$5,""SUN""),""WO"",""-""))))))"),"-")</f>
        <v>-</v>
      </c>
      <c r="Y240" s="43" t="str">
        <f>IFERROR(__xludf.DUMMYFUNCTION("IF($A235="""","""",IF(Y$5="""","""",LET(logStatus,IFNA(INDEX(DATA_LOG!$E:$E,MATCH(1,(DATA_LOG!$A:$A=$A235)*(TEXT(DATA_LOG!$B:$B,""yyyy-MM-dd"")=TEXT(DATE($P$3,MONTH(1&amp;$N$3),VALUE(LEFT(Y$5,2))),""yyyy-MM-dd"")),0)),""""),IF(logStatus&lt;&gt;"""",UPPER(logStatus)"&amp;",IF(Y239&lt;&gt;"""",IF(VALUE(Y239)&gt;=9/24,""FD"",""HD""),IF(REGEXMATCH(Y$5,""SUN""),""WO"",""-""))))))"),"-")</f>
        <v>-</v>
      </c>
      <c r="Z240" s="43" t="str">
        <f>IFERROR(__xludf.DUMMYFUNCTION("IF($A235="""","""",IF(Z$5="""","""",LET(logStatus,IFNA(INDEX(DATA_LOG!$E:$E,MATCH(1,(DATA_LOG!$A:$A=$A235)*(TEXT(DATA_LOG!$B:$B,""yyyy-MM-dd"")=TEXT(DATE($P$3,MONTH(1&amp;$N$3),VALUE(LEFT(Z$5,2))),""yyyy-MM-dd"")),0)),""""),IF(logStatus&lt;&gt;"""",UPPER(logStatus)"&amp;",IF(Z239&lt;&gt;"""",IF(VALUE(Z239)&gt;=9/24,""FD"",""HD""),IF(REGEXMATCH(Z$5,""SUN""),""WO"",""-""))))))"),"-")</f>
        <v>-</v>
      </c>
      <c r="AA240" s="43" t="str">
        <f>IFERROR(__xludf.DUMMYFUNCTION("IF($A235="""","""",IF(AA$5="""","""",LET(logStatus,IFNA(INDEX(DATA_LOG!$E:$E,MATCH(1,(DATA_LOG!$A:$A=$A235)*(TEXT(DATA_LOG!$B:$B,""yyyy-MM-dd"")=TEXT(DATE($P$3,MONTH(1&amp;$N$3),VALUE(LEFT(AA$5,2))),""yyyy-MM-dd"")),0)),""""),IF(logStatus&lt;&gt;"""",UPPER(logStatu"&amp;"s),IF(AA239&lt;&gt;"""",IF(VALUE(AA239)&gt;=9/24,""FD"",""HD""),IF(REGEXMATCH(AA$5,""SUN""),""WO"",""-""))))))"),"-")</f>
        <v>-</v>
      </c>
      <c r="AB240" s="43" t="str">
        <f>IFERROR(__xludf.DUMMYFUNCTION("IF($A235="""","""",IF(AB$5="""","""",LET(logStatus,IFNA(INDEX(DATA_LOG!$E:$E,MATCH(1,(DATA_LOG!$A:$A=$A235)*(TEXT(DATA_LOG!$B:$B,""yyyy-MM-dd"")=TEXT(DATE($P$3,MONTH(1&amp;$N$3),VALUE(LEFT(AB$5,2))),""yyyy-MM-dd"")),0)),""""),IF(logStatus&lt;&gt;"""",UPPER(logStatu"&amp;"s),IF(AB239&lt;&gt;"""",IF(VALUE(AB239)&gt;=9/24,""FD"",""HD""),IF(REGEXMATCH(AB$5,""SUN""),""WO"",""-""))))))"),"WO")</f>
        <v>WO</v>
      </c>
      <c r="AC240" s="43" t="str">
        <f>IFERROR(__xludf.DUMMYFUNCTION("IF($A235="""","""",IF(AC$5="""","""",LET(logStatus,IFNA(INDEX(DATA_LOG!$E:$E,MATCH(1,(DATA_LOG!$A:$A=$A235)*(TEXT(DATA_LOG!$B:$B,""yyyy-MM-dd"")=TEXT(DATE($P$3,MONTH(1&amp;$N$3),VALUE(LEFT(AC$5,2))),""yyyy-MM-dd"")),0)),""""),IF(logStatus&lt;&gt;"""",UPPER(logStatu"&amp;"s),IF(AC239&lt;&gt;"""",IF(VALUE(AC239)&gt;=9/24,""FD"",""HD""),IF(REGEXMATCH(AC$5,""SUN""),""WO"",""-""))))))"),"-")</f>
        <v>-</v>
      </c>
      <c r="AD240" s="43" t="str">
        <f>IFERROR(__xludf.DUMMYFUNCTION("IF($A235="""","""",IF(AD$5="""","""",LET(logStatus,IFNA(INDEX(DATA_LOG!$E:$E,MATCH(1,(DATA_LOG!$A:$A=$A235)*(TEXT(DATA_LOG!$B:$B,""yyyy-MM-dd"")=TEXT(DATE($P$3,MONTH(1&amp;$N$3),VALUE(LEFT(AD$5,2))),""yyyy-MM-dd"")),0)),""""),IF(logStatus&lt;&gt;"""",UPPER(logStatu"&amp;"s),IF(AD239&lt;&gt;"""",IF(VALUE(AD239)&gt;=9/24,""FD"",""HD""),IF(REGEXMATCH(AD$5,""SUN""),""WO"",""-""))))))"),"-")</f>
        <v>-</v>
      </c>
      <c r="AE240" s="43" t="str">
        <f>IFERROR(__xludf.DUMMYFUNCTION("IF($A235="""","""",IF(AE$5="""","""",LET(logStatus,IFNA(INDEX(DATA_LOG!$E:$E,MATCH(1,(DATA_LOG!$A:$A=$A235)*(TEXT(DATA_LOG!$B:$B,""yyyy-MM-dd"")=TEXT(DATE($P$3,MONTH(1&amp;$N$3),VALUE(LEFT(AE$5,2))),""yyyy-MM-dd"")),0)),""""),IF(logStatus&lt;&gt;"""",UPPER(logStatu"&amp;"s),IF(AE239&lt;&gt;"""",IF(VALUE(AE239)&gt;=9/24,""FD"",""HD""),IF(REGEXMATCH(AE$5,""SUN""),""WO"",""-""))))))"),"-")</f>
        <v>-</v>
      </c>
      <c r="AF240" s="43" t="str">
        <f>IFERROR(__xludf.DUMMYFUNCTION("IF($A235="""","""",IF(AF$5="""","""",LET(logStatus,IFNA(INDEX(DATA_LOG!$E:$E,MATCH(1,(DATA_LOG!$A:$A=$A235)*(TEXT(DATA_LOG!$B:$B,""yyyy-MM-dd"")=TEXT(DATE($P$3,MONTH(1&amp;$N$3),VALUE(LEFT(AF$5,2))),""yyyy-MM-dd"")),0)),""""),IF(logStatus&lt;&gt;"""",UPPER(logStatu"&amp;"s),IF(AF239&lt;&gt;"""",IF(VALUE(AF239)&gt;=9/24,""FD"",""HD""),IF(REGEXMATCH(AF$5,""SUN""),""WO"",""-""))))))"),"")</f>
        <v/>
      </c>
    </row>
    <row r="241">
      <c r="A241" s="44"/>
    </row>
    <row r="242">
      <c r="A242" s="25" t="str">
        <f>EMPLOYEE_LIST!A14</f>
        <v>SUBHAM KUMAR</v>
      </c>
      <c r="B242" s="26"/>
      <c r="C242" s="27"/>
      <c r="D242" s="28" t="str">
        <f>IF(A242="", "", IFERROR(VLOOKUP(A242, EMPLOYEE_LIST!$A:$H, 2, FALSE), ""))</f>
        <v>AYV-79</v>
      </c>
      <c r="E242" s="26"/>
      <c r="F242" s="26"/>
      <c r="G242" s="27"/>
      <c r="H242" s="29" t="str">
        <f>IF(A242="", "", IFERROR(VLOOKUP(A242, EMPLOYEE_LIST!$A:$H, 3, FALSE), ""))</f>
        <v>CIVIL</v>
      </c>
      <c r="I242" s="26"/>
      <c r="J242" s="26"/>
      <c r="K242" s="27"/>
      <c r="L242" s="29" t="str">
        <f>IF(A242="", "", IFERROR(VLOOKUP(A242, EMPLOYEE_LIST!$A:$H, 4, FALSE), ""))</f>
        <v>STRUCTURE ENGINEER</v>
      </c>
      <c r="M242" s="26"/>
      <c r="N242" s="26"/>
      <c r="O242" s="27"/>
      <c r="P242" s="30" t="str">
        <f>IF($A242="", "", "Full Day: " &amp; COUNTIF(B247:AF247, "FD"))</f>
        <v>Full Day: 0</v>
      </c>
      <c r="Q242" s="26"/>
      <c r="R242" s="27"/>
      <c r="S242" s="31" t="str">
        <f>IF($A242="", "", "HALF Day: " &amp; COUNTIF(B247:AF247, "HD"))</f>
        <v>HALF Day: 0</v>
      </c>
      <c r="T242" s="26"/>
      <c r="U242" s="27"/>
      <c r="V242" s="31" t="str">
        <f>IF($A242="", "", "ABSENT: " &amp; COUNTIF(B247:AF247, "A"))</f>
        <v>ABSENT: 0</v>
      </c>
      <c r="W242" s="26"/>
      <c r="X242" s="27"/>
      <c r="Y242" s="31" t="str">
        <f>IF($A242="", "", "WEEK OFF: " &amp; COUNTIF(B247:AF247, "WO"))</f>
        <v>WEEK OFF: 4</v>
      </c>
      <c r="Z242" s="26"/>
      <c r="AA242" s="27"/>
      <c r="AB242" s="31" t="str">
        <f>IF($A242="", "", "LEAVE: " &amp; COUNTIF(B247:AF247, "L"))</f>
        <v>LEAVE: 0</v>
      </c>
      <c r="AC242" s="27"/>
      <c r="AD242" s="31" t="str">
        <f>IF($A242="", "", "HOLIDAY: " &amp; COUNTIF(B247:AF247, "HL"))</f>
        <v>HOLIDAY: 0</v>
      </c>
      <c r="AE242" s="26"/>
      <c r="AF242" s="27"/>
    </row>
    <row r="243">
      <c r="A243" s="48" t="str">
        <f>IF($A242="", "", "DATE")</f>
        <v>DATE</v>
      </c>
      <c r="B243" s="34" t="str">
        <f t="array" ref="B243:AE243">IF($A242="", "", LET( start, DATE(YEAR(TODAY()), MONTH(TODAY()), 1), days, DAY(EOMONTH(start, 0)), MAP(SEQUENCE(1, days, 0), LAMBDA(n, UPPER(TEXT(start + n, "dd (ddd)")))) ))</f>
        <v>01 (TUE)</v>
      </c>
      <c r="C243" s="34" t="s">
        <v>89</v>
      </c>
      <c r="D243" s="34" t="s">
        <v>90</v>
      </c>
      <c r="E243" s="34" t="s">
        <v>91</v>
      </c>
      <c r="F243" s="34" t="s">
        <v>92</v>
      </c>
      <c r="G243" s="34" t="s">
        <v>93</v>
      </c>
      <c r="H243" s="34" t="s">
        <v>94</v>
      </c>
      <c r="I243" s="34" t="s">
        <v>95</v>
      </c>
      <c r="J243" s="34" t="s">
        <v>96</v>
      </c>
      <c r="K243" s="34" t="s">
        <v>97</v>
      </c>
      <c r="L243" s="34" t="s">
        <v>98</v>
      </c>
      <c r="M243" s="34" t="s">
        <v>99</v>
      </c>
      <c r="N243" s="34" t="s">
        <v>100</v>
      </c>
      <c r="O243" s="34" t="s">
        <v>101</v>
      </c>
      <c r="P243" s="34" t="s">
        <v>102</v>
      </c>
      <c r="Q243" s="34" t="s">
        <v>103</v>
      </c>
      <c r="R243" s="34" t="s">
        <v>104</v>
      </c>
      <c r="S243" s="34" t="s">
        <v>105</v>
      </c>
      <c r="T243" s="34" t="s">
        <v>106</v>
      </c>
      <c r="U243" s="34" t="s">
        <v>107</v>
      </c>
      <c r="V243" s="34" t="s">
        <v>108</v>
      </c>
      <c r="W243" s="34" t="s">
        <v>109</v>
      </c>
      <c r="X243" s="34" t="s">
        <v>110</v>
      </c>
      <c r="Y243" s="34" t="s">
        <v>111</v>
      </c>
      <c r="Z243" s="34" t="s">
        <v>112</v>
      </c>
      <c r="AA243" s="34" t="s">
        <v>113</v>
      </c>
      <c r="AB243" s="34" t="s">
        <v>114</v>
      </c>
      <c r="AC243" s="34" t="s">
        <v>115</v>
      </c>
      <c r="AD243" s="34" t="s">
        <v>116</v>
      </c>
      <c r="AE243" s="34" t="s">
        <v>117</v>
      </c>
      <c r="AF243" s="34"/>
    </row>
    <row r="244">
      <c r="A244" s="48" t="str">
        <f>IF($A242="", "", "IN")</f>
        <v>IN</v>
      </c>
      <c r="B244" s="49"/>
      <c r="C244" s="49"/>
      <c r="D244" s="49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</row>
    <row r="245">
      <c r="A245" s="48" t="str">
        <f>IF($A242="", "", "OUT")</f>
        <v>OUT</v>
      </c>
      <c r="B245" s="49"/>
      <c r="C245" s="49"/>
      <c r="D245" s="49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</row>
    <row r="246">
      <c r="A246" s="42" t="str">
        <f>IF($A242="", "", "TOTAL")</f>
        <v>TOTAL</v>
      </c>
      <c r="B246" s="34" t="str">
        <f t="shared" ref="B246:AF246" si="35">IF(AND(B244&lt;&gt;"",B245&lt;&gt;""),TEXT(MOD(B245-B244,1),"hh:mm"),"")</f>
        <v/>
      </c>
      <c r="C246" s="34" t="str">
        <f t="shared" si="35"/>
        <v/>
      </c>
      <c r="D246" s="34" t="str">
        <f t="shared" si="35"/>
        <v/>
      </c>
      <c r="E246" s="34" t="str">
        <f t="shared" si="35"/>
        <v/>
      </c>
      <c r="F246" s="34" t="str">
        <f t="shared" si="35"/>
        <v/>
      </c>
      <c r="G246" s="34" t="str">
        <f t="shared" si="35"/>
        <v/>
      </c>
      <c r="H246" s="34" t="str">
        <f t="shared" si="35"/>
        <v/>
      </c>
      <c r="I246" s="34" t="str">
        <f t="shared" si="35"/>
        <v/>
      </c>
      <c r="J246" s="34" t="str">
        <f t="shared" si="35"/>
        <v/>
      </c>
      <c r="K246" s="34" t="str">
        <f t="shared" si="35"/>
        <v/>
      </c>
      <c r="L246" s="34" t="str">
        <f t="shared" si="35"/>
        <v/>
      </c>
      <c r="M246" s="34" t="str">
        <f t="shared" si="35"/>
        <v/>
      </c>
      <c r="N246" s="34" t="str">
        <f t="shared" si="35"/>
        <v/>
      </c>
      <c r="O246" s="34" t="str">
        <f t="shared" si="35"/>
        <v/>
      </c>
      <c r="P246" s="34" t="str">
        <f t="shared" si="35"/>
        <v/>
      </c>
      <c r="Q246" s="34" t="str">
        <f t="shared" si="35"/>
        <v/>
      </c>
      <c r="R246" s="34" t="str">
        <f t="shared" si="35"/>
        <v/>
      </c>
      <c r="S246" s="34" t="str">
        <f t="shared" si="35"/>
        <v/>
      </c>
      <c r="T246" s="34" t="str">
        <f t="shared" si="35"/>
        <v/>
      </c>
      <c r="U246" s="34" t="str">
        <f t="shared" si="35"/>
        <v/>
      </c>
      <c r="V246" s="34" t="str">
        <f t="shared" si="35"/>
        <v/>
      </c>
      <c r="W246" s="34" t="str">
        <f t="shared" si="35"/>
        <v/>
      </c>
      <c r="X246" s="34" t="str">
        <f t="shared" si="35"/>
        <v/>
      </c>
      <c r="Y246" s="34" t="str">
        <f t="shared" si="35"/>
        <v/>
      </c>
      <c r="Z246" s="34" t="str">
        <f t="shared" si="35"/>
        <v/>
      </c>
      <c r="AA246" s="34" t="str">
        <f t="shared" si="35"/>
        <v/>
      </c>
      <c r="AB246" s="34" t="str">
        <f t="shared" si="35"/>
        <v/>
      </c>
      <c r="AC246" s="34" t="str">
        <f t="shared" si="35"/>
        <v/>
      </c>
      <c r="AD246" s="34" t="str">
        <f t="shared" si="35"/>
        <v/>
      </c>
      <c r="AE246" s="34" t="str">
        <f t="shared" si="35"/>
        <v/>
      </c>
      <c r="AF246" s="34" t="str">
        <f t="shared" si="35"/>
        <v/>
      </c>
    </row>
    <row r="247">
      <c r="A247" s="42" t="str">
        <f>IF($A242="", "", "STATUS")</f>
        <v>STATUS</v>
      </c>
      <c r="B247" s="43" t="str">
        <f>IFERROR(__xludf.DUMMYFUNCTION("IF($A242="""","""",IF(B$5="""","""",LET(logStatus,IFNA(INDEX(DATA_LOG!$E:$E,MATCH(1,(DATA_LOG!$A:$A=$A242)*(TEXT(DATA_LOG!$B:$B,""yyyy-MM-dd"")=TEXT(DATE($P$3,MONTH(1&amp;$N$3),VALUE(LEFT(B$5,2))),""yyyy-MM-dd"")),0)),""""),IF(logStatus&lt;&gt;"""",UPPER(logStatus)"&amp;",IF(B246&lt;&gt;"""",IF(VALUE(B246)&gt;=9/24,""FD"",""HD""),IF(REGEXMATCH(B$5,""SUN""),""WO"",""-""))))))"),"-")</f>
        <v>-</v>
      </c>
      <c r="C247" s="43" t="str">
        <f>IFERROR(__xludf.DUMMYFUNCTION("IF($A242="""","""",IF(C$5="""","""",LET(logStatus,IFNA(INDEX(DATA_LOG!$E:$E,MATCH(1,(DATA_LOG!$A:$A=$A242)*(TEXT(DATA_LOG!$B:$B,""yyyy-MM-dd"")=TEXT(DATE($P$3,MONTH(1&amp;$N$3),VALUE(LEFT(C$5,2))),""yyyy-MM-dd"")),0)),""""),IF(logStatus&lt;&gt;"""",UPPER(logStatus)"&amp;",IF(C246&lt;&gt;"""",IF(VALUE(C246)&gt;=9/24,""FD"",""HD""),IF(REGEXMATCH(C$5,""SUN""),""WO"",""-""))))))"),"-")</f>
        <v>-</v>
      </c>
      <c r="D247" s="43" t="str">
        <f>IFERROR(__xludf.DUMMYFUNCTION("IF($A242="""","""",IF(D$5="""","""",LET(logStatus,IFNA(INDEX(DATA_LOG!$E:$E,MATCH(1,(DATA_LOG!$A:$A=$A242)*(TEXT(DATA_LOG!$B:$B,""yyyy-MM-dd"")=TEXT(DATE($P$3,MONTH(1&amp;$N$3),VALUE(LEFT(D$5,2))),""yyyy-MM-dd"")),0)),""""),IF(logStatus&lt;&gt;"""",UPPER(logStatus)"&amp;",IF(D246&lt;&gt;"""",IF(VALUE(D246)&gt;=9/24,""FD"",""HD""),IF(REGEXMATCH(D$5,""SUN""),""WO"",""-""))))))"),"-")</f>
        <v>-</v>
      </c>
      <c r="E247" s="43" t="str">
        <f>IFERROR(__xludf.DUMMYFUNCTION("IF($A242="""","""",IF(E$5="""","""",LET(logStatus,IFNA(INDEX(DATA_LOG!$E:$E,MATCH(1,(DATA_LOG!$A:$A=$A242)*(TEXT(DATA_LOG!$B:$B,""yyyy-MM-dd"")=TEXT(DATE($P$3,MONTH(1&amp;$N$3),VALUE(LEFT(E$5,2))),""yyyy-MM-dd"")),0)),""""),IF(logStatus&lt;&gt;"""",UPPER(logStatus)"&amp;",IF(E246&lt;&gt;"""",IF(VALUE(E246)&gt;=9/24,""FD"",""HD""),IF(REGEXMATCH(E$5,""SUN""),""WO"",""-""))))))"),"-")</f>
        <v>-</v>
      </c>
      <c r="F247" s="43" t="str">
        <f>IFERROR(__xludf.DUMMYFUNCTION("IF($A242="""","""",IF(F$5="""","""",LET(logStatus,IFNA(INDEX(DATA_LOG!$E:$E,MATCH(1,(DATA_LOG!$A:$A=$A242)*(TEXT(DATA_LOG!$B:$B,""yyyy-MM-dd"")=TEXT(DATE($P$3,MONTH(1&amp;$N$3),VALUE(LEFT(F$5,2))),""yyyy-MM-dd"")),0)),""""),IF(logStatus&lt;&gt;"""",UPPER(logStatus)"&amp;",IF(F246&lt;&gt;"""",IF(VALUE(F246)&gt;=9/24,""FD"",""HD""),IF(REGEXMATCH(F$5,""SUN""),""WO"",""-""))))))"),"-")</f>
        <v>-</v>
      </c>
      <c r="G247" s="43" t="str">
        <f>IFERROR(__xludf.DUMMYFUNCTION("IF($A242="""","""",IF(G$5="""","""",LET(logStatus,IFNA(INDEX(DATA_LOG!$E:$E,MATCH(1,(DATA_LOG!$A:$A=$A242)*(TEXT(DATA_LOG!$B:$B,""yyyy-MM-dd"")=TEXT(DATE($P$3,MONTH(1&amp;$N$3),VALUE(LEFT(G$5,2))),""yyyy-MM-dd"")),0)),""""),IF(logStatus&lt;&gt;"""",UPPER(logStatus)"&amp;",IF(G246&lt;&gt;"""",IF(VALUE(G246)&gt;=9/24,""FD"",""HD""),IF(REGEXMATCH(G$5,""SUN""),""WO"",""-""))))))"),"WO")</f>
        <v>WO</v>
      </c>
      <c r="H247" s="43" t="str">
        <f>IFERROR(__xludf.DUMMYFUNCTION("IF($A242="""","""",IF(H$5="""","""",LET(logStatus,IFNA(INDEX(DATA_LOG!$E:$E,MATCH(1,(DATA_LOG!$A:$A=$A242)*(TEXT(DATA_LOG!$B:$B,""yyyy-MM-dd"")=TEXT(DATE($P$3,MONTH(1&amp;$N$3),VALUE(LEFT(H$5,2))),""yyyy-MM-dd"")),0)),""""),IF(logStatus&lt;&gt;"""",UPPER(logStatus)"&amp;",IF(H246&lt;&gt;"""",IF(VALUE(H246)&gt;=9/24,""FD"",""HD""),IF(REGEXMATCH(H$5,""SUN""),""WO"",""-""))))))"),"-")</f>
        <v>-</v>
      </c>
      <c r="I247" s="43" t="str">
        <f>IFERROR(__xludf.DUMMYFUNCTION("IF($A242="""","""",IF(I$5="""","""",LET(logStatus,IFNA(INDEX(DATA_LOG!$E:$E,MATCH(1,(DATA_LOG!$A:$A=$A242)*(TEXT(DATA_LOG!$B:$B,""yyyy-MM-dd"")=TEXT(DATE($P$3,MONTH(1&amp;$N$3),VALUE(LEFT(I$5,2))),""yyyy-MM-dd"")),0)),""""),IF(logStatus&lt;&gt;"""",UPPER(logStatus)"&amp;",IF(I246&lt;&gt;"""",IF(VALUE(I246)&gt;=9/24,""FD"",""HD""),IF(REGEXMATCH(I$5,""SUN""),""WO"",""-""))))))"),"-")</f>
        <v>-</v>
      </c>
      <c r="J247" s="43" t="str">
        <f>IFERROR(__xludf.DUMMYFUNCTION("IF($A242="""","""",IF(J$5="""","""",LET(logStatus,IFNA(INDEX(DATA_LOG!$E:$E,MATCH(1,(DATA_LOG!$A:$A=$A242)*(TEXT(DATA_LOG!$B:$B,""yyyy-MM-dd"")=TEXT(DATE($P$3,MONTH(1&amp;$N$3),VALUE(LEFT(J$5,2))),""yyyy-MM-dd"")),0)),""""),IF(logStatus&lt;&gt;"""",UPPER(logStatus)"&amp;",IF(J246&lt;&gt;"""",IF(VALUE(J246)&gt;=9/24,""FD"",""HD""),IF(REGEXMATCH(J$5,""SUN""),""WO"",""-""))))))"),"-")</f>
        <v>-</v>
      </c>
      <c r="K247" s="43" t="str">
        <f>IFERROR(__xludf.DUMMYFUNCTION("IF($A242="""","""",IF(K$5="""","""",LET(logStatus,IFNA(INDEX(DATA_LOG!$E:$E,MATCH(1,(DATA_LOG!$A:$A=$A242)*(TEXT(DATA_LOG!$B:$B,""yyyy-MM-dd"")=TEXT(DATE($P$3,MONTH(1&amp;$N$3),VALUE(LEFT(K$5,2))),""yyyy-MM-dd"")),0)),""""),IF(logStatus&lt;&gt;"""",UPPER(logStatus)"&amp;",IF(K246&lt;&gt;"""",IF(VALUE(K246)&gt;=9/24,""FD"",""HD""),IF(REGEXMATCH(K$5,""SUN""),""WO"",""-""))))))"),"-")</f>
        <v>-</v>
      </c>
      <c r="L247" s="43" t="str">
        <f>IFERROR(__xludf.DUMMYFUNCTION("IF($A242="""","""",IF(L$5="""","""",LET(logStatus,IFNA(INDEX(DATA_LOG!$E:$E,MATCH(1,(DATA_LOG!$A:$A=$A242)*(TEXT(DATA_LOG!$B:$B,""yyyy-MM-dd"")=TEXT(DATE($P$3,MONTH(1&amp;$N$3),VALUE(LEFT(L$5,2))),""yyyy-MM-dd"")),0)),""""),IF(logStatus&lt;&gt;"""",UPPER(logStatus)"&amp;",IF(L246&lt;&gt;"""",IF(VALUE(L246)&gt;=9/24,""FD"",""HD""),IF(REGEXMATCH(L$5,""SUN""),""WO"",""-""))))))"),"-")</f>
        <v>-</v>
      </c>
      <c r="M247" s="43" t="str">
        <f>IFERROR(__xludf.DUMMYFUNCTION("IF($A242="""","""",IF(M$5="""","""",LET(logStatus,IFNA(INDEX(DATA_LOG!$E:$E,MATCH(1,(DATA_LOG!$A:$A=$A242)*(TEXT(DATA_LOG!$B:$B,""yyyy-MM-dd"")=TEXT(DATE($P$3,MONTH(1&amp;$N$3),VALUE(LEFT(M$5,2))),""yyyy-MM-dd"")),0)),""""),IF(logStatus&lt;&gt;"""",UPPER(logStatus)"&amp;",IF(M246&lt;&gt;"""",IF(VALUE(M246)&gt;=9/24,""FD"",""HD""),IF(REGEXMATCH(M$5,""SUN""),""WO"",""-""))))))"),"-")</f>
        <v>-</v>
      </c>
      <c r="N247" s="43" t="str">
        <f>IFERROR(__xludf.DUMMYFUNCTION("IF($A242="""","""",IF(N$5="""","""",LET(logStatus,IFNA(INDEX(DATA_LOG!$E:$E,MATCH(1,(DATA_LOG!$A:$A=$A242)*(TEXT(DATA_LOG!$B:$B,""yyyy-MM-dd"")=TEXT(DATE($P$3,MONTH(1&amp;$N$3),VALUE(LEFT(N$5,2))),""yyyy-MM-dd"")),0)),""""),IF(logStatus&lt;&gt;"""",UPPER(logStatus)"&amp;",IF(N246&lt;&gt;"""",IF(VALUE(N246)&gt;=9/24,""FD"",""HD""),IF(REGEXMATCH(N$5,""SUN""),""WO"",""-""))))))"),"WO")</f>
        <v>WO</v>
      </c>
      <c r="O247" s="43" t="str">
        <f>IFERROR(__xludf.DUMMYFUNCTION("IF($A242="""","""",IF(O$5="""","""",LET(logStatus,IFNA(INDEX(DATA_LOG!$E:$E,MATCH(1,(DATA_LOG!$A:$A=$A242)*(TEXT(DATA_LOG!$B:$B,""yyyy-MM-dd"")=TEXT(DATE($P$3,MONTH(1&amp;$N$3),VALUE(LEFT(O$5,2))),""yyyy-MM-dd"")),0)),""""),IF(logStatus&lt;&gt;"""",UPPER(logStatus)"&amp;",IF(O246&lt;&gt;"""",IF(VALUE(O246)&gt;=9/24,""FD"",""HD""),IF(REGEXMATCH(O$5,""SUN""),""WO"",""-""))))))"),"-")</f>
        <v>-</v>
      </c>
      <c r="P247" s="43" t="str">
        <f>IFERROR(__xludf.DUMMYFUNCTION("IF($A242="""","""",IF(P$5="""","""",LET(logStatus,IFNA(INDEX(DATA_LOG!$E:$E,MATCH(1,(DATA_LOG!$A:$A=$A242)*(TEXT(DATA_LOG!$B:$B,""yyyy-MM-dd"")=TEXT(DATE($P$3,MONTH(1&amp;$N$3),VALUE(LEFT(P$5,2))),""yyyy-MM-dd"")),0)),""""),IF(logStatus&lt;&gt;"""",UPPER(logStatus)"&amp;",IF(P246&lt;&gt;"""",IF(VALUE(P246)&gt;=9/24,""FD"",""HD""),IF(REGEXMATCH(P$5,""SUN""),""WO"",""-""))))))"),"-")</f>
        <v>-</v>
      </c>
      <c r="Q247" s="43" t="str">
        <f>IFERROR(__xludf.DUMMYFUNCTION("IF($A242="""","""",IF(Q$5="""","""",LET(logStatus,IFNA(INDEX(DATA_LOG!$E:$E,MATCH(1,(DATA_LOG!$A:$A=$A242)*(TEXT(DATA_LOG!$B:$B,""yyyy-MM-dd"")=TEXT(DATE($P$3,MONTH(1&amp;$N$3),VALUE(LEFT(Q$5,2))),""yyyy-MM-dd"")),0)),""""),IF(logStatus&lt;&gt;"""",UPPER(logStatus)"&amp;",IF(Q246&lt;&gt;"""",IF(VALUE(Q246)&gt;=9/24,""FD"",""HD""),IF(REGEXMATCH(Q$5,""SUN""),""WO"",""-""))))))"),"-")</f>
        <v>-</v>
      </c>
      <c r="R247" s="43" t="str">
        <f>IFERROR(__xludf.DUMMYFUNCTION("IF($A242="""","""",IF(R$5="""","""",LET(logStatus,IFNA(INDEX(DATA_LOG!$E:$E,MATCH(1,(DATA_LOG!$A:$A=$A242)*(TEXT(DATA_LOG!$B:$B,""yyyy-MM-dd"")=TEXT(DATE($P$3,MONTH(1&amp;$N$3),VALUE(LEFT(R$5,2))),""yyyy-MM-dd"")),0)),""""),IF(logStatus&lt;&gt;"""",UPPER(logStatus)"&amp;",IF(R246&lt;&gt;"""",IF(VALUE(R246)&gt;=9/24,""FD"",""HD""),IF(REGEXMATCH(R$5,""SUN""),""WO"",""-""))))))"),"-")</f>
        <v>-</v>
      </c>
      <c r="S247" s="43" t="str">
        <f>IFERROR(__xludf.DUMMYFUNCTION("IF($A242="""","""",IF(S$5="""","""",LET(logStatus,IFNA(INDEX(DATA_LOG!$E:$E,MATCH(1,(DATA_LOG!$A:$A=$A242)*(TEXT(DATA_LOG!$B:$B,""yyyy-MM-dd"")=TEXT(DATE($P$3,MONTH(1&amp;$N$3),VALUE(LEFT(S$5,2))),""yyyy-MM-dd"")),0)),""""),IF(logStatus&lt;&gt;"""",UPPER(logStatus)"&amp;",IF(S246&lt;&gt;"""",IF(VALUE(S246)&gt;=9/24,""FD"",""HD""),IF(REGEXMATCH(S$5,""SUN""),""WO"",""-""))))))"),"-")</f>
        <v>-</v>
      </c>
      <c r="T247" s="43" t="str">
        <f>IFERROR(__xludf.DUMMYFUNCTION("IF($A242="""","""",IF(T$5="""","""",LET(logStatus,IFNA(INDEX(DATA_LOG!$E:$E,MATCH(1,(DATA_LOG!$A:$A=$A242)*(TEXT(DATA_LOG!$B:$B,""yyyy-MM-dd"")=TEXT(DATE($P$3,MONTH(1&amp;$N$3),VALUE(LEFT(T$5,2))),""yyyy-MM-dd"")),0)),""""),IF(logStatus&lt;&gt;"""",UPPER(logStatus)"&amp;",IF(T246&lt;&gt;"""",IF(VALUE(T246)&gt;=9/24,""FD"",""HD""),IF(REGEXMATCH(T$5,""SUN""),""WO"",""-""))))))"),"-")</f>
        <v>-</v>
      </c>
      <c r="U247" s="43" t="str">
        <f>IFERROR(__xludf.DUMMYFUNCTION("IF($A242="""","""",IF(U$5="""","""",LET(logStatus,IFNA(INDEX(DATA_LOG!$E:$E,MATCH(1,(DATA_LOG!$A:$A=$A242)*(TEXT(DATA_LOG!$B:$B,""yyyy-MM-dd"")=TEXT(DATE($P$3,MONTH(1&amp;$N$3),VALUE(LEFT(U$5,2))),""yyyy-MM-dd"")),0)),""""),IF(logStatus&lt;&gt;"""",UPPER(logStatus)"&amp;",IF(U246&lt;&gt;"""",IF(VALUE(U246)&gt;=9/24,""FD"",""HD""),IF(REGEXMATCH(U$5,""SUN""),""WO"",""-""))))))"),"WO")</f>
        <v>WO</v>
      </c>
      <c r="V247" s="43" t="str">
        <f>IFERROR(__xludf.DUMMYFUNCTION("IF($A242="""","""",IF(V$5="""","""",LET(logStatus,IFNA(INDEX(DATA_LOG!$E:$E,MATCH(1,(DATA_LOG!$A:$A=$A242)*(TEXT(DATA_LOG!$B:$B,""yyyy-MM-dd"")=TEXT(DATE($P$3,MONTH(1&amp;$N$3),VALUE(LEFT(V$5,2))),""yyyy-MM-dd"")),0)),""""),IF(logStatus&lt;&gt;"""",UPPER(logStatus)"&amp;",IF(V246&lt;&gt;"""",IF(VALUE(V246)&gt;=9/24,""FD"",""HD""),IF(REGEXMATCH(V$5,""SUN""),""WO"",""-""))))))"),"-")</f>
        <v>-</v>
      </c>
      <c r="W247" s="43" t="str">
        <f>IFERROR(__xludf.DUMMYFUNCTION("IF($A242="""","""",IF(W$5="""","""",LET(logStatus,IFNA(INDEX(DATA_LOG!$E:$E,MATCH(1,(DATA_LOG!$A:$A=$A242)*(TEXT(DATA_LOG!$B:$B,""yyyy-MM-dd"")=TEXT(DATE($P$3,MONTH(1&amp;$N$3),VALUE(LEFT(W$5,2))),""yyyy-MM-dd"")),0)),""""),IF(logStatus&lt;&gt;"""",UPPER(logStatus)"&amp;",IF(W246&lt;&gt;"""",IF(VALUE(W246)&gt;=9/24,""FD"",""HD""),IF(REGEXMATCH(W$5,""SUN""),""WO"",""-""))))))"),"-")</f>
        <v>-</v>
      </c>
      <c r="X247" s="43" t="str">
        <f>IFERROR(__xludf.DUMMYFUNCTION("IF($A242="""","""",IF(X$5="""","""",LET(logStatus,IFNA(INDEX(DATA_LOG!$E:$E,MATCH(1,(DATA_LOG!$A:$A=$A242)*(TEXT(DATA_LOG!$B:$B,""yyyy-MM-dd"")=TEXT(DATE($P$3,MONTH(1&amp;$N$3),VALUE(LEFT(X$5,2))),""yyyy-MM-dd"")),0)),""""),IF(logStatus&lt;&gt;"""",UPPER(logStatus)"&amp;",IF(X246&lt;&gt;"""",IF(VALUE(X246)&gt;=9/24,""FD"",""HD""),IF(REGEXMATCH(X$5,""SUN""),""WO"",""-""))))))"),"-")</f>
        <v>-</v>
      </c>
      <c r="Y247" s="43" t="str">
        <f>IFERROR(__xludf.DUMMYFUNCTION("IF($A242="""","""",IF(Y$5="""","""",LET(logStatus,IFNA(INDEX(DATA_LOG!$E:$E,MATCH(1,(DATA_LOG!$A:$A=$A242)*(TEXT(DATA_LOG!$B:$B,""yyyy-MM-dd"")=TEXT(DATE($P$3,MONTH(1&amp;$N$3),VALUE(LEFT(Y$5,2))),""yyyy-MM-dd"")),0)),""""),IF(logStatus&lt;&gt;"""",UPPER(logStatus)"&amp;",IF(Y246&lt;&gt;"""",IF(VALUE(Y246)&gt;=9/24,""FD"",""HD""),IF(REGEXMATCH(Y$5,""SUN""),""WO"",""-""))))))"),"-")</f>
        <v>-</v>
      </c>
      <c r="Z247" s="43" t="str">
        <f>IFERROR(__xludf.DUMMYFUNCTION("IF($A242="""","""",IF(Z$5="""","""",LET(logStatus,IFNA(INDEX(DATA_LOG!$E:$E,MATCH(1,(DATA_LOG!$A:$A=$A242)*(TEXT(DATA_LOG!$B:$B,""yyyy-MM-dd"")=TEXT(DATE($P$3,MONTH(1&amp;$N$3),VALUE(LEFT(Z$5,2))),""yyyy-MM-dd"")),0)),""""),IF(logStatus&lt;&gt;"""",UPPER(logStatus)"&amp;",IF(Z246&lt;&gt;"""",IF(VALUE(Z246)&gt;=9/24,""FD"",""HD""),IF(REGEXMATCH(Z$5,""SUN""),""WO"",""-""))))))"),"-")</f>
        <v>-</v>
      </c>
      <c r="AA247" s="43" t="str">
        <f>IFERROR(__xludf.DUMMYFUNCTION("IF($A242="""","""",IF(AA$5="""","""",LET(logStatus,IFNA(INDEX(DATA_LOG!$E:$E,MATCH(1,(DATA_LOG!$A:$A=$A242)*(TEXT(DATA_LOG!$B:$B,""yyyy-MM-dd"")=TEXT(DATE($P$3,MONTH(1&amp;$N$3),VALUE(LEFT(AA$5,2))),""yyyy-MM-dd"")),0)),""""),IF(logStatus&lt;&gt;"""",UPPER(logStatu"&amp;"s),IF(AA246&lt;&gt;"""",IF(VALUE(AA246)&gt;=9/24,""FD"",""HD""),IF(REGEXMATCH(AA$5,""SUN""),""WO"",""-""))))))"),"-")</f>
        <v>-</v>
      </c>
      <c r="AB247" s="43" t="str">
        <f>IFERROR(__xludf.DUMMYFUNCTION("IF($A242="""","""",IF(AB$5="""","""",LET(logStatus,IFNA(INDEX(DATA_LOG!$E:$E,MATCH(1,(DATA_LOG!$A:$A=$A242)*(TEXT(DATA_LOG!$B:$B,""yyyy-MM-dd"")=TEXT(DATE($P$3,MONTH(1&amp;$N$3),VALUE(LEFT(AB$5,2))),""yyyy-MM-dd"")),0)),""""),IF(logStatus&lt;&gt;"""",UPPER(logStatu"&amp;"s),IF(AB246&lt;&gt;"""",IF(VALUE(AB246)&gt;=9/24,""FD"",""HD""),IF(REGEXMATCH(AB$5,""SUN""),""WO"",""-""))))))"),"WO")</f>
        <v>WO</v>
      </c>
      <c r="AC247" s="43" t="str">
        <f>IFERROR(__xludf.DUMMYFUNCTION("IF($A242="""","""",IF(AC$5="""","""",LET(logStatus,IFNA(INDEX(DATA_LOG!$E:$E,MATCH(1,(DATA_LOG!$A:$A=$A242)*(TEXT(DATA_LOG!$B:$B,""yyyy-MM-dd"")=TEXT(DATE($P$3,MONTH(1&amp;$N$3),VALUE(LEFT(AC$5,2))),""yyyy-MM-dd"")),0)),""""),IF(logStatus&lt;&gt;"""",UPPER(logStatu"&amp;"s),IF(AC246&lt;&gt;"""",IF(VALUE(AC246)&gt;=9/24,""FD"",""HD""),IF(REGEXMATCH(AC$5,""SUN""),""WO"",""-""))))))"),"-")</f>
        <v>-</v>
      </c>
      <c r="AD247" s="43" t="str">
        <f>IFERROR(__xludf.DUMMYFUNCTION("IF($A242="""","""",IF(AD$5="""","""",LET(logStatus,IFNA(INDEX(DATA_LOG!$E:$E,MATCH(1,(DATA_LOG!$A:$A=$A242)*(TEXT(DATA_LOG!$B:$B,""yyyy-MM-dd"")=TEXT(DATE($P$3,MONTH(1&amp;$N$3),VALUE(LEFT(AD$5,2))),""yyyy-MM-dd"")),0)),""""),IF(logStatus&lt;&gt;"""",UPPER(logStatu"&amp;"s),IF(AD246&lt;&gt;"""",IF(VALUE(AD246)&gt;=9/24,""FD"",""HD""),IF(REGEXMATCH(AD$5,""SUN""),""WO"",""-""))))))"),"-")</f>
        <v>-</v>
      </c>
      <c r="AE247" s="43" t="str">
        <f>IFERROR(__xludf.DUMMYFUNCTION("IF($A242="""","""",IF(AE$5="""","""",LET(logStatus,IFNA(INDEX(DATA_LOG!$E:$E,MATCH(1,(DATA_LOG!$A:$A=$A242)*(TEXT(DATA_LOG!$B:$B,""yyyy-MM-dd"")=TEXT(DATE($P$3,MONTH(1&amp;$N$3),VALUE(LEFT(AE$5,2))),""yyyy-MM-dd"")),0)),""""),IF(logStatus&lt;&gt;"""",UPPER(logStatu"&amp;"s),IF(AE246&lt;&gt;"""",IF(VALUE(AE246)&gt;=9/24,""FD"",""HD""),IF(REGEXMATCH(AE$5,""SUN""),""WO"",""-""))))))"),"-")</f>
        <v>-</v>
      </c>
      <c r="AF247" s="43" t="str">
        <f>IFERROR(__xludf.DUMMYFUNCTION("IF($A242="""","""",IF(AF$5="""","""",LET(logStatus,IFNA(INDEX(DATA_LOG!$E:$E,MATCH(1,(DATA_LOG!$A:$A=$A242)*(TEXT(DATA_LOG!$B:$B,""yyyy-MM-dd"")=TEXT(DATE($P$3,MONTH(1&amp;$N$3),VALUE(LEFT(AF$5,2))),""yyyy-MM-dd"")),0)),""""),IF(logStatus&lt;&gt;"""",UPPER(logStatu"&amp;"s),IF(AF246&lt;&gt;"""",IF(VALUE(AF246)&gt;=9/24,""FD"",""HD""),IF(REGEXMATCH(AF$5,""SUN""),""WO"",""-""))))))"),"")</f>
        <v/>
      </c>
    </row>
    <row r="248">
      <c r="A248" s="44"/>
    </row>
    <row r="249">
      <c r="A249" s="25" t="str">
        <f>EMPLOYEE_LIST!A15</f>
        <v>VINAY KUMAR</v>
      </c>
      <c r="B249" s="26"/>
      <c r="C249" s="27"/>
      <c r="D249" s="28" t="str">
        <f>IF(A249="", "", IFERROR(VLOOKUP(A249, EMPLOYEE_LIST!$A:$H, 2, FALSE), ""))</f>
        <v>AYV-78</v>
      </c>
      <c r="E249" s="26"/>
      <c r="F249" s="26"/>
      <c r="G249" s="27"/>
      <c r="H249" s="29" t="str">
        <f>IF(A249="", "", IFERROR(VLOOKUP(A249, EMPLOYEE_LIST!$A:$H, 3, FALSE), ""))</f>
        <v>ENGINEERING</v>
      </c>
      <c r="I249" s="26"/>
      <c r="J249" s="26"/>
      <c r="K249" s="27"/>
      <c r="L249" s="29" t="str">
        <f>IF(A249="", "", IFERROR(VLOOKUP(A249, EMPLOYEE_LIST!$A:$H, 4, FALSE), ""))</f>
        <v>SUPERVISOR</v>
      </c>
      <c r="M249" s="26"/>
      <c r="N249" s="26"/>
      <c r="O249" s="27"/>
      <c r="P249" s="30" t="str">
        <f>IF($A249="", "", "Full Day: " &amp; COUNTIF(B254:AF254, "FD"))</f>
        <v>Full Day: 0</v>
      </c>
      <c r="Q249" s="26"/>
      <c r="R249" s="27"/>
      <c r="S249" s="31" t="str">
        <f>IF($A249="", "", "HALF Day: " &amp; COUNTIF(B254:AF254, "HD"))</f>
        <v>HALF Day: 0</v>
      </c>
      <c r="T249" s="26"/>
      <c r="U249" s="27"/>
      <c r="V249" s="31" t="str">
        <f>IF($A249="", "", "ABSENT: " &amp; COUNTIF(B254:AF254, "A"))</f>
        <v>ABSENT: 0</v>
      </c>
      <c r="W249" s="26"/>
      <c r="X249" s="27"/>
      <c r="Y249" s="31" t="str">
        <f>IF($A249="", "", "WEEK OFF: " &amp; COUNTIF(B254:AF254, "WO"))</f>
        <v>WEEK OFF: 4</v>
      </c>
      <c r="Z249" s="26"/>
      <c r="AA249" s="27"/>
      <c r="AB249" s="31" t="str">
        <f>IF($A249="", "", "LEAVE: " &amp; COUNTIF(B254:AF254, "L"))</f>
        <v>LEAVE: 0</v>
      </c>
      <c r="AC249" s="27"/>
      <c r="AD249" s="31" t="str">
        <f>IF($A249="", "", "HOLIDAY: " &amp; COUNTIF(B254:AF254, "HL"))</f>
        <v>HOLIDAY: 0</v>
      </c>
      <c r="AE249" s="26"/>
      <c r="AF249" s="27"/>
    </row>
    <row r="250">
      <c r="A250" s="48" t="str">
        <f>IF($A249="", "", "DATE")</f>
        <v>DATE</v>
      </c>
      <c r="B250" s="34" t="str">
        <f t="array" ref="B250:AE250">IF($A249="", "", LET( start, DATE(YEAR(TODAY()), MONTH(TODAY()), 1), days, DAY(EOMONTH(start, 0)), MAP(SEQUENCE(1, days, 0), LAMBDA(n, UPPER(TEXT(start + n, "dd (ddd)")))) ))</f>
        <v>01 (TUE)</v>
      </c>
      <c r="C250" s="34" t="s">
        <v>89</v>
      </c>
      <c r="D250" s="34" t="s">
        <v>90</v>
      </c>
      <c r="E250" s="34" t="s">
        <v>91</v>
      </c>
      <c r="F250" s="34" t="s">
        <v>92</v>
      </c>
      <c r="G250" s="34" t="s">
        <v>93</v>
      </c>
      <c r="H250" s="34" t="s">
        <v>94</v>
      </c>
      <c r="I250" s="34" t="s">
        <v>95</v>
      </c>
      <c r="J250" s="34" t="s">
        <v>96</v>
      </c>
      <c r="K250" s="34" t="s">
        <v>97</v>
      </c>
      <c r="L250" s="34" t="s">
        <v>98</v>
      </c>
      <c r="M250" s="34" t="s">
        <v>99</v>
      </c>
      <c r="N250" s="34" t="s">
        <v>100</v>
      </c>
      <c r="O250" s="34" t="s">
        <v>101</v>
      </c>
      <c r="P250" s="34" t="s">
        <v>102</v>
      </c>
      <c r="Q250" s="34" t="s">
        <v>103</v>
      </c>
      <c r="R250" s="34" t="s">
        <v>104</v>
      </c>
      <c r="S250" s="34" t="s">
        <v>105</v>
      </c>
      <c r="T250" s="34" t="s">
        <v>106</v>
      </c>
      <c r="U250" s="34" t="s">
        <v>107</v>
      </c>
      <c r="V250" s="34" t="s">
        <v>108</v>
      </c>
      <c r="W250" s="34" t="s">
        <v>109</v>
      </c>
      <c r="X250" s="34" t="s">
        <v>110</v>
      </c>
      <c r="Y250" s="34" t="s">
        <v>111</v>
      </c>
      <c r="Z250" s="34" t="s">
        <v>112</v>
      </c>
      <c r="AA250" s="34" t="s">
        <v>113</v>
      </c>
      <c r="AB250" s="34" t="s">
        <v>114</v>
      </c>
      <c r="AC250" s="34" t="s">
        <v>115</v>
      </c>
      <c r="AD250" s="34" t="s">
        <v>116</v>
      </c>
      <c r="AE250" s="34" t="s">
        <v>117</v>
      </c>
      <c r="AF250" s="34"/>
    </row>
    <row r="251">
      <c r="A251" s="48" t="str">
        <f>IF($A249="", "", "IN")</f>
        <v>IN</v>
      </c>
      <c r="B251" s="49"/>
      <c r="C251" s="49"/>
      <c r="D251" s="49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</row>
    <row r="252">
      <c r="A252" s="48" t="str">
        <f>IF($A249="", "", "OUT")</f>
        <v>OUT</v>
      </c>
      <c r="B252" s="49"/>
      <c r="C252" s="49"/>
      <c r="D252" s="49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</row>
    <row r="253">
      <c r="A253" s="42" t="str">
        <f>IF($A249="", "", "TOTAL")</f>
        <v>TOTAL</v>
      </c>
      <c r="B253" s="34" t="str">
        <f t="shared" ref="B253:AF253" si="36">IF(AND(B251&lt;&gt;"",B252&lt;&gt;""),TEXT(MOD(B252-B251,1),"hh:mm"),"")</f>
        <v/>
      </c>
      <c r="C253" s="34" t="str">
        <f t="shared" si="36"/>
        <v/>
      </c>
      <c r="D253" s="34" t="str">
        <f t="shared" si="36"/>
        <v/>
      </c>
      <c r="E253" s="34" t="str">
        <f t="shared" si="36"/>
        <v/>
      </c>
      <c r="F253" s="34" t="str">
        <f t="shared" si="36"/>
        <v/>
      </c>
      <c r="G253" s="34" t="str">
        <f t="shared" si="36"/>
        <v/>
      </c>
      <c r="H253" s="34" t="str">
        <f t="shared" si="36"/>
        <v/>
      </c>
      <c r="I253" s="34" t="str">
        <f t="shared" si="36"/>
        <v/>
      </c>
      <c r="J253" s="34" t="str">
        <f t="shared" si="36"/>
        <v/>
      </c>
      <c r="K253" s="34" t="str">
        <f t="shared" si="36"/>
        <v/>
      </c>
      <c r="L253" s="34" t="str">
        <f t="shared" si="36"/>
        <v/>
      </c>
      <c r="M253" s="34" t="str">
        <f t="shared" si="36"/>
        <v/>
      </c>
      <c r="N253" s="34" t="str">
        <f t="shared" si="36"/>
        <v/>
      </c>
      <c r="O253" s="34" t="str">
        <f t="shared" si="36"/>
        <v/>
      </c>
      <c r="P253" s="34" t="str">
        <f t="shared" si="36"/>
        <v/>
      </c>
      <c r="Q253" s="34" t="str">
        <f t="shared" si="36"/>
        <v/>
      </c>
      <c r="R253" s="34" t="str">
        <f t="shared" si="36"/>
        <v/>
      </c>
      <c r="S253" s="34" t="str">
        <f t="shared" si="36"/>
        <v/>
      </c>
      <c r="T253" s="34" t="str">
        <f t="shared" si="36"/>
        <v/>
      </c>
      <c r="U253" s="34" t="str">
        <f t="shared" si="36"/>
        <v/>
      </c>
      <c r="V253" s="34" t="str">
        <f t="shared" si="36"/>
        <v/>
      </c>
      <c r="W253" s="34" t="str">
        <f t="shared" si="36"/>
        <v/>
      </c>
      <c r="X253" s="34" t="str">
        <f t="shared" si="36"/>
        <v/>
      </c>
      <c r="Y253" s="34" t="str">
        <f t="shared" si="36"/>
        <v/>
      </c>
      <c r="Z253" s="34" t="str">
        <f t="shared" si="36"/>
        <v/>
      </c>
      <c r="AA253" s="34" t="str">
        <f t="shared" si="36"/>
        <v/>
      </c>
      <c r="AB253" s="34" t="str">
        <f t="shared" si="36"/>
        <v/>
      </c>
      <c r="AC253" s="34" t="str">
        <f t="shared" si="36"/>
        <v/>
      </c>
      <c r="AD253" s="34" t="str">
        <f t="shared" si="36"/>
        <v/>
      </c>
      <c r="AE253" s="34" t="str">
        <f t="shared" si="36"/>
        <v/>
      </c>
      <c r="AF253" s="34" t="str">
        <f t="shared" si="36"/>
        <v/>
      </c>
    </row>
    <row r="254">
      <c r="A254" s="42" t="str">
        <f>IF($A249="", "", "STATUS")</f>
        <v>STATUS</v>
      </c>
      <c r="B254" s="43" t="str">
        <f>IFERROR(__xludf.DUMMYFUNCTION("IF($A249="""","""",IF(B$5="""","""",LET(logStatus,IFNA(INDEX(DATA_LOG!$E:$E,MATCH(1,(DATA_LOG!$A:$A=$A249)*(TEXT(DATA_LOG!$B:$B,""yyyy-MM-dd"")=TEXT(DATE($P$3,MONTH(1&amp;$N$3),VALUE(LEFT(B$5,2))),""yyyy-MM-dd"")),0)),""""),IF(logStatus&lt;&gt;"""",UPPER(logStatus)"&amp;",IF(B253&lt;&gt;"""",IF(VALUE(B253)&gt;=9/24,""FD"",""HD""),IF(REGEXMATCH(B$5,""SUN""),""WO"",""-""))))))"),"-")</f>
        <v>-</v>
      </c>
      <c r="C254" s="43" t="str">
        <f>IFERROR(__xludf.DUMMYFUNCTION("IF($A249="""","""",IF(C$5="""","""",LET(logStatus,IFNA(INDEX(DATA_LOG!$E:$E,MATCH(1,(DATA_LOG!$A:$A=$A249)*(TEXT(DATA_LOG!$B:$B,""yyyy-MM-dd"")=TEXT(DATE($P$3,MONTH(1&amp;$N$3),VALUE(LEFT(C$5,2))),""yyyy-MM-dd"")),0)),""""),IF(logStatus&lt;&gt;"""",UPPER(logStatus)"&amp;",IF(C253&lt;&gt;"""",IF(VALUE(C253)&gt;=9/24,""FD"",""HD""),IF(REGEXMATCH(C$5,""SUN""),""WO"",""-""))))))"),"-")</f>
        <v>-</v>
      </c>
      <c r="D254" s="43" t="str">
        <f>IFERROR(__xludf.DUMMYFUNCTION("IF($A249="""","""",IF(D$5="""","""",LET(logStatus,IFNA(INDEX(DATA_LOG!$E:$E,MATCH(1,(DATA_LOG!$A:$A=$A249)*(TEXT(DATA_LOG!$B:$B,""yyyy-MM-dd"")=TEXT(DATE($P$3,MONTH(1&amp;$N$3),VALUE(LEFT(D$5,2))),""yyyy-MM-dd"")),0)),""""),IF(logStatus&lt;&gt;"""",UPPER(logStatus)"&amp;",IF(D253&lt;&gt;"""",IF(VALUE(D253)&gt;=9/24,""FD"",""HD""),IF(REGEXMATCH(D$5,""SUN""),""WO"",""-""))))))"),"-")</f>
        <v>-</v>
      </c>
      <c r="E254" s="43" t="str">
        <f>IFERROR(__xludf.DUMMYFUNCTION("IF($A249="""","""",IF(E$5="""","""",LET(logStatus,IFNA(INDEX(DATA_LOG!$E:$E,MATCH(1,(DATA_LOG!$A:$A=$A249)*(TEXT(DATA_LOG!$B:$B,""yyyy-MM-dd"")=TEXT(DATE($P$3,MONTH(1&amp;$N$3),VALUE(LEFT(E$5,2))),""yyyy-MM-dd"")),0)),""""),IF(logStatus&lt;&gt;"""",UPPER(logStatus)"&amp;",IF(E253&lt;&gt;"""",IF(VALUE(E253)&gt;=9/24,""FD"",""HD""),IF(REGEXMATCH(E$5,""SUN""),""WO"",""-""))))))"),"-")</f>
        <v>-</v>
      </c>
      <c r="F254" s="43" t="str">
        <f>IFERROR(__xludf.DUMMYFUNCTION("IF($A249="""","""",IF(F$5="""","""",LET(logStatus,IFNA(INDEX(DATA_LOG!$E:$E,MATCH(1,(DATA_LOG!$A:$A=$A249)*(TEXT(DATA_LOG!$B:$B,""yyyy-MM-dd"")=TEXT(DATE($P$3,MONTH(1&amp;$N$3),VALUE(LEFT(F$5,2))),""yyyy-MM-dd"")),0)),""""),IF(logStatus&lt;&gt;"""",UPPER(logStatus)"&amp;",IF(F253&lt;&gt;"""",IF(VALUE(F253)&gt;=9/24,""FD"",""HD""),IF(REGEXMATCH(F$5,""SUN""),""WO"",""-""))))))"),"-")</f>
        <v>-</v>
      </c>
      <c r="G254" s="43" t="str">
        <f>IFERROR(__xludf.DUMMYFUNCTION("IF($A249="""","""",IF(G$5="""","""",LET(logStatus,IFNA(INDEX(DATA_LOG!$E:$E,MATCH(1,(DATA_LOG!$A:$A=$A249)*(TEXT(DATA_LOG!$B:$B,""yyyy-MM-dd"")=TEXT(DATE($P$3,MONTH(1&amp;$N$3),VALUE(LEFT(G$5,2))),""yyyy-MM-dd"")),0)),""""),IF(logStatus&lt;&gt;"""",UPPER(logStatus)"&amp;",IF(G253&lt;&gt;"""",IF(VALUE(G253)&gt;=9/24,""FD"",""HD""),IF(REGEXMATCH(G$5,""SUN""),""WO"",""-""))))))"),"WO")</f>
        <v>WO</v>
      </c>
      <c r="H254" s="43" t="str">
        <f>IFERROR(__xludf.DUMMYFUNCTION("IF($A249="""","""",IF(H$5="""","""",LET(logStatus,IFNA(INDEX(DATA_LOG!$E:$E,MATCH(1,(DATA_LOG!$A:$A=$A249)*(TEXT(DATA_LOG!$B:$B,""yyyy-MM-dd"")=TEXT(DATE($P$3,MONTH(1&amp;$N$3),VALUE(LEFT(H$5,2))),""yyyy-MM-dd"")),0)),""""),IF(logStatus&lt;&gt;"""",UPPER(logStatus)"&amp;",IF(H253&lt;&gt;"""",IF(VALUE(H253)&gt;=9/24,""FD"",""HD""),IF(REGEXMATCH(H$5,""SUN""),""WO"",""-""))))))"),"-")</f>
        <v>-</v>
      </c>
      <c r="I254" s="43" t="str">
        <f>IFERROR(__xludf.DUMMYFUNCTION("IF($A249="""","""",IF(I$5="""","""",LET(logStatus,IFNA(INDEX(DATA_LOG!$E:$E,MATCH(1,(DATA_LOG!$A:$A=$A249)*(TEXT(DATA_LOG!$B:$B,""yyyy-MM-dd"")=TEXT(DATE($P$3,MONTH(1&amp;$N$3),VALUE(LEFT(I$5,2))),""yyyy-MM-dd"")),0)),""""),IF(logStatus&lt;&gt;"""",UPPER(logStatus)"&amp;",IF(I253&lt;&gt;"""",IF(VALUE(I253)&gt;=9/24,""FD"",""HD""),IF(REGEXMATCH(I$5,""SUN""),""WO"",""-""))))))"),"-")</f>
        <v>-</v>
      </c>
      <c r="J254" s="43" t="str">
        <f>IFERROR(__xludf.DUMMYFUNCTION("IF($A249="""","""",IF(J$5="""","""",LET(logStatus,IFNA(INDEX(DATA_LOG!$E:$E,MATCH(1,(DATA_LOG!$A:$A=$A249)*(TEXT(DATA_LOG!$B:$B,""yyyy-MM-dd"")=TEXT(DATE($P$3,MONTH(1&amp;$N$3),VALUE(LEFT(J$5,2))),""yyyy-MM-dd"")),0)),""""),IF(logStatus&lt;&gt;"""",UPPER(logStatus)"&amp;",IF(J253&lt;&gt;"""",IF(VALUE(J253)&gt;=9/24,""FD"",""HD""),IF(REGEXMATCH(J$5,""SUN""),""WO"",""-""))))))"),"-")</f>
        <v>-</v>
      </c>
      <c r="K254" s="43" t="str">
        <f>IFERROR(__xludf.DUMMYFUNCTION("IF($A249="""","""",IF(K$5="""","""",LET(logStatus,IFNA(INDEX(DATA_LOG!$E:$E,MATCH(1,(DATA_LOG!$A:$A=$A249)*(TEXT(DATA_LOG!$B:$B,""yyyy-MM-dd"")=TEXT(DATE($P$3,MONTH(1&amp;$N$3),VALUE(LEFT(K$5,2))),""yyyy-MM-dd"")),0)),""""),IF(logStatus&lt;&gt;"""",UPPER(logStatus)"&amp;",IF(K253&lt;&gt;"""",IF(VALUE(K253)&gt;=9/24,""FD"",""HD""),IF(REGEXMATCH(K$5,""SUN""),""WO"",""-""))))))"),"-")</f>
        <v>-</v>
      </c>
      <c r="L254" s="43" t="str">
        <f>IFERROR(__xludf.DUMMYFUNCTION("IF($A249="""","""",IF(L$5="""","""",LET(logStatus,IFNA(INDEX(DATA_LOG!$E:$E,MATCH(1,(DATA_LOG!$A:$A=$A249)*(TEXT(DATA_LOG!$B:$B,""yyyy-MM-dd"")=TEXT(DATE($P$3,MONTH(1&amp;$N$3),VALUE(LEFT(L$5,2))),""yyyy-MM-dd"")),0)),""""),IF(logStatus&lt;&gt;"""",UPPER(logStatus)"&amp;",IF(L253&lt;&gt;"""",IF(VALUE(L253)&gt;=9/24,""FD"",""HD""),IF(REGEXMATCH(L$5,""SUN""),""WO"",""-""))))))"),"-")</f>
        <v>-</v>
      </c>
      <c r="M254" s="43" t="str">
        <f>IFERROR(__xludf.DUMMYFUNCTION("IF($A249="""","""",IF(M$5="""","""",LET(logStatus,IFNA(INDEX(DATA_LOG!$E:$E,MATCH(1,(DATA_LOG!$A:$A=$A249)*(TEXT(DATA_LOG!$B:$B,""yyyy-MM-dd"")=TEXT(DATE($P$3,MONTH(1&amp;$N$3),VALUE(LEFT(M$5,2))),""yyyy-MM-dd"")),0)),""""),IF(logStatus&lt;&gt;"""",UPPER(logStatus)"&amp;",IF(M253&lt;&gt;"""",IF(VALUE(M253)&gt;=9/24,""FD"",""HD""),IF(REGEXMATCH(M$5,""SUN""),""WO"",""-""))))))"),"-")</f>
        <v>-</v>
      </c>
      <c r="N254" s="43" t="str">
        <f>IFERROR(__xludf.DUMMYFUNCTION("IF($A249="""","""",IF(N$5="""","""",LET(logStatus,IFNA(INDEX(DATA_LOG!$E:$E,MATCH(1,(DATA_LOG!$A:$A=$A249)*(TEXT(DATA_LOG!$B:$B,""yyyy-MM-dd"")=TEXT(DATE($P$3,MONTH(1&amp;$N$3),VALUE(LEFT(N$5,2))),""yyyy-MM-dd"")),0)),""""),IF(logStatus&lt;&gt;"""",UPPER(logStatus)"&amp;",IF(N253&lt;&gt;"""",IF(VALUE(N253)&gt;=9/24,""FD"",""HD""),IF(REGEXMATCH(N$5,""SUN""),""WO"",""-""))))))"),"WO")</f>
        <v>WO</v>
      </c>
      <c r="O254" s="43" t="str">
        <f>IFERROR(__xludf.DUMMYFUNCTION("IF($A249="""","""",IF(O$5="""","""",LET(logStatus,IFNA(INDEX(DATA_LOG!$E:$E,MATCH(1,(DATA_LOG!$A:$A=$A249)*(TEXT(DATA_LOG!$B:$B,""yyyy-MM-dd"")=TEXT(DATE($P$3,MONTH(1&amp;$N$3),VALUE(LEFT(O$5,2))),""yyyy-MM-dd"")),0)),""""),IF(logStatus&lt;&gt;"""",UPPER(logStatus)"&amp;",IF(O253&lt;&gt;"""",IF(VALUE(O253)&gt;=9/24,""FD"",""HD""),IF(REGEXMATCH(O$5,""SUN""),""WO"",""-""))))))"),"-")</f>
        <v>-</v>
      </c>
      <c r="P254" s="43" t="str">
        <f>IFERROR(__xludf.DUMMYFUNCTION("IF($A249="""","""",IF(P$5="""","""",LET(logStatus,IFNA(INDEX(DATA_LOG!$E:$E,MATCH(1,(DATA_LOG!$A:$A=$A249)*(TEXT(DATA_LOG!$B:$B,""yyyy-MM-dd"")=TEXT(DATE($P$3,MONTH(1&amp;$N$3),VALUE(LEFT(P$5,2))),""yyyy-MM-dd"")),0)),""""),IF(logStatus&lt;&gt;"""",UPPER(logStatus)"&amp;",IF(P253&lt;&gt;"""",IF(VALUE(P253)&gt;=9/24,""FD"",""HD""),IF(REGEXMATCH(P$5,""SUN""),""WO"",""-""))))))"),"-")</f>
        <v>-</v>
      </c>
      <c r="Q254" s="43" t="str">
        <f>IFERROR(__xludf.DUMMYFUNCTION("IF($A249="""","""",IF(Q$5="""","""",LET(logStatus,IFNA(INDEX(DATA_LOG!$E:$E,MATCH(1,(DATA_LOG!$A:$A=$A249)*(TEXT(DATA_LOG!$B:$B,""yyyy-MM-dd"")=TEXT(DATE($P$3,MONTH(1&amp;$N$3),VALUE(LEFT(Q$5,2))),""yyyy-MM-dd"")),0)),""""),IF(logStatus&lt;&gt;"""",UPPER(logStatus)"&amp;",IF(Q253&lt;&gt;"""",IF(VALUE(Q253)&gt;=9/24,""FD"",""HD""),IF(REGEXMATCH(Q$5,""SUN""),""WO"",""-""))))))"),"-")</f>
        <v>-</v>
      </c>
      <c r="R254" s="43" t="str">
        <f>IFERROR(__xludf.DUMMYFUNCTION("IF($A249="""","""",IF(R$5="""","""",LET(logStatus,IFNA(INDEX(DATA_LOG!$E:$E,MATCH(1,(DATA_LOG!$A:$A=$A249)*(TEXT(DATA_LOG!$B:$B,""yyyy-MM-dd"")=TEXT(DATE($P$3,MONTH(1&amp;$N$3),VALUE(LEFT(R$5,2))),""yyyy-MM-dd"")),0)),""""),IF(logStatus&lt;&gt;"""",UPPER(logStatus)"&amp;",IF(R253&lt;&gt;"""",IF(VALUE(R253)&gt;=9/24,""FD"",""HD""),IF(REGEXMATCH(R$5,""SUN""),""WO"",""-""))))))"),"-")</f>
        <v>-</v>
      </c>
      <c r="S254" s="43" t="str">
        <f>IFERROR(__xludf.DUMMYFUNCTION("IF($A249="""","""",IF(S$5="""","""",LET(logStatus,IFNA(INDEX(DATA_LOG!$E:$E,MATCH(1,(DATA_LOG!$A:$A=$A249)*(TEXT(DATA_LOG!$B:$B,""yyyy-MM-dd"")=TEXT(DATE($P$3,MONTH(1&amp;$N$3),VALUE(LEFT(S$5,2))),""yyyy-MM-dd"")),0)),""""),IF(logStatus&lt;&gt;"""",UPPER(logStatus)"&amp;",IF(S253&lt;&gt;"""",IF(VALUE(S253)&gt;=9/24,""FD"",""HD""),IF(REGEXMATCH(S$5,""SUN""),""WO"",""-""))))))"),"-")</f>
        <v>-</v>
      </c>
      <c r="T254" s="43" t="str">
        <f>IFERROR(__xludf.DUMMYFUNCTION("IF($A249="""","""",IF(T$5="""","""",LET(logStatus,IFNA(INDEX(DATA_LOG!$E:$E,MATCH(1,(DATA_LOG!$A:$A=$A249)*(TEXT(DATA_LOG!$B:$B,""yyyy-MM-dd"")=TEXT(DATE($P$3,MONTH(1&amp;$N$3),VALUE(LEFT(T$5,2))),""yyyy-MM-dd"")),0)),""""),IF(logStatus&lt;&gt;"""",UPPER(logStatus)"&amp;",IF(T253&lt;&gt;"""",IF(VALUE(T253)&gt;=9/24,""FD"",""HD""),IF(REGEXMATCH(T$5,""SUN""),""WO"",""-""))))))"),"-")</f>
        <v>-</v>
      </c>
      <c r="U254" s="43" t="str">
        <f>IFERROR(__xludf.DUMMYFUNCTION("IF($A249="""","""",IF(U$5="""","""",LET(logStatus,IFNA(INDEX(DATA_LOG!$E:$E,MATCH(1,(DATA_LOG!$A:$A=$A249)*(TEXT(DATA_LOG!$B:$B,""yyyy-MM-dd"")=TEXT(DATE($P$3,MONTH(1&amp;$N$3),VALUE(LEFT(U$5,2))),""yyyy-MM-dd"")),0)),""""),IF(logStatus&lt;&gt;"""",UPPER(logStatus)"&amp;",IF(U253&lt;&gt;"""",IF(VALUE(U253)&gt;=9/24,""FD"",""HD""),IF(REGEXMATCH(U$5,""SUN""),""WO"",""-""))))))"),"WO")</f>
        <v>WO</v>
      </c>
      <c r="V254" s="43" t="str">
        <f>IFERROR(__xludf.DUMMYFUNCTION("IF($A249="""","""",IF(V$5="""","""",LET(logStatus,IFNA(INDEX(DATA_LOG!$E:$E,MATCH(1,(DATA_LOG!$A:$A=$A249)*(TEXT(DATA_LOG!$B:$B,""yyyy-MM-dd"")=TEXT(DATE($P$3,MONTH(1&amp;$N$3),VALUE(LEFT(V$5,2))),""yyyy-MM-dd"")),0)),""""),IF(logStatus&lt;&gt;"""",UPPER(logStatus)"&amp;",IF(V253&lt;&gt;"""",IF(VALUE(V253)&gt;=9/24,""FD"",""HD""),IF(REGEXMATCH(V$5,""SUN""),""WO"",""-""))))))"),"-")</f>
        <v>-</v>
      </c>
      <c r="W254" s="43" t="str">
        <f>IFERROR(__xludf.DUMMYFUNCTION("IF($A249="""","""",IF(W$5="""","""",LET(logStatus,IFNA(INDEX(DATA_LOG!$E:$E,MATCH(1,(DATA_LOG!$A:$A=$A249)*(TEXT(DATA_LOG!$B:$B,""yyyy-MM-dd"")=TEXT(DATE($P$3,MONTH(1&amp;$N$3),VALUE(LEFT(W$5,2))),""yyyy-MM-dd"")),0)),""""),IF(logStatus&lt;&gt;"""",UPPER(logStatus)"&amp;",IF(W253&lt;&gt;"""",IF(VALUE(W253)&gt;=9/24,""FD"",""HD""),IF(REGEXMATCH(W$5,""SUN""),""WO"",""-""))))))"),"-")</f>
        <v>-</v>
      </c>
      <c r="X254" s="43" t="str">
        <f>IFERROR(__xludf.DUMMYFUNCTION("IF($A249="""","""",IF(X$5="""","""",LET(logStatus,IFNA(INDEX(DATA_LOG!$E:$E,MATCH(1,(DATA_LOG!$A:$A=$A249)*(TEXT(DATA_LOG!$B:$B,""yyyy-MM-dd"")=TEXT(DATE($P$3,MONTH(1&amp;$N$3),VALUE(LEFT(X$5,2))),""yyyy-MM-dd"")),0)),""""),IF(logStatus&lt;&gt;"""",UPPER(logStatus)"&amp;",IF(X253&lt;&gt;"""",IF(VALUE(X253)&gt;=9/24,""FD"",""HD""),IF(REGEXMATCH(X$5,""SUN""),""WO"",""-""))))))"),"-")</f>
        <v>-</v>
      </c>
      <c r="Y254" s="43" t="str">
        <f>IFERROR(__xludf.DUMMYFUNCTION("IF($A249="""","""",IF(Y$5="""","""",LET(logStatus,IFNA(INDEX(DATA_LOG!$E:$E,MATCH(1,(DATA_LOG!$A:$A=$A249)*(TEXT(DATA_LOG!$B:$B,""yyyy-MM-dd"")=TEXT(DATE($P$3,MONTH(1&amp;$N$3),VALUE(LEFT(Y$5,2))),""yyyy-MM-dd"")),0)),""""),IF(logStatus&lt;&gt;"""",UPPER(logStatus)"&amp;",IF(Y253&lt;&gt;"""",IF(VALUE(Y253)&gt;=9/24,""FD"",""HD""),IF(REGEXMATCH(Y$5,""SUN""),""WO"",""-""))))))"),"-")</f>
        <v>-</v>
      </c>
      <c r="Z254" s="43" t="str">
        <f>IFERROR(__xludf.DUMMYFUNCTION("IF($A249="""","""",IF(Z$5="""","""",LET(logStatus,IFNA(INDEX(DATA_LOG!$E:$E,MATCH(1,(DATA_LOG!$A:$A=$A249)*(TEXT(DATA_LOG!$B:$B,""yyyy-MM-dd"")=TEXT(DATE($P$3,MONTH(1&amp;$N$3),VALUE(LEFT(Z$5,2))),""yyyy-MM-dd"")),0)),""""),IF(logStatus&lt;&gt;"""",UPPER(logStatus)"&amp;",IF(Z253&lt;&gt;"""",IF(VALUE(Z253)&gt;=9/24,""FD"",""HD""),IF(REGEXMATCH(Z$5,""SUN""),""WO"",""-""))))))"),"-")</f>
        <v>-</v>
      </c>
      <c r="AA254" s="43" t="str">
        <f>IFERROR(__xludf.DUMMYFUNCTION("IF($A249="""","""",IF(AA$5="""","""",LET(logStatus,IFNA(INDEX(DATA_LOG!$E:$E,MATCH(1,(DATA_LOG!$A:$A=$A249)*(TEXT(DATA_LOG!$B:$B,""yyyy-MM-dd"")=TEXT(DATE($P$3,MONTH(1&amp;$N$3),VALUE(LEFT(AA$5,2))),""yyyy-MM-dd"")),0)),""""),IF(logStatus&lt;&gt;"""",UPPER(logStatu"&amp;"s),IF(AA253&lt;&gt;"""",IF(VALUE(AA253)&gt;=9/24,""FD"",""HD""),IF(REGEXMATCH(AA$5,""SUN""),""WO"",""-""))))))"),"-")</f>
        <v>-</v>
      </c>
      <c r="AB254" s="43" t="str">
        <f>IFERROR(__xludf.DUMMYFUNCTION("IF($A249="""","""",IF(AB$5="""","""",LET(logStatus,IFNA(INDEX(DATA_LOG!$E:$E,MATCH(1,(DATA_LOG!$A:$A=$A249)*(TEXT(DATA_LOG!$B:$B,""yyyy-MM-dd"")=TEXT(DATE($P$3,MONTH(1&amp;$N$3),VALUE(LEFT(AB$5,2))),""yyyy-MM-dd"")),0)),""""),IF(logStatus&lt;&gt;"""",UPPER(logStatu"&amp;"s),IF(AB253&lt;&gt;"""",IF(VALUE(AB253)&gt;=9/24,""FD"",""HD""),IF(REGEXMATCH(AB$5,""SUN""),""WO"",""-""))))))"),"WO")</f>
        <v>WO</v>
      </c>
      <c r="AC254" s="43" t="str">
        <f>IFERROR(__xludf.DUMMYFUNCTION("IF($A249="""","""",IF(AC$5="""","""",LET(logStatus,IFNA(INDEX(DATA_LOG!$E:$E,MATCH(1,(DATA_LOG!$A:$A=$A249)*(TEXT(DATA_LOG!$B:$B,""yyyy-MM-dd"")=TEXT(DATE($P$3,MONTH(1&amp;$N$3),VALUE(LEFT(AC$5,2))),""yyyy-MM-dd"")),0)),""""),IF(logStatus&lt;&gt;"""",UPPER(logStatu"&amp;"s),IF(AC253&lt;&gt;"""",IF(VALUE(AC253)&gt;=9/24,""FD"",""HD""),IF(REGEXMATCH(AC$5,""SUN""),""WO"",""-""))))))"),"-")</f>
        <v>-</v>
      </c>
      <c r="AD254" s="43" t="str">
        <f>IFERROR(__xludf.DUMMYFUNCTION("IF($A249="""","""",IF(AD$5="""","""",LET(logStatus,IFNA(INDEX(DATA_LOG!$E:$E,MATCH(1,(DATA_LOG!$A:$A=$A249)*(TEXT(DATA_LOG!$B:$B,""yyyy-MM-dd"")=TEXT(DATE($P$3,MONTH(1&amp;$N$3),VALUE(LEFT(AD$5,2))),""yyyy-MM-dd"")),0)),""""),IF(logStatus&lt;&gt;"""",UPPER(logStatu"&amp;"s),IF(AD253&lt;&gt;"""",IF(VALUE(AD253)&gt;=9/24,""FD"",""HD""),IF(REGEXMATCH(AD$5,""SUN""),""WO"",""-""))))))"),"-")</f>
        <v>-</v>
      </c>
      <c r="AE254" s="43" t="str">
        <f>IFERROR(__xludf.DUMMYFUNCTION("IF($A249="""","""",IF(AE$5="""","""",LET(logStatus,IFNA(INDEX(DATA_LOG!$E:$E,MATCH(1,(DATA_LOG!$A:$A=$A249)*(TEXT(DATA_LOG!$B:$B,""yyyy-MM-dd"")=TEXT(DATE($P$3,MONTH(1&amp;$N$3),VALUE(LEFT(AE$5,2))),""yyyy-MM-dd"")),0)),""""),IF(logStatus&lt;&gt;"""",UPPER(logStatu"&amp;"s),IF(AE253&lt;&gt;"""",IF(VALUE(AE253)&gt;=9/24,""FD"",""HD""),IF(REGEXMATCH(AE$5,""SUN""),""WO"",""-""))))))"),"-")</f>
        <v>-</v>
      </c>
      <c r="AF254" s="43" t="str">
        <f>IFERROR(__xludf.DUMMYFUNCTION("IF($A249="""","""",IF(AF$5="""","""",LET(logStatus,IFNA(INDEX(DATA_LOG!$E:$E,MATCH(1,(DATA_LOG!$A:$A=$A249)*(TEXT(DATA_LOG!$B:$B,""yyyy-MM-dd"")=TEXT(DATE($P$3,MONTH(1&amp;$N$3),VALUE(LEFT(AF$5,2))),""yyyy-MM-dd"")),0)),""""),IF(logStatus&lt;&gt;"""",UPPER(logStatu"&amp;"s),IF(AF253&lt;&gt;"""",IF(VALUE(AF253)&gt;=9/24,""FD"",""HD""),IF(REGEXMATCH(AF$5,""SUN""),""WO"",""-""))))))"),"")</f>
        <v/>
      </c>
    </row>
    <row r="255">
      <c r="A255" s="44"/>
    </row>
    <row r="256">
      <c r="A256" s="25" t="str">
        <f>EMPLOYEE_LIST!A16</f>
        <v>VICKY KUMAR</v>
      </c>
      <c r="B256" s="26"/>
      <c r="C256" s="27"/>
      <c r="D256" s="28" t="str">
        <f>IF(A256="", "", IFERROR(VLOOKUP(A256, EMPLOYEE_LIST!$A:$H, 2, FALSE), ""))</f>
        <v>AYV-99</v>
      </c>
      <c r="E256" s="26"/>
      <c r="F256" s="26"/>
      <c r="G256" s="27"/>
      <c r="H256" s="29" t="str">
        <f>IF(A256="", "", IFERROR(VLOOKUP(A256, EMPLOYEE_LIST!$A:$H, 3, FALSE), ""))</f>
        <v>MECHNICAL</v>
      </c>
      <c r="I256" s="26"/>
      <c r="J256" s="26"/>
      <c r="K256" s="27"/>
      <c r="L256" s="29" t="str">
        <f>IF(A256="", "", IFERROR(VLOOKUP(A256, EMPLOYEE_LIST!$A:$H, 4, FALSE), ""))</f>
        <v>PLANT OPERATOR</v>
      </c>
      <c r="M256" s="26"/>
      <c r="N256" s="26"/>
      <c r="O256" s="27"/>
      <c r="P256" s="30" t="str">
        <f>IF($A256="", "", "Full Day: " &amp; COUNTIF(B261:AF261, "FD"))</f>
        <v>Full Day: 0</v>
      </c>
      <c r="Q256" s="26"/>
      <c r="R256" s="27"/>
      <c r="S256" s="31" t="str">
        <f>IF($A256="", "", "HALF Day: " &amp; COUNTIF(B261:AF261, "HD"))</f>
        <v>HALF Day: 0</v>
      </c>
      <c r="T256" s="26"/>
      <c r="U256" s="27"/>
      <c r="V256" s="31" t="str">
        <f>IF($A256="", "", "ABSENT: " &amp; COUNTIF(B261:AF261, "A"))</f>
        <v>ABSENT: 0</v>
      </c>
      <c r="W256" s="26"/>
      <c r="X256" s="27"/>
      <c r="Y256" s="31" t="str">
        <f>IF($A256="", "", "WEEK OFF: " &amp; COUNTIF(B261:AF261, "WO"))</f>
        <v>WEEK OFF: 4</v>
      </c>
      <c r="Z256" s="26"/>
      <c r="AA256" s="27"/>
      <c r="AB256" s="31" t="str">
        <f>IF($A256="", "", "LEAVE: " &amp; COUNTIF(B261:AF261, "L"))</f>
        <v>LEAVE: 0</v>
      </c>
      <c r="AC256" s="27"/>
      <c r="AD256" s="31" t="str">
        <f>IF($A256="", "", "HOLIDAY: " &amp; COUNTIF(B261:AF261, "HL"))</f>
        <v>HOLIDAY: 0</v>
      </c>
      <c r="AE256" s="26"/>
      <c r="AF256" s="27"/>
    </row>
    <row r="257">
      <c r="A257" s="48" t="str">
        <f>IF($A256="", "", "DATE")</f>
        <v>DATE</v>
      </c>
      <c r="B257" s="34" t="str">
        <f t="array" ref="B257:AE257">IF($A256="", "", LET( start, DATE(YEAR(TODAY()), MONTH(TODAY()), 1), days, DAY(EOMONTH(start, 0)), MAP(SEQUENCE(1, days, 0), LAMBDA(n, UPPER(TEXT(start + n, "dd (ddd)")))) ))</f>
        <v>01 (TUE)</v>
      </c>
      <c r="C257" s="34" t="s">
        <v>89</v>
      </c>
      <c r="D257" s="34" t="s">
        <v>90</v>
      </c>
      <c r="E257" s="34" t="s">
        <v>91</v>
      </c>
      <c r="F257" s="34" t="s">
        <v>92</v>
      </c>
      <c r="G257" s="34" t="s">
        <v>93</v>
      </c>
      <c r="H257" s="34" t="s">
        <v>94</v>
      </c>
      <c r="I257" s="34" t="s">
        <v>95</v>
      </c>
      <c r="J257" s="34" t="s">
        <v>96</v>
      </c>
      <c r="K257" s="34" t="s">
        <v>97</v>
      </c>
      <c r="L257" s="34" t="s">
        <v>98</v>
      </c>
      <c r="M257" s="34" t="s">
        <v>99</v>
      </c>
      <c r="N257" s="34" t="s">
        <v>100</v>
      </c>
      <c r="O257" s="34" t="s">
        <v>101</v>
      </c>
      <c r="P257" s="34" t="s">
        <v>102</v>
      </c>
      <c r="Q257" s="34" t="s">
        <v>103</v>
      </c>
      <c r="R257" s="34" t="s">
        <v>104</v>
      </c>
      <c r="S257" s="34" t="s">
        <v>105</v>
      </c>
      <c r="T257" s="34" t="s">
        <v>106</v>
      </c>
      <c r="U257" s="34" t="s">
        <v>107</v>
      </c>
      <c r="V257" s="34" t="s">
        <v>108</v>
      </c>
      <c r="W257" s="34" t="s">
        <v>109</v>
      </c>
      <c r="X257" s="34" t="s">
        <v>110</v>
      </c>
      <c r="Y257" s="34" t="s">
        <v>111</v>
      </c>
      <c r="Z257" s="34" t="s">
        <v>112</v>
      </c>
      <c r="AA257" s="34" t="s">
        <v>113</v>
      </c>
      <c r="AB257" s="34" t="s">
        <v>114</v>
      </c>
      <c r="AC257" s="34" t="s">
        <v>115</v>
      </c>
      <c r="AD257" s="34" t="s">
        <v>116</v>
      </c>
      <c r="AE257" s="34" t="s">
        <v>117</v>
      </c>
      <c r="AF257" s="34"/>
    </row>
    <row r="258">
      <c r="A258" s="48" t="str">
        <f>IF($A256="", "", "IN")</f>
        <v>IN</v>
      </c>
      <c r="B258" s="49"/>
      <c r="C258" s="49"/>
      <c r="D258" s="49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</row>
    <row r="259">
      <c r="A259" s="48" t="str">
        <f>IF($A256="", "", "OUT")</f>
        <v>OUT</v>
      </c>
      <c r="B259" s="49"/>
      <c r="C259" s="49"/>
      <c r="D259" s="49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</row>
    <row r="260">
      <c r="A260" s="42" t="str">
        <f>IF($A256="", "", "TOTAL")</f>
        <v>TOTAL</v>
      </c>
      <c r="B260" s="34" t="str">
        <f t="shared" ref="B260:AF260" si="37">IF(AND(B258&lt;&gt;"",B259&lt;&gt;""),TEXT(MOD(B259-B258,1),"hh:mm"),"")</f>
        <v/>
      </c>
      <c r="C260" s="34" t="str">
        <f t="shared" si="37"/>
        <v/>
      </c>
      <c r="D260" s="34" t="str">
        <f t="shared" si="37"/>
        <v/>
      </c>
      <c r="E260" s="34" t="str">
        <f t="shared" si="37"/>
        <v/>
      </c>
      <c r="F260" s="34" t="str">
        <f t="shared" si="37"/>
        <v/>
      </c>
      <c r="G260" s="34" t="str">
        <f t="shared" si="37"/>
        <v/>
      </c>
      <c r="H260" s="34" t="str">
        <f t="shared" si="37"/>
        <v/>
      </c>
      <c r="I260" s="34" t="str">
        <f t="shared" si="37"/>
        <v/>
      </c>
      <c r="J260" s="34" t="str">
        <f t="shared" si="37"/>
        <v/>
      </c>
      <c r="K260" s="34" t="str">
        <f t="shared" si="37"/>
        <v/>
      </c>
      <c r="L260" s="34" t="str">
        <f t="shared" si="37"/>
        <v/>
      </c>
      <c r="M260" s="34" t="str">
        <f t="shared" si="37"/>
        <v/>
      </c>
      <c r="N260" s="34" t="str">
        <f t="shared" si="37"/>
        <v/>
      </c>
      <c r="O260" s="34" t="str">
        <f t="shared" si="37"/>
        <v/>
      </c>
      <c r="P260" s="34" t="str">
        <f t="shared" si="37"/>
        <v/>
      </c>
      <c r="Q260" s="34" t="str">
        <f t="shared" si="37"/>
        <v/>
      </c>
      <c r="R260" s="34" t="str">
        <f t="shared" si="37"/>
        <v/>
      </c>
      <c r="S260" s="34" t="str">
        <f t="shared" si="37"/>
        <v/>
      </c>
      <c r="T260" s="34" t="str">
        <f t="shared" si="37"/>
        <v/>
      </c>
      <c r="U260" s="34" t="str">
        <f t="shared" si="37"/>
        <v/>
      </c>
      <c r="V260" s="34" t="str">
        <f t="shared" si="37"/>
        <v/>
      </c>
      <c r="W260" s="34" t="str">
        <f t="shared" si="37"/>
        <v/>
      </c>
      <c r="X260" s="34" t="str">
        <f t="shared" si="37"/>
        <v/>
      </c>
      <c r="Y260" s="34" t="str">
        <f t="shared" si="37"/>
        <v/>
      </c>
      <c r="Z260" s="34" t="str">
        <f t="shared" si="37"/>
        <v/>
      </c>
      <c r="AA260" s="34" t="str">
        <f t="shared" si="37"/>
        <v/>
      </c>
      <c r="AB260" s="34" t="str">
        <f t="shared" si="37"/>
        <v/>
      </c>
      <c r="AC260" s="34" t="str">
        <f t="shared" si="37"/>
        <v/>
      </c>
      <c r="AD260" s="34" t="str">
        <f t="shared" si="37"/>
        <v/>
      </c>
      <c r="AE260" s="34" t="str">
        <f t="shared" si="37"/>
        <v/>
      </c>
      <c r="AF260" s="34" t="str">
        <f t="shared" si="37"/>
        <v/>
      </c>
    </row>
    <row r="261">
      <c r="A261" s="42" t="str">
        <f>IF($A256="", "", "STATUS")</f>
        <v>STATUS</v>
      </c>
      <c r="B261" s="43" t="str">
        <f>IFERROR(__xludf.DUMMYFUNCTION("IF($A256="""","""",IF(B$5="""","""",LET(logStatus,IFNA(INDEX(DATA_LOG!$E:$E,MATCH(1,(DATA_LOG!$A:$A=$A256)*(TEXT(DATA_LOG!$B:$B,""yyyy-MM-dd"")=TEXT(DATE($P$3,MONTH(1&amp;$N$3),VALUE(LEFT(B$5,2))),""yyyy-MM-dd"")),0)),""""),IF(logStatus&lt;&gt;"""",UPPER(logStatus)"&amp;",IF(B260&lt;&gt;"""",IF(VALUE(B260)&gt;=9/24,""FD"",""HD""),IF(REGEXMATCH(B$5,""SUN""),""WO"",""-""))))))"),"-")</f>
        <v>-</v>
      </c>
      <c r="C261" s="43" t="str">
        <f>IFERROR(__xludf.DUMMYFUNCTION("IF($A256="""","""",IF(C$5="""","""",LET(logStatus,IFNA(INDEX(DATA_LOG!$E:$E,MATCH(1,(DATA_LOG!$A:$A=$A256)*(TEXT(DATA_LOG!$B:$B,""yyyy-MM-dd"")=TEXT(DATE($P$3,MONTH(1&amp;$N$3),VALUE(LEFT(C$5,2))),""yyyy-MM-dd"")),0)),""""),IF(logStatus&lt;&gt;"""",UPPER(logStatus)"&amp;",IF(C260&lt;&gt;"""",IF(VALUE(C260)&gt;=9/24,""FD"",""HD""),IF(REGEXMATCH(C$5,""SUN""),""WO"",""-""))))))"),"-")</f>
        <v>-</v>
      </c>
      <c r="D261" s="43" t="str">
        <f>IFERROR(__xludf.DUMMYFUNCTION("IF($A256="""","""",IF(D$5="""","""",LET(logStatus,IFNA(INDEX(DATA_LOG!$E:$E,MATCH(1,(DATA_LOG!$A:$A=$A256)*(TEXT(DATA_LOG!$B:$B,""yyyy-MM-dd"")=TEXT(DATE($P$3,MONTH(1&amp;$N$3),VALUE(LEFT(D$5,2))),""yyyy-MM-dd"")),0)),""""),IF(logStatus&lt;&gt;"""",UPPER(logStatus)"&amp;",IF(D260&lt;&gt;"""",IF(VALUE(D260)&gt;=9/24,""FD"",""HD""),IF(REGEXMATCH(D$5,""SUN""),""WO"",""-""))))))"),"-")</f>
        <v>-</v>
      </c>
      <c r="E261" s="43" t="str">
        <f>IFERROR(__xludf.DUMMYFUNCTION("IF($A256="""","""",IF(E$5="""","""",LET(logStatus,IFNA(INDEX(DATA_LOG!$E:$E,MATCH(1,(DATA_LOG!$A:$A=$A256)*(TEXT(DATA_LOG!$B:$B,""yyyy-MM-dd"")=TEXT(DATE($P$3,MONTH(1&amp;$N$3),VALUE(LEFT(E$5,2))),""yyyy-MM-dd"")),0)),""""),IF(logStatus&lt;&gt;"""",UPPER(logStatus)"&amp;",IF(E260&lt;&gt;"""",IF(VALUE(E260)&gt;=9/24,""FD"",""HD""),IF(REGEXMATCH(E$5,""SUN""),""WO"",""-""))))))"),"-")</f>
        <v>-</v>
      </c>
      <c r="F261" s="43" t="str">
        <f>IFERROR(__xludf.DUMMYFUNCTION("IF($A256="""","""",IF(F$5="""","""",LET(logStatus,IFNA(INDEX(DATA_LOG!$E:$E,MATCH(1,(DATA_LOG!$A:$A=$A256)*(TEXT(DATA_LOG!$B:$B,""yyyy-MM-dd"")=TEXT(DATE($P$3,MONTH(1&amp;$N$3),VALUE(LEFT(F$5,2))),""yyyy-MM-dd"")),0)),""""),IF(logStatus&lt;&gt;"""",UPPER(logStatus)"&amp;",IF(F260&lt;&gt;"""",IF(VALUE(F260)&gt;=9/24,""FD"",""HD""),IF(REGEXMATCH(F$5,""SUN""),""WO"",""-""))))))"),"-")</f>
        <v>-</v>
      </c>
      <c r="G261" s="43" t="str">
        <f>IFERROR(__xludf.DUMMYFUNCTION("IF($A256="""","""",IF(G$5="""","""",LET(logStatus,IFNA(INDEX(DATA_LOG!$E:$E,MATCH(1,(DATA_LOG!$A:$A=$A256)*(TEXT(DATA_LOG!$B:$B,""yyyy-MM-dd"")=TEXT(DATE($P$3,MONTH(1&amp;$N$3),VALUE(LEFT(G$5,2))),""yyyy-MM-dd"")),0)),""""),IF(logStatus&lt;&gt;"""",UPPER(logStatus)"&amp;",IF(G260&lt;&gt;"""",IF(VALUE(G260)&gt;=9/24,""FD"",""HD""),IF(REGEXMATCH(G$5,""SUN""),""WO"",""-""))))))"),"WO")</f>
        <v>WO</v>
      </c>
      <c r="H261" s="43" t="str">
        <f>IFERROR(__xludf.DUMMYFUNCTION("IF($A256="""","""",IF(H$5="""","""",LET(logStatus,IFNA(INDEX(DATA_LOG!$E:$E,MATCH(1,(DATA_LOG!$A:$A=$A256)*(TEXT(DATA_LOG!$B:$B,""yyyy-MM-dd"")=TEXT(DATE($P$3,MONTH(1&amp;$N$3),VALUE(LEFT(H$5,2))),""yyyy-MM-dd"")),0)),""""),IF(logStatus&lt;&gt;"""",UPPER(logStatus)"&amp;",IF(H260&lt;&gt;"""",IF(VALUE(H260)&gt;=9/24,""FD"",""HD""),IF(REGEXMATCH(H$5,""SUN""),""WO"",""-""))))))"),"-")</f>
        <v>-</v>
      </c>
      <c r="I261" s="43" t="str">
        <f>IFERROR(__xludf.DUMMYFUNCTION("IF($A256="""","""",IF(I$5="""","""",LET(logStatus,IFNA(INDEX(DATA_LOG!$E:$E,MATCH(1,(DATA_LOG!$A:$A=$A256)*(TEXT(DATA_LOG!$B:$B,""yyyy-MM-dd"")=TEXT(DATE($P$3,MONTH(1&amp;$N$3),VALUE(LEFT(I$5,2))),""yyyy-MM-dd"")),0)),""""),IF(logStatus&lt;&gt;"""",UPPER(logStatus)"&amp;",IF(I260&lt;&gt;"""",IF(VALUE(I260)&gt;=9/24,""FD"",""HD""),IF(REGEXMATCH(I$5,""SUN""),""WO"",""-""))))))"),"-")</f>
        <v>-</v>
      </c>
      <c r="J261" s="43" t="str">
        <f>IFERROR(__xludf.DUMMYFUNCTION("IF($A256="""","""",IF(J$5="""","""",LET(logStatus,IFNA(INDEX(DATA_LOG!$E:$E,MATCH(1,(DATA_LOG!$A:$A=$A256)*(TEXT(DATA_LOG!$B:$B,""yyyy-MM-dd"")=TEXT(DATE($P$3,MONTH(1&amp;$N$3),VALUE(LEFT(J$5,2))),""yyyy-MM-dd"")),0)),""""),IF(logStatus&lt;&gt;"""",UPPER(logStatus)"&amp;",IF(J260&lt;&gt;"""",IF(VALUE(J260)&gt;=9/24,""FD"",""HD""),IF(REGEXMATCH(J$5,""SUN""),""WO"",""-""))))))"),"-")</f>
        <v>-</v>
      </c>
      <c r="K261" s="43" t="str">
        <f>IFERROR(__xludf.DUMMYFUNCTION("IF($A256="""","""",IF(K$5="""","""",LET(logStatus,IFNA(INDEX(DATA_LOG!$E:$E,MATCH(1,(DATA_LOG!$A:$A=$A256)*(TEXT(DATA_LOG!$B:$B,""yyyy-MM-dd"")=TEXT(DATE($P$3,MONTH(1&amp;$N$3),VALUE(LEFT(K$5,2))),""yyyy-MM-dd"")),0)),""""),IF(logStatus&lt;&gt;"""",UPPER(logStatus)"&amp;",IF(K260&lt;&gt;"""",IF(VALUE(K260)&gt;=9/24,""FD"",""HD""),IF(REGEXMATCH(K$5,""SUN""),""WO"",""-""))))))"),"-")</f>
        <v>-</v>
      </c>
      <c r="L261" s="43" t="str">
        <f>IFERROR(__xludf.DUMMYFUNCTION("IF($A256="""","""",IF(L$5="""","""",LET(logStatus,IFNA(INDEX(DATA_LOG!$E:$E,MATCH(1,(DATA_LOG!$A:$A=$A256)*(TEXT(DATA_LOG!$B:$B,""yyyy-MM-dd"")=TEXT(DATE($P$3,MONTH(1&amp;$N$3),VALUE(LEFT(L$5,2))),""yyyy-MM-dd"")),0)),""""),IF(logStatus&lt;&gt;"""",UPPER(logStatus)"&amp;",IF(L260&lt;&gt;"""",IF(VALUE(L260)&gt;=9/24,""FD"",""HD""),IF(REGEXMATCH(L$5,""SUN""),""WO"",""-""))))))"),"-")</f>
        <v>-</v>
      </c>
      <c r="M261" s="43" t="str">
        <f>IFERROR(__xludf.DUMMYFUNCTION("IF($A256="""","""",IF(M$5="""","""",LET(logStatus,IFNA(INDEX(DATA_LOG!$E:$E,MATCH(1,(DATA_LOG!$A:$A=$A256)*(TEXT(DATA_LOG!$B:$B,""yyyy-MM-dd"")=TEXT(DATE($P$3,MONTH(1&amp;$N$3),VALUE(LEFT(M$5,2))),""yyyy-MM-dd"")),0)),""""),IF(logStatus&lt;&gt;"""",UPPER(logStatus)"&amp;",IF(M260&lt;&gt;"""",IF(VALUE(M260)&gt;=9/24,""FD"",""HD""),IF(REGEXMATCH(M$5,""SUN""),""WO"",""-""))))))"),"-")</f>
        <v>-</v>
      </c>
      <c r="N261" s="43" t="str">
        <f>IFERROR(__xludf.DUMMYFUNCTION("IF($A256="""","""",IF(N$5="""","""",LET(logStatus,IFNA(INDEX(DATA_LOG!$E:$E,MATCH(1,(DATA_LOG!$A:$A=$A256)*(TEXT(DATA_LOG!$B:$B,""yyyy-MM-dd"")=TEXT(DATE($P$3,MONTH(1&amp;$N$3),VALUE(LEFT(N$5,2))),""yyyy-MM-dd"")),0)),""""),IF(logStatus&lt;&gt;"""",UPPER(logStatus)"&amp;",IF(N260&lt;&gt;"""",IF(VALUE(N260)&gt;=9/24,""FD"",""HD""),IF(REGEXMATCH(N$5,""SUN""),""WO"",""-""))))))"),"WO")</f>
        <v>WO</v>
      </c>
      <c r="O261" s="43" t="str">
        <f>IFERROR(__xludf.DUMMYFUNCTION("IF($A256="""","""",IF(O$5="""","""",LET(logStatus,IFNA(INDEX(DATA_LOG!$E:$E,MATCH(1,(DATA_LOG!$A:$A=$A256)*(TEXT(DATA_LOG!$B:$B,""yyyy-MM-dd"")=TEXT(DATE($P$3,MONTH(1&amp;$N$3),VALUE(LEFT(O$5,2))),""yyyy-MM-dd"")),0)),""""),IF(logStatus&lt;&gt;"""",UPPER(logStatus)"&amp;",IF(O260&lt;&gt;"""",IF(VALUE(O260)&gt;=9/24,""FD"",""HD""),IF(REGEXMATCH(O$5,""SUN""),""WO"",""-""))))))"),"-")</f>
        <v>-</v>
      </c>
      <c r="P261" s="43" t="str">
        <f>IFERROR(__xludf.DUMMYFUNCTION("IF($A256="""","""",IF(P$5="""","""",LET(logStatus,IFNA(INDEX(DATA_LOG!$E:$E,MATCH(1,(DATA_LOG!$A:$A=$A256)*(TEXT(DATA_LOG!$B:$B,""yyyy-MM-dd"")=TEXT(DATE($P$3,MONTH(1&amp;$N$3),VALUE(LEFT(P$5,2))),""yyyy-MM-dd"")),0)),""""),IF(logStatus&lt;&gt;"""",UPPER(logStatus)"&amp;",IF(P260&lt;&gt;"""",IF(VALUE(P260)&gt;=9/24,""FD"",""HD""),IF(REGEXMATCH(P$5,""SUN""),""WO"",""-""))))))"),"-")</f>
        <v>-</v>
      </c>
      <c r="Q261" s="43" t="str">
        <f>IFERROR(__xludf.DUMMYFUNCTION("IF($A256="""","""",IF(Q$5="""","""",LET(logStatus,IFNA(INDEX(DATA_LOG!$E:$E,MATCH(1,(DATA_LOG!$A:$A=$A256)*(TEXT(DATA_LOG!$B:$B,""yyyy-MM-dd"")=TEXT(DATE($P$3,MONTH(1&amp;$N$3),VALUE(LEFT(Q$5,2))),""yyyy-MM-dd"")),0)),""""),IF(logStatus&lt;&gt;"""",UPPER(logStatus)"&amp;",IF(Q260&lt;&gt;"""",IF(VALUE(Q260)&gt;=9/24,""FD"",""HD""),IF(REGEXMATCH(Q$5,""SUN""),""WO"",""-""))))))"),"-")</f>
        <v>-</v>
      </c>
      <c r="R261" s="43" t="str">
        <f>IFERROR(__xludf.DUMMYFUNCTION("IF($A256="""","""",IF(R$5="""","""",LET(logStatus,IFNA(INDEX(DATA_LOG!$E:$E,MATCH(1,(DATA_LOG!$A:$A=$A256)*(TEXT(DATA_LOG!$B:$B,""yyyy-MM-dd"")=TEXT(DATE($P$3,MONTH(1&amp;$N$3),VALUE(LEFT(R$5,2))),""yyyy-MM-dd"")),0)),""""),IF(logStatus&lt;&gt;"""",UPPER(logStatus)"&amp;",IF(R260&lt;&gt;"""",IF(VALUE(R260)&gt;=9/24,""FD"",""HD""),IF(REGEXMATCH(R$5,""SUN""),""WO"",""-""))))))"),"-")</f>
        <v>-</v>
      </c>
      <c r="S261" s="43" t="str">
        <f>IFERROR(__xludf.DUMMYFUNCTION("IF($A256="""","""",IF(S$5="""","""",LET(logStatus,IFNA(INDEX(DATA_LOG!$E:$E,MATCH(1,(DATA_LOG!$A:$A=$A256)*(TEXT(DATA_LOG!$B:$B,""yyyy-MM-dd"")=TEXT(DATE($P$3,MONTH(1&amp;$N$3),VALUE(LEFT(S$5,2))),""yyyy-MM-dd"")),0)),""""),IF(logStatus&lt;&gt;"""",UPPER(logStatus)"&amp;",IF(S260&lt;&gt;"""",IF(VALUE(S260)&gt;=9/24,""FD"",""HD""),IF(REGEXMATCH(S$5,""SUN""),""WO"",""-""))))))"),"-")</f>
        <v>-</v>
      </c>
      <c r="T261" s="43" t="str">
        <f>IFERROR(__xludf.DUMMYFUNCTION("IF($A256="""","""",IF(T$5="""","""",LET(logStatus,IFNA(INDEX(DATA_LOG!$E:$E,MATCH(1,(DATA_LOG!$A:$A=$A256)*(TEXT(DATA_LOG!$B:$B,""yyyy-MM-dd"")=TEXT(DATE($P$3,MONTH(1&amp;$N$3),VALUE(LEFT(T$5,2))),""yyyy-MM-dd"")),0)),""""),IF(logStatus&lt;&gt;"""",UPPER(logStatus)"&amp;",IF(T260&lt;&gt;"""",IF(VALUE(T260)&gt;=9/24,""FD"",""HD""),IF(REGEXMATCH(T$5,""SUN""),""WO"",""-""))))))"),"-")</f>
        <v>-</v>
      </c>
      <c r="U261" s="43" t="str">
        <f>IFERROR(__xludf.DUMMYFUNCTION("IF($A256="""","""",IF(U$5="""","""",LET(logStatus,IFNA(INDEX(DATA_LOG!$E:$E,MATCH(1,(DATA_LOG!$A:$A=$A256)*(TEXT(DATA_LOG!$B:$B,""yyyy-MM-dd"")=TEXT(DATE($P$3,MONTH(1&amp;$N$3),VALUE(LEFT(U$5,2))),""yyyy-MM-dd"")),0)),""""),IF(logStatus&lt;&gt;"""",UPPER(logStatus)"&amp;",IF(U260&lt;&gt;"""",IF(VALUE(U260)&gt;=9/24,""FD"",""HD""),IF(REGEXMATCH(U$5,""SUN""),""WO"",""-""))))))"),"WO")</f>
        <v>WO</v>
      </c>
      <c r="V261" s="43" t="str">
        <f>IFERROR(__xludf.DUMMYFUNCTION("IF($A256="""","""",IF(V$5="""","""",LET(logStatus,IFNA(INDEX(DATA_LOG!$E:$E,MATCH(1,(DATA_LOG!$A:$A=$A256)*(TEXT(DATA_LOG!$B:$B,""yyyy-MM-dd"")=TEXT(DATE($P$3,MONTH(1&amp;$N$3),VALUE(LEFT(V$5,2))),""yyyy-MM-dd"")),0)),""""),IF(logStatus&lt;&gt;"""",UPPER(logStatus)"&amp;",IF(V260&lt;&gt;"""",IF(VALUE(V260)&gt;=9/24,""FD"",""HD""),IF(REGEXMATCH(V$5,""SUN""),""WO"",""-""))))))"),"-")</f>
        <v>-</v>
      </c>
      <c r="W261" s="43" t="str">
        <f>IFERROR(__xludf.DUMMYFUNCTION("IF($A256="""","""",IF(W$5="""","""",LET(logStatus,IFNA(INDEX(DATA_LOG!$E:$E,MATCH(1,(DATA_LOG!$A:$A=$A256)*(TEXT(DATA_LOG!$B:$B,""yyyy-MM-dd"")=TEXT(DATE($P$3,MONTH(1&amp;$N$3),VALUE(LEFT(W$5,2))),""yyyy-MM-dd"")),0)),""""),IF(logStatus&lt;&gt;"""",UPPER(logStatus)"&amp;",IF(W260&lt;&gt;"""",IF(VALUE(W260)&gt;=9/24,""FD"",""HD""),IF(REGEXMATCH(W$5,""SUN""),""WO"",""-""))))))"),"-")</f>
        <v>-</v>
      </c>
      <c r="X261" s="43" t="str">
        <f>IFERROR(__xludf.DUMMYFUNCTION("IF($A256="""","""",IF(X$5="""","""",LET(logStatus,IFNA(INDEX(DATA_LOG!$E:$E,MATCH(1,(DATA_LOG!$A:$A=$A256)*(TEXT(DATA_LOG!$B:$B,""yyyy-MM-dd"")=TEXT(DATE($P$3,MONTH(1&amp;$N$3),VALUE(LEFT(X$5,2))),""yyyy-MM-dd"")),0)),""""),IF(logStatus&lt;&gt;"""",UPPER(logStatus)"&amp;",IF(X260&lt;&gt;"""",IF(VALUE(X260)&gt;=9/24,""FD"",""HD""),IF(REGEXMATCH(X$5,""SUN""),""WO"",""-""))))))"),"-")</f>
        <v>-</v>
      </c>
      <c r="Y261" s="43" t="str">
        <f>IFERROR(__xludf.DUMMYFUNCTION("IF($A256="""","""",IF(Y$5="""","""",LET(logStatus,IFNA(INDEX(DATA_LOG!$E:$E,MATCH(1,(DATA_LOG!$A:$A=$A256)*(TEXT(DATA_LOG!$B:$B,""yyyy-MM-dd"")=TEXT(DATE($P$3,MONTH(1&amp;$N$3),VALUE(LEFT(Y$5,2))),""yyyy-MM-dd"")),0)),""""),IF(logStatus&lt;&gt;"""",UPPER(logStatus)"&amp;",IF(Y260&lt;&gt;"""",IF(VALUE(Y260)&gt;=9/24,""FD"",""HD""),IF(REGEXMATCH(Y$5,""SUN""),""WO"",""-""))))))"),"-")</f>
        <v>-</v>
      </c>
      <c r="Z261" s="43" t="str">
        <f>IFERROR(__xludf.DUMMYFUNCTION("IF($A256="""","""",IF(Z$5="""","""",LET(logStatus,IFNA(INDEX(DATA_LOG!$E:$E,MATCH(1,(DATA_LOG!$A:$A=$A256)*(TEXT(DATA_LOG!$B:$B,""yyyy-MM-dd"")=TEXT(DATE($P$3,MONTH(1&amp;$N$3),VALUE(LEFT(Z$5,2))),""yyyy-MM-dd"")),0)),""""),IF(logStatus&lt;&gt;"""",UPPER(logStatus)"&amp;",IF(Z260&lt;&gt;"""",IF(VALUE(Z260)&gt;=9/24,""FD"",""HD""),IF(REGEXMATCH(Z$5,""SUN""),""WO"",""-""))))))"),"-")</f>
        <v>-</v>
      </c>
      <c r="AA261" s="43" t="str">
        <f>IFERROR(__xludf.DUMMYFUNCTION("IF($A256="""","""",IF(AA$5="""","""",LET(logStatus,IFNA(INDEX(DATA_LOG!$E:$E,MATCH(1,(DATA_LOG!$A:$A=$A256)*(TEXT(DATA_LOG!$B:$B,""yyyy-MM-dd"")=TEXT(DATE($P$3,MONTH(1&amp;$N$3),VALUE(LEFT(AA$5,2))),""yyyy-MM-dd"")),0)),""""),IF(logStatus&lt;&gt;"""",UPPER(logStatu"&amp;"s),IF(AA260&lt;&gt;"""",IF(VALUE(AA260)&gt;=9/24,""FD"",""HD""),IF(REGEXMATCH(AA$5,""SUN""),""WO"",""-""))))))"),"-")</f>
        <v>-</v>
      </c>
      <c r="AB261" s="43" t="str">
        <f>IFERROR(__xludf.DUMMYFUNCTION("IF($A256="""","""",IF(AB$5="""","""",LET(logStatus,IFNA(INDEX(DATA_LOG!$E:$E,MATCH(1,(DATA_LOG!$A:$A=$A256)*(TEXT(DATA_LOG!$B:$B,""yyyy-MM-dd"")=TEXT(DATE($P$3,MONTH(1&amp;$N$3),VALUE(LEFT(AB$5,2))),""yyyy-MM-dd"")),0)),""""),IF(logStatus&lt;&gt;"""",UPPER(logStatu"&amp;"s),IF(AB260&lt;&gt;"""",IF(VALUE(AB260)&gt;=9/24,""FD"",""HD""),IF(REGEXMATCH(AB$5,""SUN""),""WO"",""-""))))))"),"WO")</f>
        <v>WO</v>
      </c>
      <c r="AC261" s="43" t="str">
        <f>IFERROR(__xludf.DUMMYFUNCTION("IF($A256="""","""",IF(AC$5="""","""",LET(logStatus,IFNA(INDEX(DATA_LOG!$E:$E,MATCH(1,(DATA_LOG!$A:$A=$A256)*(TEXT(DATA_LOG!$B:$B,""yyyy-MM-dd"")=TEXT(DATE($P$3,MONTH(1&amp;$N$3),VALUE(LEFT(AC$5,2))),""yyyy-MM-dd"")),0)),""""),IF(logStatus&lt;&gt;"""",UPPER(logStatu"&amp;"s),IF(AC260&lt;&gt;"""",IF(VALUE(AC260)&gt;=9/24,""FD"",""HD""),IF(REGEXMATCH(AC$5,""SUN""),""WO"",""-""))))))"),"-")</f>
        <v>-</v>
      </c>
      <c r="AD261" s="43" t="str">
        <f>IFERROR(__xludf.DUMMYFUNCTION("IF($A256="""","""",IF(AD$5="""","""",LET(logStatus,IFNA(INDEX(DATA_LOG!$E:$E,MATCH(1,(DATA_LOG!$A:$A=$A256)*(TEXT(DATA_LOG!$B:$B,""yyyy-MM-dd"")=TEXT(DATE($P$3,MONTH(1&amp;$N$3),VALUE(LEFT(AD$5,2))),""yyyy-MM-dd"")),0)),""""),IF(logStatus&lt;&gt;"""",UPPER(logStatu"&amp;"s),IF(AD260&lt;&gt;"""",IF(VALUE(AD260)&gt;=9/24,""FD"",""HD""),IF(REGEXMATCH(AD$5,""SUN""),""WO"",""-""))))))"),"-")</f>
        <v>-</v>
      </c>
      <c r="AE261" s="43" t="str">
        <f>IFERROR(__xludf.DUMMYFUNCTION("IF($A256="""","""",IF(AE$5="""","""",LET(logStatus,IFNA(INDEX(DATA_LOG!$E:$E,MATCH(1,(DATA_LOG!$A:$A=$A256)*(TEXT(DATA_LOG!$B:$B,""yyyy-MM-dd"")=TEXT(DATE($P$3,MONTH(1&amp;$N$3),VALUE(LEFT(AE$5,2))),""yyyy-MM-dd"")),0)),""""),IF(logStatus&lt;&gt;"""",UPPER(logStatu"&amp;"s),IF(AE260&lt;&gt;"""",IF(VALUE(AE260)&gt;=9/24,""FD"",""HD""),IF(REGEXMATCH(AE$5,""SUN""),""WO"",""-""))))))"),"-")</f>
        <v>-</v>
      </c>
      <c r="AF261" s="43" t="str">
        <f>IFERROR(__xludf.DUMMYFUNCTION("IF($A256="""","""",IF(AF$5="""","""",LET(logStatus,IFNA(INDEX(DATA_LOG!$E:$E,MATCH(1,(DATA_LOG!$A:$A=$A256)*(TEXT(DATA_LOG!$B:$B,""yyyy-MM-dd"")=TEXT(DATE($P$3,MONTH(1&amp;$N$3),VALUE(LEFT(AF$5,2))),""yyyy-MM-dd"")),0)),""""),IF(logStatus&lt;&gt;"""",UPPER(logStatu"&amp;"s),IF(AF260&lt;&gt;"""",IF(VALUE(AF260)&gt;=9/24,""FD"",""HD""),IF(REGEXMATCH(AF$5,""SUN""),""WO"",""-""))))))"),"")</f>
        <v/>
      </c>
    </row>
    <row r="262">
      <c r="A262" s="44"/>
    </row>
    <row r="263">
      <c r="A263" s="25" t="str">
        <f>EMPLOYEE_LIST!A17</f>
        <v>BHOJ PRASAD MAKRAM</v>
      </c>
      <c r="B263" s="26"/>
      <c r="C263" s="27"/>
      <c r="D263" s="28" t="str">
        <f>IF(A263="", "", IFERROR(VLOOKUP(A263, EMPLOYEE_LIST!$A:$H, 2, FALSE), ""))</f>
        <v>AYV-84</v>
      </c>
      <c r="E263" s="26"/>
      <c r="F263" s="26"/>
      <c r="G263" s="27"/>
      <c r="H263" s="29" t="str">
        <f>IF(A263="", "", IFERROR(VLOOKUP(A263, EMPLOYEE_LIST!$A:$H, 3, FALSE), ""))</f>
        <v>OPERATOR</v>
      </c>
      <c r="I263" s="26"/>
      <c r="J263" s="26"/>
      <c r="K263" s="27"/>
      <c r="L263" s="29" t="str">
        <f>IF(A263="", "", IFERROR(VLOOKUP(A263, EMPLOYEE_LIST!$A:$H, 4, FALSE), ""))</f>
        <v>AJAX OPERATOR</v>
      </c>
      <c r="M263" s="26"/>
      <c r="N263" s="26"/>
      <c r="O263" s="27"/>
      <c r="P263" s="30" t="str">
        <f>IF($A263="", "", "Full Day: " &amp; COUNTIF(B268:AF268, "FD"))</f>
        <v>Full Day: 0</v>
      </c>
      <c r="Q263" s="26"/>
      <c r="R263" s="27"/>
      <c r="S263" s="31" t="str">
        <f>IF($A263="", "", "HALF Day: " &amp; COUNTIF(B268:AF268, "HD"))</f>
        <v>HALF Day: 0</v>
      </c>
      <c r="T263" s="26"/>
      <c r="U263" s="27"/>
      <c r="V263" s="31" t="str">
        <f>IF($A263="", "", "ABSENT: " &amp; COUNTIF(B268:AF268, "A"))</f>
        <v>ABSENT: 0</v>
      </c>
      <c r="W263" s="26"/>
      <c r="X263" s="27"/>
      <c r="Y263" s="31" t="str">
        <f>IF($A263="", "", "WEEK OFF: " &amp; COUNTIF(B268:AF268, "WO"))</f>
        <v>WEEK OFF: 4</v>
      </c>
      <c r="Z263" s="26"/>
      <c r="AA263" s="27"/>
      <c r="AB263" s="31" t="str">
        <f>IF($A263="", "", "LEAVE: " &amp; COUNTIF(B268:AF268, "L"))</f>
        <v>LEAVE: 0</v>
      </c>
      <c r="AC263" s="27"/>
      <c r="AD263" s="31" t="str">
        <f>IF($A263="", "", "HOLIDAY: " &amp; COUNTIF(B268:AF268, "HL"))</f>
        <v>HOLIDAY: 0</v>
      </c>
      <c r="AE263" s="26"/>
      <c r="AF263" s="27"/>
    </row>
    <row r="264">
      <c r="A264" s="48" t="str">
        <f>IF($A263="", "", "DATE")</f>
        <v>DATE</v>
      </c>
      <c r="B264" s="34" t="str">
        <f t="array" ref="B264:AE264">IF($A263="", "", LET( start, DATE(YEAR(TODAY()), MONTH(TODAY()), 1), days, DAY(EOMONTH(start, 0)), MAP(SEQUENCE(1, days, 0), LAMBDA(n, UPPER(TEXT(start + n, "dd (ddd)")))) ))</f>
        <v>01 (TUE)</v>
      </c>
      <c r="C264" s="34" t="s">
        <v>89</v>
      </c>
      <c r="D264" s="34" t="s">
        <v>90</v>
      </c>
      <c r="E264" s="34" t="s">
        <v>91</v>
      </c>
      <c r="F264" s="34" t="s">
        <v>92</v>
      </c>
      <c r="G264" s="34" t="s">
        <v>93</v>
      </c>
      <c r="H264" s="34" t="s">
        <v>94</v>
      </c>
      <c r="I264" s="34" t="s">
        <v>95</v>
      </c>
      <c r="J264" s="34" t="s">
        <v>96</v>
      </c>
      <c r="K264" s="34" t="s">
        <v>97</v>
      </c>
      <c r="L264" s="34" t="s">
        <v>98</v>
      </c>
      <c r="M264" s="34" t="s">
        <v>99</v>
      </c>
      <c r="N264" s="34" t="s">
        <v>100</v>
      </c>
      <c r="O264" s="34" t="s">
        <v>101</v>
      </c>
      <c r="P264" s="34" t="s">
        <v>102</v>
      </c>
      <c r="Q264" s="34" t="s">
        <v>103</v>
      </c>
      <c r="R264" s="34" t="s">
        <v>104</v>
      </c>
      <c r="S264" s="34" t="s">
        <v>105</v>
      </c>
      <c r="T264" s="34" t="s">
        <v>106</v>
      </c>
      <c r="U264" s="34" t="s">
        <v>107</v>
      </c>
      <c r="V264" s="34" t="s">
        <v>108</v>
      </c>
      <c r="W264" s="34" t="s">
        <v>109</v>
      </c>
      <c r="X264" s="34" t="s">
        <v>110</v>
      </c>
      <c r="Y264" s="34" t="s">
        <v>111</v>
      </c>
      <c r="Z264" s="34" t="s">
        <v>112</v>
      </c>
      <c r="AA264" s="34" t="s">
        <v>113</v>
      </c>
      <c r="AB264" s="34" t="s">
        <v>114</v>
      </c>
      <c r="AC264" s="34" t="s">
        <v>115</v>
      </c>
      <c r="AD264" s="34" t="s">
        <v>116</v>
      </c>
      <c r="AE264" s="34" t="s">
        <v>117</v>
      </c>
      <c r="AF264" s="34"/>
    </row>
    <row r="265">
      <c r="A265" s="48" t="str">
        <f>IF($A263="", "", "IN")</f>
        <v>IN</v>
      </c>
      <c r="B265" s="49"/>
      <c r="C265" s="49"/>
      <c r="D265" s="49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</row>
    <row r="266">
      <c r="A266" s="48" t="str">
        <f>IF($A263="", "", "OUT")</f>
        <v>OUT</v>
      </c>
      <c r="B266" s="49"/>
      <c r="C266" s="49"/>
      <c r="D266" s="49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</row>
    <row r="267">
      <c r="A267" s="42" t="str">
        <f>IF($A263="", "", "TOTAL")</f>
        <v>TOTAL</v>
      </c>
      <c r="B267" s="34" t="str">
        <f t="shared" ref="B267:AF267" si="38">IF(AND(B265&lt;&gt;"",B266&lt;&gt;""),TEXT(MOD(B266-B265,1),"hh:mm"),"")</f>
        <v/>
      </c>
      <c r="C267" s="34" t="str">
        <f t="shared" si="38"/>
        <v/>
      </c>
      <c r="D267" s="34" t="str">
        <f t="shared" si="38"/>
        <v/>
      </c>
      <c r="E267" s="34" t="str">
        <f t="shared" si="38"/>
        <v/>
      </c>
      <c r="F267" s="34" t="str">
        <f t="shared" si="38"/>
        <v/>
      </c>
      <c r="G267" s="34" t="str">
        <f t="shared" si="38"/>
        <v/>
      </c>
      <c r="H267" s="34" t="str">
        <f t="shared" si="38"/>
        <v/>
      </c>
      <c r="I267" s="34" t="str">
        <f t="shared" si="38"/>
        <v/>
      </c>
      <c r="J267" s="34" t="str">
        <f t="shared" si="38"/>
        <v/>
      </c>
      <c r="K267" s="34" t="str">
        <f t="shared" si="38"/>
        <v/>
      </c>
      <c r="L267" s="34" t="str">
        <f t="shared" si="38"/>
        <v/>
      </c>
      <c r="M267" s="34" t="str">
        <f t="shared" si="38"/>
        <v/>
      </c>
      <c r="N267" s="34" t="str">
        <f t="shared" si="38"/>
        <v/>
      </c>
      <c r="O267" s="34" t="str">
        <f t="shared" si="38"/>
        <v/>
      </c>
      <c r="P267" s="34" t="str">
        <f t="shared" si="38"/>
        <v/>
      </c>
      <c r="Q267" s="34" t="str">
        <f t="shared" si="38"/>
        <v/>
      </c>
      <c r="R267" s="34" t="str">
        <f t="shared" si="38"/>
        <v/>
      </c>
      <c r="S267" s="34" t="str">
        <f t="shared" si="38"/>
        <v/>
      </c>
      <c r="T267" s="34" t="str">
        <f t="shared" si="38"/>
        <v/>
      </c>
      <c r="U267" s="34" t="str">
        <f t="shared" si="38"/>
        <v/>
      </c>
      <c r="V267" s="34" t="str">
        <f t="shared" si="38"/>
        <v/>
      </c>
      <c r="W267" s="34" t="str">
        <f t="shared" si="38"/>
        <v/>
      </c>
      <c r="X267" s="34" t="str">
        <f t="shared" si="38"/>
        <v/>
      </c>
      <c r="Y267" s="34" t="str">
        <f t="shared" si="38"/>
        <v/>
      </c>
      <c r="Z267" s="34" t="str">
        <f t="shared" si="38"/>
        <v/>
      </c>
      <c r="AA267" s="34" t="str">
        <f t="shared" si="38"/>
        <v/>
      </c>
      <c r="AB267" s="34" t="str">
        <f t="shared" si="38"/>
        <v/>
      </c>
      <c r="AC267" s="34" t="str">
        <f t="shared" si="38"/>
        <v/>
      </c>
      <c r="AD267" s="34" t="str">
        <f t="shared" si="38"/>
        <v/>
      </c>
      <c r="AE267" s="34" t="str">
        <f t="shared" si="38"/>
        <v/>
      </c>
      <c r="AF267" s="34" t="str">
        <f t="shared" si="38"/>
        <v/>
      </c>
    </row>
    <row r="268">
      <c r="A268" s="42" t="str">
        <f>IF($A263="", "", "STATUS")</f>
        <v>STATUS</v>
      </c>
      <c r="B268" s="43" t="str">
        <f>IFERROR(__xludf.DUMMYFUNCTION("IF($A263="""","""",IF(B$5="""","""",LET(logStatus,IFNA(INDEX(DATA_LOG!$E:$E,MATCH(1,(DATA_LOG!$A:$A=$A263)*(TEXT(DATA_LOG!$B:$B,""yyyy-MM-dd"")=TEXT(DATE($P$3,MONTH(1&amp;$N$3),VALUE(LEFT(B$5,2))),""yyyy-MM-dd"")),0)),""""),IF(logStatus&lt;&gt;"""",UPPER(logStatus)"&amp;",IF(B267&lt;&gt;"""",IF(VALUE(B267)&gt;=9/24,""FD"",""HD""),IF(REGEXMATCH(B$5,""SUN""),""WO"",""-""))))))"),"-")</f>
        <v>-</v>
      </c>
      <c r="C268" s="43" t="str">
        <f>IFERROR(__xludf.DUMMYFUNCTION("IF($A263="""","""",IF(C$5="""","""",LET(logStatus,IFNA(INDEX(DATA_LOG!$E:$E,MATCH(1,(DATA_LOG!$A:$A=$A263)*(TEXT(DATA_LOG!$B:$B,""yyyy-MM-dd"")=TEXT(DATE($P$3,MONTH(1&amp;$N$3),VALUE(LEFT(C$5,2))),""yyyy-MM-dd"")),0)),""""),IF(logStatus&lt;&gt;"""",UPPER(logStatus)"&amp;",IF(C267&lt;&gt;"""",IF(VALUE(C267)&gt;=9/24,""FD"",""HD""),IF(REGEXMATCH(C$5,""SUN""),""WO"",""-""))))))"),"-")</f>
        <v>-</v>
      </c>
      <c r="D268" s="43" t="str">
        <f>IFERROR(__xludf.DUMMYFUNCTION("IF($A263="""","""",IF(D$5="""","""",LET(logStatus,IFNA(INDEX(DATA_LOG!$E:$E,MATCH(1,(DATA_LOG!$A:$A=$A263)*(TEXT(DATA_LOG!$B:$B,""yyyy-MM-dd"")=TEXT(DATE($P$3,MONTH(1&amp;$N$3),VALUE(LEFT(D$5,2))),""yyyy-MM-dd"")),0)),""""),IF(logStatus&lt;&gt;"""",UPPER(logStatus)"&amp;",IF(D267&lt;&gt;"""",IF(VALUE(D267)&gt;=9/24,""FD"",""HD""),IF(REGEXMATCH(D$5,""SUN""),""WO"",""-""))))))"),"-")</f>
        <v>-</v>
      </c>
      <c r="E268" s="43" t="str">
        <f>IFERROR(__xludf.DUMMYFUNCTION("IF($A263="""","""",IF(E$5="""","""",LET(logStatus,IFNA(INDEX(DATA_LOG!$E:$E,MATCH(1,(DATA_LOG!$A:$A=$A263)*(TEXT(DATA_LOG!$B:$B,""yyyy-MM-dd"")=TEXT(DATE($P$3,MONTH(1&amp;$N$3),VALUE(LEFT(E$5,2))),""yyyy-MM-dd"")),0)),""""),IF(logStatus&lt;&gt;"""",UPPER(logStatus)"&amp;",IF(E267&lt;&gt;"""",IF(VALUE(E267)&gt;=9/24,""FD"",""HD""),IF(REGEXMATCH(E$5,""SUN""),""WO"",""-""))))))"),"-")</f>
        <v>-</v>
      </c>
      <c r="F268" s="43" t="str">
        <f>IFERROR(__xludf.DUMMYFUNCTION("IF($A263="""","""",IF(F$5="""","""",LET(logStatus,IFNA(INDEX(DATA_LOG!$E:$E,MATCH(1,(DATA_LOG!$A:$A=$A263)*(TEXT(DATA_LOG!$B:$B,""yyyy-MM-dd"")=TEXT(DATE($P$3,MONTH(1&amp;$N$3),VALUE(LEFT(F$5,2))),""yyyy-MM-dd"")),0)),""""),IF(logStatus&lt;&gt;"""",UPPER(logStatus)"&amp;",IF(F267&lt;&gt;"""",IF(VALUE(F267)&gt;=9/24,""FD"",""HD""),IF(REGEXMATCH(F$5,""SUN""),""WO"",""-""))))))"),"-")</f>
        <v>-</v>
      </c>
      <c r="G268" s="43" t="str">
        <f>IFERROR(__xludf.DUMMYFUNCTION("IF($A263="""","""",IF(G$5="""","""",LET(logStatus,IFNA(INDEX(DATA_LOG!$E:$E,MATCH(1,(DATA_LOG!$A:$A=$A263)*(TEXT(DATA_LOG!$B:$B,""yyyy-MM-dd"")=TEXT(DATE($P$3,MONTH(1&amp;$N$3),VALUE(LEFT(G$5,2))),""yyyy-MM-dd"")),0)),""""),IF(logStatus&lt;&gt;"""",UPPER(logStatus)"&amp;",IF(G267&lt;&gt;"""",IF(VALUE(G267)&gt;=9/24,""FD"",""HD""),IF(REGEXMATCH(G$5,""SUN""),""WO"",""-""))))))"),"WO")</f>
        <v>WO</v>
      </c>
      <c r="H268" s="43" t="str">
        <f>IFERROR(__xludf.DUMMYFUNCTION("IF($A263="""","""",IF(H$5="""","""",LET(logStatus,IFNA(INDEX(DATA_LOG!$E:$E,MATCH(1,(DATA_LOG!$A:$A=$A263)*(TEXT(DATA_LOG!$B:$B,""yyyy-MM-dd"")=TEXT(DATE($P$3,MONTH(1&amp;$N$3),VALUE(LEFT(H$5,2))),""yyyy-MM-dd"")),0)),""""),IF(logStatus&lt;&gt;"""",UPPER(logStatus)"&amp;",IF(H267&lt;&gt;"""",IF(VALUE(H267)&gt;=9/24,""FD"",""HD""),IF(REGEXMATCH(H$5,""SUN""),""WO"",""-""))))))"),"-")</f>
        <v>-</v>
      </c>
      <c r="I268" s="43" t="str">
        <f>IFERROR(__xludf.DUMMYFUNCTION("IF($A263="""","""",IF(I$5="""","""",LET(logStatus,IFNA(INDEX(DATA_LOG!$E:$E,MATCH(1,(DATA_LOG!$A:$A=$A263)*(TEXT(DATA_LOG!$B:$B,""yyyy-MM-dd"")=TEXT(DATE($P$3,MONTH(1&amp;$N$3),VALUE(LEFT(I$5,2))),""yyyy-MM-dd"")),0)),""""),IF(logStatus&lt;&gt;"""",UPPER(logStatus)"&amp;",IF(I267&lt;&gt;"""",IF(VALUE(I267)&gt;=9/24,""FD"",""HD""),IF(REGEXMATCH(I$5,""SUN""),""WO"",""-""))))))"),"-")</f>
        <v>-</v>
      </c>
      <c r="J268" s="43" t="str">
        <f>IFERROR(__xludf.DUMMYFUNCTION("IF($A263="""","""",IF(J$5="""","""",LET(logStatus,IFNA(INDEX(DATA_LOG!$E:$E,MATCH(1,(DATA_LOG!$A:$A=$A263)*(TEXT(DATA_LOG!$B:$B,""yyyy-MM-dd"")=TEXT(DATE($P$3,MONTH(1&amp;$N$3),VALUE(LEFT(J$5,2))),""yyyy-MM-dd"")),0)),""""),IF(logStatus&lt;&gt;"""",UPPER(logStatus)"&amp;",IF(J267&lt;&gt;"""",IF(VALUE(J267)&gt;=9/24,""FD"",""HD""),IF(REGEXMATCH(J$5,""SUN""),""WO"",""-""))))))"),"-")</f>
        <v>-</v>
      </c>
      <c r="K268" s="43" t="str">
        <f>IFERROR(__xludf.DUMMYFUNCTION("IF($A263="""","""",IF(K$5="""","""",LET(logStatus,IFNA(INDEX(DATA_LOG!$E:$E,MATCH(1,(DATA_LOG!$A:$A=$A263)*(TEXT(DATA_LOG!$B:$B,""yyyy-MM-dd"")=TEXT(DATE($P$3,MONTH(1&amp;$N$3),VALUE(LEFT(K$5,2))),""yyyy-MM-dd"")),0)),""""),IF(logStatus&lt;&gt;"""",UPPER(logStatus)"&amp;",IF(K267&lt;&gt;"""",IF(VALUE(K267)&gt;=9/24,""FD"",""HD""),IF(REGEXMATCH(K$5,""SUN""),""WO"",""-""))))))"),"-")</f>
        <v>-</v>
      </c>
      <c r="L268" s="43" t="str">
        <f>IFERROR(__xludf.DUMMYFUNCTION("IF($A263="""","""",IF(L$5="""","""",LET(logStatus,IFNA(INDEX(DATA_LOG!$E:$E,MATCH(1,(DATA_LOG!$A:$A=$A263)*(TEXT(DATA_LOG!$B:$B,""yyyy-MM-dd"")=TEXT(DATE($P$3,MONTH(1&amp;$N$3),VALUE(LEFT(L$5,2))),""yyyy-MM-dd"")),0)),""""),IF(logStatus&lt;&gt;"""",UPPER(logStatus)"&amp;",IF(L267&lt;&gt;"""",IF(VALUE(L267)&gt;=9/24,""FD"",""HD""),IF(REGEXMATCH(L$5,""SUN""),""WO"",""-""))))))"),"-")</f>
        <v>-</v>
      </c>
      <c r="M268" s="43" t="str">
        <f>IFERROR(__xludf.DUMMYFUNCTION("IF($A263="""","""",IF(M$5="""","""",LET(logStatus,IFNA(INDEX(DATA_LOG!$E:$E,MATCH(1,(DATA_LOG!$A:$A=$A263)*(TEXT(DATA_LOG!$B:$B,""yyyy-MM-dd"")=TEXT(DATE($P$3,MONTH(1&amp;$N$3),VALUE(LEFT(M$5,2))),""yyyy-MM-dd"")),0)),""""),IF(logStatus&lt;&gt;"""",UPPER(logStatus)"&amp;",IF(M267&lt;&gt;"""",IF(VALUE(M267)&gt;=9/24,""FD"",""HD""),IF(REGEXMATCH(M$5,""SUN""),""WO"",""-""))))))"),"-")</f>
        <v>-</v>
      </c>
      <c r="N268" s="43" t="str">
        <f>IFERROR(__xludf.DUMMYFUNCTION("IF($A263="""","""",IF(N$5="""","""",LET(logStatus,IFNA(INDEX(DATA_LOG!$E:$E,MATCH(1,(DATA_LOG!$A:$A=$A263)*(TEXT(DATA_LOG!$B:$B,""yyyy-MM-dd"")=TEXT(DATE($P$3,MONTH(1&amp;$N$3),VALUE(LEFT(N$5,2))),""yyyy-MM-dd"")),0)),""""),IF(logStatus&lt;&gt;"""",UPPER(logStatus)"&amp;",IF(N267&lt;&gt;"""",IF(VALUE(N267)&gt;=9/24,""FD"",""HD""),IF(REGEXMATCH(N$5,""SUN""),""WO"",""-""))))))"),"WO")</f>
        <v>WO</v>
      </c>
      <c r="O268" s="43" t="str">
        <f>IFERROR(__xludf.DUMMYFUNCTION("IF($A263="""","""",IF(O$5="""","""",LET(logStatus,IFNA(INDEX(DATA_LOG!$E:$E,MATCH(1,(DATA_LOG!$A:$A=$A263)*(TEXT(DATA_LOG!$B:$B,""yyyy-MM-dd"")=TEXT(DATE($P$3,MONTH(1&amp;$N$3),VALUE(LEFT(O$5,2))),""yyyy-MM-dd"")),0)),""""),IF(logStatus&lt;&gt;"""",UPPER(logStatus)"&amp;",IF(O267&lt;&gt;"""",IF(VALUE(O267)&gt;=9/24,""FD"",""HD""),IF(REGEXMATCH(O$5,""SUN""),""WO"",""-""))))))"),"-")</f>
        <v>-</v>
      </c>
      <c r="P268" s="43" t="str">
        <f>IFERROR(__xludf.DUMMYFUNCTION("IF($A263="""","""",IF(P$5="""","""",LET(logStatus,IFNA(INDEX(DATA_LOG!$E:$E,MATCH(1,(DATA_LOG!$A:$A=$A263)*(TEXT(DATA_LOG!$B:$B,""yyyy-MM-dd"")=TEXT(DATE($P$3,MONTH(1&amp;$N$3),VALUE(LEFT(P$5,2))),""yyyy-MM-dd"")),0)),""""),IF(logStatus&lt;&gt;"""",UPPER(logStatus)"&amp;",IF(P267&lt;&gt;"""",IF(VALUE(P267)&gt;=9/24,""FD"",""HD""),IF(REGEXMATCH(P$5,""SUN""),""WO"",""-""))))))"),"-")</f>
        <v>-</v>
      </c>
      <c r="Q268" s="43" t="str">
        <f>IFERROR(__xludf.DUMMYFUNCTION("IF($A263="""","""",IF(Q$5="""","""",LET(logStatus,IFNA(INDEX(DATA_LOG!$E:$E,MATCH(1,(DATA_LOG!$A:$A=$A263)*(TEXT(DATA_LOG!$B:$B,""yyyy-MM-dd"")=TEXT(DATE($P$3,MONTH(1&amp;$N$3),VALUE(LEFT(Q$5,2))),""yyyy-MM-dd"")),0)),""""),IF(logStatus&lt;&gt;"""",UPPER(logStatus)"&amp;",IF(Q267&lt;&gt;"""",IF(VALUE(Q267)&gt;=9/24,""FD"",""HD""),IF(REGEXMATCH(Q$5,""SUN""),""WO"",""-""))))))"),"-")</f>
        <v>-</v>
      </c>
      <c r="R268" s="43" t="str">
        <f>IFERROR(__xludf.DUMMYFUNCTION("IF($A263="""","""",IF(R$5="""","""",LET(logStatus,IFNA(INDEX(DATA_LOG!$E:$E,MATCH(1,(DATA_LOG!$A:$A=$A263)*(TEXT(DATA_LOG!$B:$B,""yyyy-MM-dd"")=TEXT(DATE($P$3,MONTH(1&amp;$N$3),VALUE(LEFT(R$5,2))),""yyyy-MM-dd"")),0)),""""),IF(logStatus&lt;&gt;"""",UPPER(logStatus)"&amp;",IF(R267&lt;&gt;"""",IF(VALUE(R267)&gt;=9/24,""FD"",""HD""),IF(REGEXMATCH(R$5,""SUN""),""WO"",""-""))))))"),"-")</f>
        <v>-</v>
      </c>
      <c r="S268" s="43" t="str">
        <f>IFERROR(__xludf.DUMMYFUNCTION("IF($A263="""","""",IF(S$5="""","""",LET(logStatus,IFNA(INDEX(DATA_LOG!$E:$E,MATCH(1,(DATA_LOG!$A:$A=$A263)*(TEXT(DATA_LOG!$B:$B,""yyyy-MM-dd"")=TEXT(DATE($P$3,MONTH(1&amp;$N$3),VALUE(LEFT(S$5,2))),""yyyy-MM-dd"")),0)),""""),IF(logStatus&lt;&gt;"""",UPPER(logStatus)"&amp;",IF(S267&lt;&gt;"""",IF(VALUE(S267)&gt;=9/24,""FD"",""HD""),IF(REGEXMATCH(S$5,""SUN""),""WO"",""-""))))))"),"-")</f>
        <v>-</v>
      </c>
      <c r="T268" s="43" t="str">
        <f>IFERROR(__xludf.DUMMYFUNCTION("IF($A263="""","""",IF(T$5="""","""",LET(logStatus,IFNA(INDEX(DATA_LOG!$E:$E,MATCH(1,(DATA_LOG!$A:$A=$A263)*(TEXT(DATA_LOG!$B:$B,""yyyy-MM-dd"")=TEXT(DATE($P$3,MONTH(1&amp;$N$3),VALUE(LEFT(T$5,2))),""yyyy-MM-dd"")),0)),""""),IF(logStatus&lt;&gt;"""",UPPER(logStatus)"&amp;",IF(T267&lt;&gt;"""",IF(VALUE(T267)&gt;=9/24,""FD"",""HD""),IF(REGEXMATCH(T$5,""SUN""),""WO"",""-""))))))"),"-")</f>
        <v>-</v>
      </c>
      <c r="U268" s="43" t="str">
        <f>IFERROR(__xludf.DUMMYFUNCTION("IF($A263="""","""",IF(U$5="""","""",LET(logStatus,IFNA(INDEX(DATA_LOG!$E:$E,MATCH(1,(DATA_LOG!$A:$A=$A263)*(TEXT(DATA_LOG!$B:$B,""yyyy-MM-dd"")=TEXT(DATE($P$3,MONTH(1&amp;$N$3),VALUE(LEFT(U$5,2))),""yyyy-MM-dd"")),0)),""""),IF(logStatus&lt;&gt;"""",UPPER(logStatus)"&amp;",IF(U267&lt;&gt;"""",IF(VALUE(U267)&gt;=9/24,""FD"",""HD""),IF(REGEXMATCH(U$5,""SUN""),""WO"",""-""))))))"),"WO")</f>
        <v>WO</v>
      </c>
      <c r="V268" s="43" t="str">
        <f>IFERROR(__xludf.DUMMYFUNCTION("IF($A263="""","""",IF(V$5="""","""",LET(logStatus,IFNA(INDEX(DATA_LOG!$E:$E,MATCH(1,(DATA_LOG!$A:$A=$A263)*(TEXT(DATA_LOG!$B:$B,""yyyy-MM-dd"")=TEXT(DATE($P$3,MONTH(1&amp;$N$3),VALUE(LEFT(V$5,2))),""yyyy-MM-dd"")),0)),""""),IF(logStatus&lt;&gt;"""",UPPER(logStatus)"&amp;",IF(V267&lt;&gt;"""",IF(VALUE(V267)&gt;=9/24,""FD"",""HD""),IF(REGEXMATCH(V$5,""SUN""),""WO"",""-""))))))"),"-")</f>
        <v>-</v>
      </c>
      <c r="W268" s="43" t="str">
        <f>IFERROR(__xludf.DUMMYFUNCTION("IF($A263="""","""",IF(W$5="""","""",LET(logStatus,IFNA(INDEX(DATA_LOG!$E:$E,MATCH(1,(DATA_LOG!$A:$A=$A263)*(TEXT(DATA_LOG!$B:$B,""yyyy-MM-dd"")=TEXT(DATE($P$3,MONTH(1&amp;$N$3),VALUE(LEFT(W$5,2))),""yyyy-MM-dd"")),0)),""""),IF(logStatus&lt;&gt;"""",UPPER(logStatus)"&amp;",IF(W267&lt;&gt;"""",IF(VALUE(W267)&gt;=9/24,""FD"",""HD""),IF(REGEXMATCH(W$5,""SUN""),""WO"",""-""))))))"),"-")</f>
        <v>-</v>
      </c>
      <c r="X268" s="43" t="str">
        <f>IFERROR(__xludf.DUMMYFUNCTION("IF($A263="""","""",IF(X$5="""","""",LET(logStatus,IFNA(INDEX(DATA_LOG!$E:$E,MATCH(1,(DATA_LOG!$A:$A=$A263)*(TEXT(DATA_LOG!$B:$B,""yyyy-MM-dd"")=TEXT(DATE($P$3,MONTH(1&amp;$N$3),VALUE(LEFT(X$5,2))),""yyyy-MM-dd"")),0)),""""),IF(logStatus&lt;&gt;"""",UPPER(logStatus)"&amp;",IF(X267&lt;&gt;"""",IF(VALUE(X267)&gt;=9/24,""FD"",""HD""),IF(REGEXMATCH(X$5,""SUN""),""WO"",""-""))))))"),"-")</f>
        <v>-</v>
      </c>
      <c r="Y268" s="43" t="str">
        <f>IFERROR(__xludf.DUMMYFUNCTION("IF($A263="""","""",IF(Y$5="""","""",LET(logStatus,IFNA(INDEX(DATA_LOG!$E:$E,MATCH(1,(DATA_LOG!$A:$A=$A263)*(TEXT(DATA_LOG!$B:$B,""yyyy-MM-dd"")=TEXT(DATE($P$3,MONTH(1&amp;$N$3),VALUE(LEFT(Y$5,2))),""yyyy-MM-dd"")),0)),""""),IF(logStatus&lt;&gt;"""",UPPER(logStatus)"&amp;",IF(Y267&lt;&gt;"""",IF(VALUE(Y267)&gt;=9/24,""FD"",""HD""),IF(REGEXMATCH(Y$5,""SUN""),""WO"",""-""))))))"),"-")</f>
        <v>-</v>
      </c>
      <c r="Z268" s="43" t="str">
        <f>IFERROR(__xludf.DUMMYFUNCTION("IF($A263="""","""",IF(Z$5="""","""",LET(logStatus,IFNA(INDEX(DATA_LOG!$E:$E,MATCH(1,(DATA_LOG!$A:$A=$A263)*(TEXT(DATA_LOG!$B:$B,""yyyy-MM-dd"")=TEXT(DATE($P$3,MONTH(1&amp;$N$3),VALUE(LEFT(Z$5,2))),""yyyy-MM-dd"")),0)),""""),IF(logStatus&lt;&gt;"""",UPPER(logStatus)"&amp;",IF(Z267&lt;&gt;"""",IF(VALUE(Z267)&gt;=9/24,""FD"",""HD""),IF(REGEXMATCH(Z$5,""SUN""),""WO"",""-""))))))"),"-")</f>
        <v>-</v>
      </c>
      <c r="AA268" s="43" t="str">
        <f>IFERROR(__xludf.DUMMYFUNCTION("IF($A263="""","""",IF(AA$5="""","""",LET(logStatus,IFNA(INDEX(DATA_LOG!$E:$E,MATCH(1,(DATA_LOG!$A:$A=$A263)*(TEXT(DATA_LOG!$B:$B,""yyyy-MM-dd"")=TEXT(DATE($P$3,MONTH(1&amp;$N$3),VALUE(LEFT(AA$5,2))),""yyyy-MM-dd"")),0)),""""),IF(logStatus&lt;&gt;"""",UPPER(logStatu"&amp;"s),IF(AA267&lt;&gt;"""",IF(VALUE(AA267)&gt;=9/24,""FD"",""HD""),IF(REGEXMATCH(AA$5,""SUN""),""WO"",""-""))))))"),"-")</f>
        <v>-</v>
      </c>
      <c r="AB268" s="43" t="str">
        <f>IFERROR(__xludf.DUMMYFUNCTION("IF($A263="""","""",IF(AB$5="""","""",LET(logStatus,IFNA(INDEX(DATA_LOG!$E:$E,MATCH(1,(DATA_LOG!$A:$A=$A263)*(TEXT(DATA_LOG!$B:$B,""yyyy-MM-dd"")=TEXT(DATE($P$3,MONTH(1&amp;$N$3),VALUE(LEFT(AB$5,2))),""yyyy-MM-dd"")),0)),""""),IF(logStatus&lt;&gt;"""",UPPER(logStatu"&amp;"s),IF(AB267&lt;&gt;"""",IF(VALUE(AB267)&gt;=9/24,""FD"",""HD""),IF(REGEXMATCH(AB$5,""SUN""),""WO"",""-""))))))"),"WO")</f>
        <v>WO</v>
      </c>
      <c r="AC268" s="43" t="str">
        <f>IFERROR(__xludf.DUMMYFUNCTION("IF($A263="""","""",IF(AC$5="""","""",LET(logStatus,IFNA(INDEX(DATA_LOG!$E:$E,MATCH(1,(DATA_LOG!$A:$A=$A263)*(TEXT(DATA_LOG!$B:$B,""yyyy-MM-dd"")=TEXT(DATE($P$3,MONTH(1&amp;$N$3),VALUE(LEFT(AC$5,2))),""yyyy-MM-dd"")),0)),""""),IF(logStatus&lt;&gt;"""",UPPER(logStatu"&amp;"s),IF(AC267&lt;&gt;"""",IF(VALUE(AC267)&gt;=9/24,""FD"",""HD""),IF(REGEXMATCH(AC$5,""SUN""),""WO"",""-""))))))"),"-")</f>
        <v>-</v>
      </c>
      <c r="AD268" s="43" t="str">
        <f>IFERROR(__xludf.DUMMYFUNCTION("IF($A263="""","""",IF(AD$5="""","""",LET(logStatus,IFNA(INDEX(DATA_LOG!$E:$E,MATCH(1,(DATA_LOG!$A:$A=$A263)*(TEXT(DATA_LOG!$B:$B,""yyyy-MM-dd"")=TEXT(DATE($P$3,MONTH(1&amp;$N$3),VALUE(LEFT(AD$5,2))),""yyyy-MM-dd"")),0)),""""),IF(logStatus&lt;&gt;"""",UPPER(logStatu"&amp;"s),IF(AD267&lt;&gt;"""",IF(VALUE(AD267)&gt;=9/24,""FD"",""HD""),IF(REGEXMATCH(AD$5,""SUN""),""WO"",""-""))))))"),"-")</f>
        <v>-</v>
      </c>
      <c r="AE268" s="43" t="str">
        <f>IFERROR(__xludf.DUMMYFUNCTION("IF($A263="""","""",IF(AE$5="""","""",LET(logStatus,IFNA(INDEX(DATA_LOG!$E:$E,MATCH(1,(DATA_LOG!$A:$A=$A263)*(TEXT(DATA_LOG!$B:$B,""yyyy-MM-dd"")=TEXT(DATE($P$3,MONTH(1&amp;$N$3),VALUE(LEFT(AE$5,2))),""yyyy-MM-dd"")),0)),""""),IF(logStatus&lt;&gt;"""",UPPER(logStatu"&amp;"s),IF(AE267&lt;&gt;"""",IF(VALUE(AE267)&gt;=9/24,""FD"",""HD""),IF(REGEXMATCH(AE$5,""SUN""),""WO"",""-""))))))"),"-")</f>
        <v>-</v>
      </c>
      <c r="AF268" s="43" t="str">
        <f>IFERROR(__xludf.DUMMYFUNCTION("IF($A263="""","""",IF(AF$5="""","""",LET(logStatus,IFNA(INDEX(DATA_LOG!$E:$E,MATCH(1,(DATA_LOG!$A:$A=$A263)*(TEXT(DATA_LOG!$B:$B,""yyyy-MM-dd"")=TEXT(DATE($P$3,MONTH(1&amp;$N$3),VALUE(LEFT(AF$5,2))),""yyyy-MM-dd"")),0)),""""),IF(logStatus&lt;&gt;"""",UPPER(logStatu"&amp;"s),IF(AF267&lt;&gt;"""",IF(VALUE(AF267)&gt;=9/24,""FD"",""HD""),IF(REGEXMATCH(AF$5,""SUN""),""WO"",""-""))))))"),"")</f>
        <v/>
      </c>
    </row>
    <row r="269">
      <c r="A269" s="44"/>
    </row>
    <row r="270">
      <c r="A270" s="25" t="str">
        <f>EMPLOYEE_LIST!A18</f>
        <v>PIJESHWAR THAKUR</v>
      </c>
      <c r="B270" s="26"/>
      <c r="C270" s="27"/>
      <c r="D270" s="28" t="str">
        <f>IF(A270="", "", IFERROR(VLOOKUP(A270, EMPLOYEE_LIST!$A:$H, 2, FALSE), ""))</f>
        <v>AYV-44</v>
      </c>
      <c r="E270" s="26"/>
      <c r="F270" s="26"/>
      <c r="G270" s="27"/>
      <c r="H270" s="29" t="str">
        <f>IF(A270="", "", IFERROR(VLOOKUP(A270, EMPLOYEE_LIST!$A:$H, 3, FALSE), ""))</f>
        <v>ADMIN</v>
      </c>
      <c r="I270" s="26"/>
      <c r="J270" s="26"/>
      <c r="K270" s="27"/>
      <c r="L270" s="29" t="str">
        <f>IF(A270="", "", IFERROR(VLOOKUP(A270, EMPLOYEE_LIST!$A:$H, 4, FALSE), ""))</f>
        <v>DRIVER</v>
      </c>
      <c r="M270" s="26"/>
      <c r="N270" s="26"/>
      <c r="O270" s="27"/>
      <c r="P270" s="30" t="str">
        <f>IF($A270="", "", "Full Day: " &amp; COUNTIF(B275:AF275, "FD"))</f>
        <v>Full Day: 0</v>
      </c>
      <c r="Q270" s="26"/>
      <c r="R270" s="27"/>
      <c r="S270" s="31" t="str">
        <f>IF($A270="", "", "HALF Day: " &amp; COUNTIF(B275:AF275, "HD"))</f>
        <v>HALF Day: 0</v>
      </c>
      <c r="T270" s="26"/>
      <c r="U270" s="27"/>
      <c r="V270" s="31" t="str">
        <f>IF($A270="", "", "ABSENT: " &amp; COUNTIF(B275:AF275, "A"))</f>
        <v>ABSENT: 0</v>
      </c>
      <c r="W270" s="26"/>
      <c r="X270" s="27"/>
      <c r="Y270" s="31" t="str">
        <f>IF($A270="", "", "WEEK OFF: " &amp; COUNTIF(B275:AF275, "WO"))</f>
        <v>WEEK OFF: 4</v>
      </c>
      <c r="Z270" s="26"/>
      <c r="AA270" s="27"/>
      <c r="AB270" s="31" t="str">
        <f>IF($A270="", "", "LEAVE: " &amp; COUNTIF(B275:AF275, "L"))</f>
        <v>LEAVE: 0</v>
      </c>
      <c r="AC270" s="27"/>
      <c r="AD270" s="31" t="str">
        <f>IF($A270="", "", "HOLIDAY: " &amp; COUNTIF(B275:AF275, "HL"))</f>
        <v>HOLIDAY: 0</v>
      </c>
      <c r="AE270" s="26"/>
      <c r="AF270" s="27"/>
    </row>
    <row r="271">
      <c r="A271" s="48" t="str">
        <f>IF($A270="", "", "DATE")</f>
        <v>DATE</v>
      </c>
      <c r="B271" s="34" t="str">
        <f t="array" ref="B271:AE271">IF($A270="", "", LET( start, DATE(YEAR(TODAY()), MONTH(TODAY()), 1), days, DAY(EOMONTH(start, 0)), MAP(SEQUENCE(1, days, 0), LAMBDA(n, UPPER(TEXT(start + n, "dd (ddd)")))) ))</f>
        <v>01 (TUE)</v>
      </c>
      <c r="C271" s="34" t="s">
        <v>89</v>
      </c>
      <c r="D271" s="34" t="s">
        <v>90</v>
      </c>
      <c r="E271" s="34" t="s">
        <v>91</v>
      </c>
      <c r="F271" s="34" t="s">
        <v>92</v>
      </c>
      <c r="G271" s="34" t="s">
        <v>93</v>
      </c>
      <c r="H271" s="34" t="s">
        <v>94</v>
      </c>
      <c r="I271" s="34" t="s">
        <v>95</v>
      </c>
      <c r="J271" s="34" t="s">
        <v>96</v>
      </c>
      <c r="K271" s="34" t="s">
        <v>97</v>
      </c>
      <c r="L271" s="34" t="s">
        <v>98</v>
      </c>
      <c r="M271" s="34" t="s">
        <v>99</v>
      </c>
      <c r="N271" s="34" t="s">
        <v>100</v>
      </c>
      <c r="O271" s="34" t="s">
        <v>101</v>
      </c>
      <c r="P271" s="34" t="s">
        <v>102</v>
      </c>
      <c r="Q271" s="34" t="s">
        <v>103</v>
      </c>
      <c r="R271" s="34" t="s">
        <v>104</v>
      </c>
      <c r="S271" s="34" t="s">
        <v>105</v>
      </c>
      <c r="T271" s="34" t="s">
        <v>106</v>
      </c>
      <c r="U271" s="34" t="s">
        <v>107</v>
      </c>
      <c r="V271" s="34" t="s">
        <v>108</v>
      </c>
      <c r="W271" s="34" t="s">
        <v>109</v>
      </c>
      <c r="X271" s="34" t="s">
        <v>110</v>
      </c>
      <c r="Y271" s="34" t="s">
        <v>111</v>
      </c>
      <c r="Z271" s="34" t="s">
        <v>112</v>
      </c>
      <c r="AA271" s="34" t="s">
        <v>113</v>
      </c>
      <c r="AB271" s="34" t="s">
        <v>114</v>
      </c>
      <c r="AC271" s="34" t="s">
        <v>115</v>
      </c>
      <c r="AD271" s="34" t="s">
        <v>116</v>
      </c>
      <c r="AE271" s="34" t="s">
        <v>117</v>
      </c>
      <c r="AF271" s="34"/>
    </row>
    <row r="272">
      <c r="A272" s="48" t="str">
        <f>IF($A270="", "", "IN")</f>
        <v>IN</v>
      </c>
      <c r="B272" s="49"/>
      <c r="C272" s="49"/>
      <c r="D272" s="49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</row>
    <row r="273">
      <c r="A273" s="48" t="str">
        <f>IF($A270="", "", "OUT")</f>
        <v>OUT</v>
      </c>
      <c r="B273" s="49"/>
      <c r="C273" s="49"/>
      <c r="D273" s="49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</row>
    <row r="274">
      <c r="A274" s="42" t="str">
        <f>IF($A270="", "", "TOTAL")</f>
        <v>TOTAL</v>
      </c>
      <c r="B274" s="34" t="str">
        <f t="shared" ref="B274:AF274" si="39">IF(AND(B272&lt;&gt;"",B273&lt;&gt;""),TEXT(MOD(B273-B272,1),"hh:mm"),"")</f>
        <v/>
      </c>
      <c r="C274" s="34" t="str">
        <f t="shared" si="39"/>
        <v/>
      </c>
      <c r="D274" s="34" t="str">
        <f t="shared" si="39"/>
        <v/>
      </c>
      <c r="E274" s="34" t="str">
        <f t="shared" si="39"/>
        <v/>
      </c>
      <c r="F274" s="34" t="str">
        <f t="shared" si="39"/>
        <v/>
      </c>
      <c r="G274" s="34" t="str">
        <f t="shared" si="39"/>
        <v/>
      </c>
      <c r="H274" s="34" t="str">
        <f t="shared" si="39"/>
        <v/>
      </c>
      <c r="I274" s="34" t="str">
        <f t="shared" si="39"/>
        <v/>
      </c>
      <c r="J274" s="34" t="str">
        <f t="shared" si="39"/>
        <v/>
      </c>
      <c r="K274" s="34" t="str">
        <f t="shared" si="39"/>
        <v/>
      </c>
      <c r="L274" s="34" t="str">
        <f t="shared" si="39"/>
        <v/>
      </c>
      <c r="M274" s="34" t="str">
        <f t="shared" si="39"/>
        <v/>
      </c>
      <c r="N274" s="34" t="str">
        <f t="shared" si="39"/>
        <v/>
      </c>
      <c r="O274" s="34" t="str">
        <f t="shared" si="39"/>
        <v/>
      </c>
      <c r="P274" s="34" t="str">
        <f t="shared" si="39"/>
        <v/>
      </c>
      <c r="Q274" s="34" t="str">
        <f t="shared" si="39"/>
        <v/>
      </c>
      <c r="R274" s="34" t="str">
        <f t="shared" si="39"/>
        <v/>
      </c>
      <c r="S274" s="34" t="str">
        <f t="shared" si="39"/>
        <v/>
      </c>
      <c r="T274" s="34" t="str">
        <f t="shared" si="39"/>
        <v/>
      </c>
      <c r="U274" s="34" t="str">
        <f t="shared" si="39"/>
        <v/>
      </c>
      <c r="V274" s="34" t="str">
        <f t="shared" si="39"/>
        <v/>
      </c>
      <c r="W274" s="34" t="str">
        <f t="shared" si="39"/>
        <v/>
      </c>
      <c r="X274" s="34" t="str">
        <f t="shared" si="39"/>
        <v/>
      </c>
      <c r="Y274" s="34" t="str">
        <f t="shared" si="39"/>
        <v/>
      </c>
      <c r="Z274" s="34" t="str">
        <f t="shared" si="39"/>
        <v/>
      </c>
      <c r="AA274" s="34" t="str">
        <f t="shared" si="39"/>
        <v/>
      </c>
      <c r="AB274" s="34" t="str">
        <f t="shared" si="39"/>
        <v/>
      </c>
      <c r="AC274" s="34" t="str">
        <f t="shared" si="39"/>
        <v/>
      </c>
      <c r="AD274" s="34" t="str">
        <f t="shared" si="39"/>
        <v/>
      </c>
      <c r="AE274" s="34" t="str">
        <f t="shared" si="39"/>
        <v/>
      </c>
      <c r="AF274" s="34" t="str">
        <f t="shared" si="39"/>
        <v/>
      </c>
    </row>
    <row r="275">
      <c r="A275" s="42" t="str">
        <f>IF($A270="", "", "STATUS")</f>
        <v>STATUS</v>
      </c>
      <c r="B275" s="43" t="str">
        <f>IFERROR(__xludf.DUMMYFUNCTION("IF($A270="""","""",IF(B$5="""","""",LET(logStatus,IFNA(INDEX(DATA_LOG!$E:$E,MATCH(1,(DATA_LOG!$A:$A=$A270)*(TEXT(DATA_LOG!$B:$B,""yyyy-MM-dd"")=TEXT(DATE($P$3,MONTH(1&amp;$N$3),VALUE(LEFT(B$5,2))),""yyyy-MM-dd"")),0)),""""),IF(logStatus&lt;&gt;"""",UPPER(logStatus)"&amp;",IF(B274&lt;&gt;"""",IF(VALUE(B274)&gt;=9/24,""FD"",""HD""),IF(REGEXMATCH(B$5,""SUN""),""WO"",""-""))))))"),"-")</f>
        <v>-</v>
      </c>
      <c r="C275" s="43" t="str">
        <f>IFERROR(__xludf.DUMMYFUNCTION("IF($A270="""","""",IF(C$5="""","""",LET(logStatus,IFNA(INDEX(DATA_LOG!$E:$E,MATCH(1,(DATA_LOG!$A:$A=$A270)*(TEXT(DATA_LOG!$B:$B,""yyyy-MM-dd"")=TEXT(DATE($P$3,MONTH(1&amp;$N$3),VALUE(LEFT(C$5,2))),""yyyy-MM-dd"")),0)),""""),IF(logStatus&lt;&gt;"""",UPPER(logStatus)"&amp;",IF(C274&lt;&gt;"""",IF(VALUE(C274)&gt;=9/24,""FD"",""HD""),IF(REGEXMATCH(C$5,""SUN""),""WO"",""-""))))))"),"-")</f>
        <v>-</v>
      </c>
      <c r="D275" s="43" t="str">
        <f>IFERROR(__xludf.DUMMYFUNCTION("IF($A270="""","""",IF(D$5="""","""",LET(logStatus,IFNA(INDEX(DATA_LOG!$E:$E,MATCH(1,(DATA_LOG!$A:$A=$A270)*(TEXT(DATA_LOG!$B:$B,""yyyy-MM-dd"")=TEXT(DATE($P$3,MONTH(1&amp;$N$3),VALUE(LEFT(D$5,2))),""yyyy-MM-dd"")),0)),""""),IF(logStatus&lt;&gt;"""",UPPER(logStatus)"&amp;",IF(D274&lt;&gt;"""",IF(VALUE(D274)&gt;=9/24,""FD"",""HD""),IF(REGEXMATCH(D$5,""SUN""),""WO"",""-""))))))"),"-")</f>
        <v>-</v>
      </c>
      <c r="E275" s="43" t="str">
        <f>IFERROR(__xludf.DUMMYFUNCTION("IF($A270="""","""",IF(E$5="""","""",LET(logStatus,IFNA(INDEX(DATA_LOG!$E:$E,MATCH(1,(DATA_LOG!$A:$A=$A270)*(TEXT(DATA_LOG!$B:$B,""yyyy-MM-dd"")=TEXT(DATE($P$3,MONTH(1&amp;$N$3),VALUE(LEFT(E$5,2))),""yyyy-MM-dd"")),0)),""""),IF(logStatus&lt;&gt;"""",UPPER(logStatus)"&amp;",IF(E274&lt;&gt;"""",IF(VALUE(E274)&gt;=9/24,""FD"",""HD""),IF(REGEXMATCH(E$5,""SUN""),""WO"",""-""))))))"),"-")</f>
        <v>-</v>
      </c>
      <c r="F275" s="43" t="str">
        <f>IFERROR(__xludf.DUMMYFUNCTION("IF($A270="""","""",IF(F$5="""","""",LET(logStatus,IFNA(INDEX(DATA_LOG!$E:$E,MATCH(1,(DATA_LOG!$A:$A=$A270)*(TEXT(DATA_LOG!$B:$B,""yyyy-MM-dd"")=TEXT(DATE($P$3,MONTH(1&amp;$N$3),VALUE(LEFT(F$5,2))),""yyyy-MM-dd"")),0)),""""),IF(logStatus&lt;&gt;"""",UPPER(logStatus)"&amp;",IF(F274&lt;&gt;"""",IF(VALUE(F274)&gt;=9/24,""FD"",""HD""),IF(REGEXMATCH(F$5,""SUN""),""WO"",""-""))))))"),"-")</f>
        <v>-</v>
      </c>
      <c r="G275" s="43" t="str">
        <f>IFERROR(__xludf.DUMMYFUNCTION("IF($A270="""","""",IF(G$5="""","""",LET(logStatus,IFNA(INDEX(DATA_LOG!$E:$E,MATCH(1,(DATA_LOG!$A:$A=$A270)*(TEXT(DATA_LOG!$B:$B,""yyyy-MM-dd"")=TEXT(DATE($P$3,MONTH(1&amp;$N$3),VALUE(LEFT(G$5,2))),""yyyy-MM-dd"")),0)),""""),IF(logStatus&lt;&gt;"""",UPPER(logStatus)"&amp;",IF(G274&lt;&gt;"""",IF(VALUE(G274)&gt;=9/24,""FD"",""HD""),IF(REGEXMATCH(G$5,""SUN""),""WO"",""-""))))))"),"WO")</f>
        <v>WO</v>
      </c>
      <c r="H275" s="43" t="str">
        <f>IFERROR(__xludf.DUMMYFUNCTION("IF($A270="""","""",IF(H$5="""","""",LET(logStatus,IFNA(INDEX(DATA_LOG!$E:$E,MATCH(1,(DATA_LOG!$A:$A=$A270)*(TEXT(DATA_LOG!$B:$B,""yyyy-MM-dd"")=TEXT(DATE($P$3,MONTH(1&amp;$N$3),VALUE(LEFT(H$5,2))),""yyyy-MM-dd"")),0)),""""),IF(logStatus&lt;&gt;"""",UPPER(logStatus)"&amp;",IF(H274&lt;&gt;"""",IF(VALUE(H274)&gt;=9/24,""FD"",""HD""),IF(REGEXMATCH(H$5,""SUN""),""WO"",""-""))))))"),"-")</f>
        <v>-</v>
      </c>
      <c r="I275" s="43" t="str">
        <f>IFERROR(__xludf.DUMMYFUNCTION("IF($A270="""","""",IF(I$5="""","""",LET(logStatus,IFNA(INDEX(DATA_LOG!$E:$E,MATCH(1,(DATA_LOG!$A:$A=$A270)*(TEXT(DATA_LOG!$B:$B,""yyyy-MM-dd"")=TEXT(DATE($P$3,MONTH(1&amp;$N$3),VALUE(LEFT(I$5,2))),""yyyy-MM-dd"")),0)),""""),IF(logStatus&lt;&gt;"""",UPPER(logStatus)"&amp;",IF(I274&lt;&gt;"""",IF(VALUE(I274)&gt;=9/24,""FD"",""HD""),IF(REGEXMATCH(I$5,""SUN""),""WO"",""-""))))))"),"-")</f>
        <v>-</v>
      </c>
      <c r="J275" s="43" t="str">
        <f>IFERROR(__xludf.DUMMYFUNCTION("IF($A270="""","""",IF(J$5="""","""",LET(logStatus,IFNA(INDEX(DATA_LOG!$E:$E,MATCH(1,(DATA_LOG!$A:$A=$A270)*(TEXT(DATA_LOG!$B:$B,""yyyy-MM-dd"")=TEXT(DATE($P$3,MONTH(1&amp;$N$3),VALUE(LEFT(J$5,2))),""yyyy-MM-dd"")),0)),""""),IF(logStatus&lt;&gt;"""",UPPER(logStatus)"&amp;",IF(J274&lt;&gt;"""",IF(VALUE(J274)&gt;=9/24,""FD"",""HD""),IF(REGEXMATCH(J$5,""SUN""),""WO"",""-""))))))"),"-")</f>
        <v>-</v>
      </c>
      <c r="K275" s="43" t="str">
        <f>IFERROR(__xludf.DUMMYFUNCTION("IF($A270="""","""",IF(K$5="""","""",LET(logStatus,IFNA(INDEX(DATA_LOG!$E:$E,MATCH(1,(DATA_LOG!$A:$A=$A270)*(TEXT(DATA_LOG!$B:$B,""yyyy-MM-dd"")=TEXT(DATE($P$3,MONTH(1&amp;$N$3),VALUE(LEFT(K$5,2))),""yyyy-MM-dd"")),0)),""""),IF(logStatus&lt;&gt;"""",UPPER(logStatus)"&amp;",IF(K274&lt;&gt;"""",IF(VALUE(K274)&gt;=9/24,""FD"",""HD""),IF(REGEXMATCH(K$5,""SUN""),""WO"",""-""))))))"),"-")</f>
        <v>-</v>
      </c>
      <c r="L275" s="43" t="str">
        <f>IFERROR(__xludf.DUMMYFUNCTION("IF($A270="""","""",IF(L$5="""","""",LET(logStatus,IFNA(INDEX(DATA_LOG!$E:$E,MATCH(1,(DATA_LOG!$A:$A=$A270)*(TEXT(DATA_LOG!$B:$B,""yyyy-MM-dd"")=TEXT(DATE($P$3,MONTH(1&amp;$N$3),VALUE(LEFT(L$5,2))),""yyyy-MM-dd"")),0)),""""),IF(logStatus&lt;&gt;"""",UPPER(logStatus)"&amp;",IF(L274&lt;&gt;"""",IF(VALUE(L274)&gt;=9/24,""FD"",""HD""),IF(REGEXMATCH(L$5,""SUN""),""WO"",""-""))))))"),"-")</f>
        <v>-</v>
      </c>
      <c r="M275" s="43" t="str">
        <f>IFERROR(__xludf.DUMMYFUNCTION("IF($A270="""","""",IF(M$5="""","""",LET(logStatus,IFNA(INDEX(DATA_LOG!$E:$E,MATCH(1,(DATA_LOG!$A:$A=$A270)*(TEXT(DATA_LOG!$B:$B,""yyyy-MM-dd"")=TEXT(DATE($P$3,MONTH(1&amp;$N$3),VALUE(LEFT(M$5,2))),""yyyy-MM-dd"")),0)),""""),IF(logStatus&lt;&gt;"""",UPPER(logStatus)"&amp;",IF(M274&lt;&gt;"""",IF(VALUE(M274)&gt;=9/24,""FD"",""HD""),IF(REGEXMATCH(M$5,""SUN""),""WO"",""-""))))))"),"-")</f>
        <v>-</v>
      </c>
      <c r="N275" s="43" t="str">
        <f>IFERROR(__xludf.DUMMYFUNCTION("IF($A270="""","""",IF(N$5="""","""",LET(logStatus,IFNA(INDEX(DATA_LOG!$E:$E,MATCH(1,(DATA_LOG!$A:$A=$A270)*(TEXT(DATA_LOG!$B:$B,""yyyy-MM-dd"")=TEXT(DATE($P$3,MONTH(1&amp;$N$3),VALUE(LEFT(N$5,2))),""yyyy-MM-dd"")),0)),""""),IF(logStatus&lt;&gt;"""",UPPER(logStatus)"&amp;",IF(N274&lt;&gt;"""",IF(VALUE(N274)&gt;=9/24,""FD"",""HD""),IF(REGEXMATCH(N$5,""SUN""),""WO"",""-""))))))"),"WO")</f>
        <v>WO</v>
      </c>
      <c r="O275" s="43" t="str">
        <f>IFERROR(__xludf.DUMMYFUNCTION("IF($A270="""","""",IF(O$5="""","""",LET(logStatus,IFNA(INDEX(DATA_LOG!$E:$E,MATCH(1,(DATA_LOG!$A:$A=$A270)*(TEXT(DATA_LOG!$B:$B,""yyyy-MM-dd"")=TEXT(DATE($P$3,MONTH(1&amp;$N$3),VALUE(LEFT(O$5,2))),""yyyy-MM-dd"")),0)),""""),IF(logStatus&lt;&gt;"""",UPPER(logStatus)"&amp;",IF(O274&lt;&gt;"""",IF(VALUE(O274)&gt;=9/24,""FD"",""HD""),IF(REGEXMATCH(O$5,""SUN""),""WO"",""-""))))))"),"-")</f>
        <v>-</v>
      </c>
      <c r="P275" s="43" t="str">
        <f>IFERROR(__xludf.DUMMYFUNCTION("IF($A270="""","""",IF(P$5="""","""",LET(logStatus,IFNA(INDEX(DATA_LOG!$E:$E,MATCH(1,(DATA_LOG!$A:$A=$A270)*(TEXT(DATA_LOG!$B:$B,""yyyy-MM-dd"")=TEXT(DATE($P$3,MONTH(1&amp;$N$3),VALUE(LEFT(P$5,2))),""yyyy-MM-dd"")),0)),""""),IF(logStatus&lt;&gt;"""",UPPER(logStatus)"&amp;",IF(P274&lt;&gt;"""",IF(VALUE(P274)&gt;=9/24,""FD"",""HD""),IF(REGEXMATCH(P$5,""SUN""),""WO"",""-""))))))"),"-")</f>
        <v>-</v>
      </c>
      <c r="Q275" s="43" t="str">
        <f>IFERROR(__xludf.DUMMYFUNCTION("IF($A270="""","""",IF(Q$5="""","""",LET(logStatus,IFNA(INDEX(DATA_LOG!$E:$E,MATCH(1,(DATA_LOG!$A:$A=$A270)*(TEXT(DATA_LOG!$B:$B,""yyyy-MM-dd"")=TEXT(DATE($P$3,MONTH(1&amp;$N$3),VALUE(LEFT(Q$5,2))),""yyyy-MM-dd"")),0)),""""),IF(logStatus&lt;&gt;"""",UPPER(logStatus)"&amp;",IF(Q274&lt;&gt;"""",IF(VALUE(Q274)&gt;=9/24,""FD"",""HD""),IF(REGEXMATCH(Q$5,""SUN""),""WO"",""-""))))))"),"-")</f>
        <v>-</v>
      </c>
      <c r="R275" s="43" t="str">
        <f>IFERROR(__xludf.DUMMYFUNCTION("IF($A270="""","""",IF(R$5="""","""",LET(logStatus,IFNA(INDEX(DATA_LOG!$E:$E,MATCH(1,(DATA_LOG!$A:$A=$A270)*(TEXT(DATA_LOG!$B:$B,""yyyy-MM-dd"")=TEXT(DATE($P$3,MONTH(1&amp;$N$3),VALUE(LEFT(R$5,2))),""yyyy-MM-dd"")),0)),""""),IF(logStatus&lt;&gt;"""",UPPER(logStatus)"&amp;",IF(R274&lt;&gt;"""",IF(VALUE(R274)&gt;=9/24,""FD"",""HD""),IF(REGEXMATCH(R$5,""SUN""),""WO"",""-""))))))"),"-")</f>
        <v>-</v>
      </c>
      <c r="S275" s="43" t="str">
        <f>IFERROR(__xludf.DUMMYFUNCTION("IF($A270="""","""",IF(S$5="""","""",LET(logStatus,IFNA(INDEX(DATA_LOG!$E:$E,MATCH(1,(DATA_LOG!$A:$A=$A270)*(TEXT(DATA_LOG!$B:$B,""yyyy-MM-dd"")=TEXT(DATE($P$3,MONTH(1&amp;$N$3),VALUE(LEFT(S$5,2))),""yyyy-MM-dd"")),0)),""""),IF(logStatus&lt;&gt;"""",UPPER(logStatus)"&amp;",IF(S274&lt;&gt;"""",IF(VALUE(S274)&gt;=9/24,""FD"",""HD""),IF(REGEXMATCH(S$5,""SUN""),""WO"",""-""))))))"),"-")</f>
        <v>-</v>
      </c>
      <c r="T275" s="43" t="str">
        <f>IFERROR(__xludf.DUMMYFUNCTION("IF($A270="""","""",IF(T$5="""","""",LET(logStatus,IFNA(INDEX(DATA_LOG!$E:$E,MATCH(1,(DATA_LOG!$A:$A=$A270)*(TEXT(DATA_LOG!$B:$B,""yyyy-MM-dd"")=TEXT(DATE($P$3,MONTH(1&amp;$N$3),VALUE(LEFT(T$5,2))),""yyyy-MM-dd"")),0)),""""),IF(logStatus&lt;&gt;"""",UPPER(logStatus)"&amp;",IF(T274&lt;&gt;"""",IF(VALUE(T274)&gt;=9/24,""FD"",""HD""),IF(REGEXMATCH(T$5,""SUN""),""WO"",""-""))))))"),"-")</f>
        <v>-</v>
      </c>
      <c r="U275" s="43" t="str">
        <f>IFERROR(__xludf.DUMMYFUNCTION("IF($A270="""","""",IF(U$5="""","""",LET(logStatus,IFNA(INDEX(DATA_LOG!$E:$E,MATCH(1,(DATA_LOG!$A:$A=$A270)*(TEXT(DATA_LOG!$B:$B,""yyyy-MM-dd"")=TEXT(DATE($P$3,MONTH(1&amp;$N$3),VALUE(LEFT(U$5,2))),""yyyy-MM-dd"")),0)),""""),IF(logStatus&lt;&gt;"""",UPPER(logStatus)"&amp;",IF(U274&lt;&gt;"""",IF(VALUE(U274)&gt;=9/24,""FD"",""HD""),IF(REGEXMATCH(U$5,""SUN""),""WO"",""-""))))))"),"WO")</f>
        <v>WO</v>
      </c>
      <c r="V275" s="43" t="str">
        <f>IFERROR(__xludf.DUMMYFUNCTION("IF($A270="""","""",IF(V$5="""","""",LET(logStatus,IFNA(INDEX(DATA_LOG!$E:$E,MATCH(1,(DATA_LOG!$A:$A=$A270)*(TEXT(DATA_LOG!$B:$B,""yyyy-MM-dd"")=TEXT(DATE($P$3,MONTH(1&amp;$N$3),VALUE(LEFT(V$5,2))),""yyyy-MM-dd"")),0)),""""),IF(logStatus&lt;&gt;"""",UPPER(logStatus)"&amp;",IF(V274&lt;&gt;"""",IF(VALUE(V274)&gt;=9/24,""FD"",""HD""),IF(REGEXMATCH(V$5,""SUN""),""WO"",""-""))))))"),"-")</f>
        <v>-</v>
      </c>
      <c r="W275" s="43" t="str">
        <f>IFERROR(__xludf.DUMMYFUNCTION("IF($A270="""","""",IF(W$5="""","""",LET(logStatus,IFNA(INDEX(DATA_LOG!$E:$E,MATCH(1,(DATA_LOG!$A:$A=$A270)*(TEXT(DATA_LOG!$B:$B,""yyyy-MM-dd"")=TEXT(DATE($P$3,MONTH(1&amp;$N$3),VALUE(LEFT(W$5,2))),""yyyy-MM-dd"")),0)),""""),IF(logStatus&lt;&gt;"""",UPPER(logStatus)"&amp;",IF(W274&lt;&gt;"""",IF(VALUE(W274)&gt;=9/24,""FD"",""HD""),IF(REGEXMATCH(W$5,""SUN""),""WO"",""-""))))))"),"-")</f>
        <v>-</v>
      </c>
      <c r="X275" s="43" t="str">
        <f>IFERROR(__xludf.DUMMYFUNCTION("IF($A270="""","""",IF(X$5="""","""",LET(logStatus,IFNA(INDEX(DATA_LOG!$E:$E,MATCH(1,(DATA_LOG!$A:$A=$A270)*(TEXT(DATA_LOG!$B:$B,""yyyy-MM-dd"")=TEXT(DATE($P$3,MONTH(1&amp;$N$3),VALUE(LEFT(X$5,2))),""yyyy-MM-dd"")),0)),""""),IF(logStatus&lt;&gt;"""",UPPER(logStatus)"&amp;",IF(X274&lt;&gt;"""",IF(VALUE(X274)&gt;=9/24,""FD"",""HD""),IF(REGEXMATCH(X$5,""SUN""),""WO"",""-""))))))"),"-")</f>
        <v>-</v>
      </c>
      <c r="Y275" s="43" t="str">
        <f>IFERROR(__xludf.DUMMYFUNCTION("IF($A270="""","""",IF(Y$5="""","""",LET(logStatus,IFNA(INDEX(DATA_LOG!$E:$E,MATCH(1,(DATA_LOG!$A:$A=$A270)*(TEXT(DATA_LOG!$B:$B,""yyyy-MM-dd"")=TEXT(DATE($P$3,MONTH(1&amp;$N$3),VALUE(LEFT(Y$5,2))),""yyyy-MM-dd"")),0)),""""),IF(logStatus&lt;&gt;"""",UPPER(logStatus)"&amp;",IF(Y274&lt;&gt;"""",IF(VALUE(Y274)&gt;=9/24,""FD"",""HD""),IF(REGEXMATCH(Y$5,""SUN""),""WO"",""-""))))))"),"-")</f>
        <v>-</v>
      </c>
      <c r="Z275" s="43" t="str">
        <f>IFERROR(__xludf.DUMMYFUNCTION("IF($A270="""","""",IF(Z$5="""","""",LET(logStatus,IFNA(INDEX(DATA_LOG!$E:$E,MATCH(1,(DATA_LOG!$A:$A=$A270)*(TEXT(DATA_LOG!$B:$B,""yyyy-MM-dd"")=TEXT(DATE($P$3,MONTH(1&amp;$N$3),VALUE(LEFT(Z$5,2))),""yyyy-MM-dd"")),0)),""""),IF(logStatus&lt;&gt;"""",UPPER(logStatus)"&amp;",IF(Z274&lt;&gt;"""",IF(VALUE(Z274)&gt;=9/24,""FD"",""HD""),IF(REGEXMATCH(Z$5,""SUN""),""WO"",""-""))))))"),"-")</f>
        <v>-</v>
      </c>
      <c r="AA275" s="43" t="str">
        <f>IFERROR(__xludf.DUMMYFUNCTION("IF($A270="""","""",IF(AA$5="""","""",LET(logStatus,IFNA(INDEX(DATA_LOG!$E:$E,MATCH(1,(DATA_LOG!$A:$A=$A270)*(TEXT(DATA_LOG!$B:$B,""yyyy-MM-dd"")=TEXT(DATE($P$3,MONTH(1&amp;$N$3),VALUE(LEFT(AA$5,2))),""yyyy-MM-dd"")),0)),""""),IF(logStatus&lt;&gt;"""",UPPER(logStatu"&amp;"s),IF(AA274&lt;&gt;"""",IF(VALUE(AA274)&gt;=9/24,""FD"",""HD""),IF(REGEXMATCH(AA$5,""SUN""),""WO"",""-""))))))"),"-")</f>
        <v>-</v>
      </c>
      <c r="AB275" s="43" t="str">
        <f>IFERROR(__xludf.DUMMYFUNCTION("IF($A270="""","""",IF(AB$5="""","""",LET(logStatus,IFNA(INDEX(DATA_LOG!$E:$E,MATCH(1,(DATA_LOG!$A:$A=$A270)*(TEXT(DATA_LOG!$B:$B,""yyyy-MM-dd"")=TEXT(DATE($P$3,MONTH(1&amp;$N$3),VALUE(LEFT(AB$5,2))),""yyyy-MM-dd"")),0)),""""),IF(logStatus&lt;&gt;"""",UPPER(logStatu"&amp;"s),IF(AB274&lt;&gt;"""",IF(VALUE(AB274)&gt;=9/24,""FD"",""HD""),IF(REGEXMATCH(AB$5,""SUN""),""WO"",""-""))))))"),"WO")</f>
        <v>WO</v>
      </c>
      <c r="AC275" s="43" t="str">
        <f>IFERROR(__xludf.DUMMYFUNCTION("IF($A270="""","""",IF(AC$5="""","""",LET(logStatus,IFNA(INDEX(DATA_LOG!$E:$E,MATCH(1,(DATA_LOG!$A:$A=$A270)*(TEXT(DATA_LOG!$B:$B,""yyyy-MM-dd"")=TEXT(DATE($P$3,MONTH(1&amp;$N$3),VALUE(LEFT(AC$5,2))),""yyyy-MM-dd"")),0)),""""),IF(logStatus&lt;&gt;"""",UPPER(logStatu"&amp;"s),IF(AC274&lt;&gt;"""",IF(VALUE(AC274)&gt;=9/24,""FD"",""HD""),IF(REGEXMATCH(AC$5,""SUN""),""WO"",""-""))))))"),"-")</f>
        <v>-</v>
      </c>
      <c r="AD275" s="43" t="str">
        <f>IFERROR(__xludf.DUMMYFUNCTION("IF($A270="""","""",IF(AD$5="""","""",LET(logStatus,IFNA(INDEX(DATA_LOG!$E:$E,MATCH(1,(DATA_LOG!$A:$A=$A270)*(TEXT(DATA_LOG!$B:$B,""yyyy-MM-dd"")=TEXT(DATE($P$3,MONTH(1&amp;$N$3),VALUE(LEFT(AD$5,2))),""yyyy-MM-dd"")),0)),""""),IF(logStatus&lt;&gt;"""",UPPER(logStatu"&amp;"s),IF(AD274&lt;&gt;"""",IF(VALUE(AD274)&gt;=9/24,""FD"",""HD""),IF(REGEXMATCH(AD$5,""SUN""),""WO"",""-""))))))"),"-")</f>
        <v>-</v>
      </c>
      <c r="AE275" s="43" t="str">
        <f>IFERROR(__xludf.DUMMYFUNCTION("IF($A270="""","""",IF(AE$5="""","""",LET(logStatus,IFNA(INDEX(DATA_LOG!$E:$E,MATCH(1,(DATA_LOG!$A:$A=$A270)*(TEXT(DATA_LOG!$B:$B,""yyyy-MM-dd"")=TEXT(DATE($P$3,MONTH(1&amp;$N$3),VALUE(LEFT(AE$5,2))),""yyyy-MM-dd"")),0)),""""),IF(logStatus&lt;&gt;"""",UPPER(logStatu"&amp;"s),IF(AE274&lt;&gt;"""",IF(VALUE(AE274)&gt;=9/24,""FD"",""HD""),IF(REGEXMATCH(AE$5,""SUN""),""WO"",""-""))))))"),"-")</f>
        <v>-</v>
      </c>
      <c r="AF275" s="43" t="str">
        <f>IFERROR(__xludf.DUMMYFUNCTION("IF($A270="""","""",IF(AF$5="""","""",LET(logStatus,IFNA(INDEX(DATA_LOG!$E:$E,MATCH(1,(DATA_LOG!$A:$A=$A270)*(TEXT(DATA_LOG!$B:$B,""yyyy-MM-dd"")=TEXT(DATE($P$3,MONTH(1&amp;$N$3),VALUE(LEFT(AF$5,2))),""yyyy-MM-dd"")),0)),""""),IF(logStatus&lt;&gt;"""",UPPER(logStatu"&amp;"s),IF(AF274&lt;&gt;"""",IF(VALUE(AF274)&gt;=9/24,""FD"",""HD""),IF(REGEXMATCH(AF$5,""SUN""),""WO"",""-""))))))"),"")</f>
        <v/>
      </c>
    </row>
    <row r="276">
      <c r="A276" s="44"/>
    </row>
    <row r="277">
      <c r="A277" s="25" t="str">
        <f>EMPLOYEE_LIST!A19</f>
        <v>GOBINDA </v>
      </c>
      <c r="B277" s="26"/>
      <c r="C277" s="27"/>
      <c r="D277" s="28" t="str">
        <f>IF(A277="", "", IFERROR(VLOOKUP(A277, EMPLOYEE_LIST!$A:$H, 2, FALSE), ""))</f>
        <v>AYV-102</v>
      </c>
      <c r="E277" s="26"/>
      <c r="F277" s="26"/>
      <c r="G277" s="27"/>
      <c r="H277" s="29" t="str">
        <f>IF(A277="", "", IFERROR(VLOOKUP(A277, EMPLOYEE_LIST!$A:$H, 3, FALSE), ""))</f>
        <v>OPERATOR</v>
      </c>
      <c r="I277" s="26"/>
      <c r="J277" s="26"/>
      <c r="K277" s="27"/>
      <c r="L277" s="29" t="str">
        <f>IF(A277="", "", IFERROR(VLOOKUP(A277, EMPLOYEE_LIST!$A:$H, 4, FALSE), ""))</f>
        <v>EXCAVATOR OPERATOR</v>
      </c>
      <c r="M277" s="26"/>
      <c r="N277" s="26"/>
      <c r="O277" s="27"/>
      <c r="P277" s="30" t="str">
        <f>IF($A277="", "", "Full Day: " &amp; COUNTIF(B282:AF282, "FD"))</f>
        <v>Full Day: 0</v>
      </c>
      <c r="Q277" s="26"/>
      <c r="R277" s="27"/>
      <c r="S277" s="31" t="str">
        <f>IF($A277="", "", "HALF Day: " &amp; COUNTIF(B282:AF282, "HD"))</f>
        <v>HALF Day: 0</v>
      </c>
      <c r="T277" s="26"/>
      <c r="U277" s="27"/>
      <c r="V277" s="31" t="str">
        <f>IF($A277="", "", "ABSENT: " &amp; COUNTIF(B282:AF282, "A"))</f>
        <v>ABSENT: 0</v>
      </c>
      <c r="W277" s="26"/>
      <c r="X277" s="27"/>
      <c r="Y277" s="31" t="str">
        <f>IF($A277="", "", "WEEK OFF: " &amp; COUNTIF(B282:AF282, "WO"))</f>
        <v>WEEK OFF: 4</v>
      </c>
      <c r="Z277" s="26"/>
      <c r="AA277" s="27"/>
      <c r="AB277" s="31" t="str">
        <f>IF($A277="", "", "LEAVE: " &amp; COUNTIF(B282:AF282, "L"))</f>
        <v>LEAVE: 0</v>
      </c>
      <c r="AC277" s="27"/>
      <c r="AD277" s="31" t="str">
        <f>IF($A277="", "", "HOLIDAY: " &amp; COUNTIF(B282:AF282, "HL"))</f>
        <v>HOLIDAY: 0</v>
      </c>
      <c r="AE277" s="26"/>
      <c r="AF277" s="27"/>
    </row>
    <row r="278">
      <c r="A278" s="48" t="str">
        <f>IF($A277="", "", "DATE")</f>
        <v>DATE</v>
      </c>
      <c r="B278" s="34" t="str">
        <f t="array" ref="B278:AE278">IF($A277="", "", LET( start, DATE(YEAR(TODAY()), MONTH(TODAY()), 1), days, DAY(EOMONTH(start, 0)), MAP(SEQUENCE(1, days, 0), LAMBDA(n, UPPER(TEXT(start + n, "dd (ddd)")))) ))</f>
        <v>01 (TUE)</v>
      </c>
      <c r="C278" s="34" t="s">
        <v>89</v>
      </c>
      <c r="D278" s="34" t="s">
        <v>90</v>
      </c>
      <c r="E278" s="34" t="s">
        <v>91</v>
      </c>
      <c r="F278" s="34" t="s">
        <v>92</v>
      </c>
      <c r="G278" s="34" t="s">
        <v>93</v>
      </c>
      <c r="H278" s="34" t="s">
        <v>94</v>
      </c>
      <c r="I278" s="34" t="s">
        <v>95</v>
      </c>
      <c r="J278" s="34" t="s">
        <v>96</v>
      </c>
      <c r="K278" s="34" t="s">
        <v>97</v>
      </c>
      <c r="L278" s="34" t="s">
        <v>98</v>
      </c>
      <c r="M278" s="34" t="s">
        <v>99</v>
      </c>
      <c r="N278" s="34" t="s">
        <v>100</v>
      </c>
      <c r="O278" s="34" t="s">
        <v>101</v>
      </c>
      <c r="P278" s="34" t="s">
        <v>102</v>
      </c>
      <c r="Q278" s="34" t="s">
        <v>103</v>
      </c>
      <c r="R278" s="34" t="s">
        <v>104</v>
      </c>
      <c r="S278" s="34" t="s">
        <v>105</v>
      </c>
      <c r="T278" s="34" t="s">
        <v>106</v>
      </c>
      <c r="U278" s="34" t="s">
        <v>107</v>
      </c>
      <c r="V278" s="34" t="s">
        <v>108</v>
      </c>
      <c r="W278" s="34" t="s">
        <v>109</v>
      </c>
      <c r="X278" s="34" t="s">
        <v>110</v>
      </c>
      <c r="Y278" s="34" t="s">
        <v>111</v>
      </c>
      <c r="Z278" s="34" t="s">
        <v>112</v>
      </c>
      <c r="AA278" s="34" t="s">
        <v>113</v>
      </c>
      <c r="AB278" s="34" t="s">
        <v>114</v>
      </c>
      <c r="AC278" s="34" t="s">
        <v>115</v>
      </c>
      <c r="AD278" s="34" t="s">
        <v>116</v>
      </c>
      <c r="AE278" s="34" t="s">
        <v>117</v>
      </c>
      <c r="AF278" s="34"/>
    </row>
    <row r="279">
      <c r="A279" s="48" t="str">
        <f>IF($A277="", "", "IN")</f>
        <v>IN</v>
      </c>
      <c r="B279" s="49"/>
      <c r="C279" s="49"/>
      <c r="D279" s="49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</row>
    <row r="280">
      <c r="A280" s="48" t="str">
        <f>IF($A277="", "", "OUT")</f>
        <v>OUT</v>
      </c>
      <c r="B280" s="49"/>
      <c r="C280" s="49"/>
      <c r="D280" s="49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</row>
    <row r="281">
      <c r="A281" s="42" t="str">
        <f>IF($A277="", "", "TOTAL")</f>
        <v>TOTAL</v>
      </c>
      <c r="B281" s="34" t="str">
        <f t="shared" ref="B281:AF281" si="40">IF(AND(B279&lt;&gt;"",B280&lt;&gt;""),TEXT(MOD(B280-B279,1),"hh:mm"),"")</f>
        <v/>
      </c>
      <c r="C281" s="34" t="str">
        <f t="shared" si="40"/>
        <v/>
      </c>
      <c r="D281" s="34" t="str">
        <f t="shared" si="40"/>
        <v/>
      </c>
      <c r="E281" s="34" t="str">
        <f t="shared" si="40"/>
        <v/>
      </c>
      <c r="F281" s="34" t="str">
        <f t="shared" si="40"/>
        <v/>
      </c>
      <c r="G281" s="34" t="str">
        <f t="shared" si="40"/>
        <v/>
      </c>
      <c r="H281" s="34" t="str">
        <f t="shared" si="40"/>
        <v/>
      </c>
      <c r="I281" s="34" t="str">
        <f t="shared" si="40"/>
        <v/>
      </c>
      <c r="J281" s="34" t="str">
        <f t="shared" si="40"/>
        <v/>
      </c>
      <c r="K281" s="34" t="str">
        <f t="shared" si="40"/>
        <v/>
      </c>
      <c r="L281" s="34" t="str">
        <f t="shared" si="40"/>
        <v/>
      </c>
      <c r="M281" s="34" t="str">
        <f t="shared" si="40"/>
        <v/>
      </c>
      <c r="N281" s="34" t="str">
        <f t="shared" si="40"/>
        <v/>
      </c>
      <c r="O281" s="34" t="str">
        <f t="shared" si="40"/>
        <v/>
      </c>
      <c r="P281" s="34" t="str">
        <f t="shared" si="40"/>
        <v/>
      </c>
      <c r="Q281" s="34" t="str">
        <f t="shared" si="40"/>
        <v/>
      </c>
      <c r="R281" s="34" t="str">
        <f t="shared" si="40"/>
        <v/>
      </c>
      <c r="S281" s="34" t="str">
        <f t="shared" si="40"/>
        <v/>
      </c>
      <c r="T281" s="34" t="str">
        <f t="shared" si="40"/>
        <v/>
      </c>
      <c r="U281" s="34" t="str">
        <f t="shared" si="40"/>
        <v/>
      </c>
      <c r="V281" s="34" t="str">
        <f t="shared" si="40"/>
        <v/>
      </c>
      <c r="W281" s="34" t="str">
        <f t="shared" si="40"/>
        <v/>
      </c>
      <c r="X281" s="34" t="str">
        <f t="shared" si="40"/>
        <v/>
      </c>
      <c r="Y281" s="34" t="str">
        <f t="shared" si="40"/>
        <v/>
      </c>
      <c r="Z281" s="34" t="str">
        <f t="shared" si="40"/>
        <v/>
      </c>
      <c r="AA281" s="34" t="str">
        <f t="shared" si="40"/>
        <v/>
      </c>
      <c r="AB281" s="34" t="str">
        <f t="shared" si="40"/>
        <v/>
      </c>
      <c r="AC281" s="34" t="str">
        <f t="shared" si="40"/>
        <v/>
      </c>
      <c r="AD281" s="34" t="str">
        <f t="shared" si="40"/>
        <v/>
      </c>
      <c r="AE281" s="34" t="str">
        <f t="shared" si="40"/>
        <v/>
      </c>
      <c r="AF281" s="34" t="str">
        <f t="shared" si="40"/>
        <v/>
      </c>
    </row>
    <row r="282">
      <c r="A282" s="42" t="str">
        <f>IF($A277="", "", "STATUS")</f>
        <v>STATUS</v>
      </c>
      <c r="B282" s="43" t="str">
        <f>IFERROR(__xludf.DUMMYFUNCTION("IF($A277="""","""",IF(B$5="""","""",LET(logStatus,IFNA(INDEX(DATA_LOG!$E:$E,MATCH(1,(DATA_LOG!$A:$A=$A277)*(TEXT(DATA_LOG!$B:$B,""yyyy-MM-dd"")=TEXT(DATE($P$3,MONTH(1&amp;$N$3),VALUE(LEFT(B$5,2))),""yyyy-MM-dd"")),0)),""""),IF(logStatus&lt;&gt;"""",UPPER(logStatus)"&amp;",IF(B281&lt;&gt;"""",IF(VALUE(B281)&gt;=9/24,""FD"",""HD""),IF(REGEXMATCH(B$5,""SUN""),""WO"",""-""))))))"),"-")</f>
        <v>-</v>
      </c>
      <c r="C282" s="43" t="str">
        <f>IFERROR(__xludf.DUMMYFUNCTION("IF($A277="""","""",IF(C$5="""","""",LET(logStatus,IFNA(INDEX(DATA_LOG!$E:$E,MATCH(1,(DATA_LOG!$A:$A=$A277)*(TEXT(DATA_LOG!$B:$B,""yyyy-MM-dd"")=TEXT(DATE($P$3,MONTH(1&amp;$N$3),VALUE(LEFT(C$5,2))),""yyyy-MM-dd"")),0)),""""),IF(logStatus&lt;&gt;"""",UPPER(logStatus)"&amp;",IF(C281&lt;&gt;"""",IF(VALUE(C281)&gt;=9/24,""FD"",""HD""),IF(REGEXMATCH(C$5,""SUN""),""WO"",""-""))))))"),"-")</f>
        <v>-</v>
      </c>
      <c r="D282" s="43" t="str">
        <f>IFERROR(__xludf.DUMMYFUNCTION("IF($A277="""","""",IF(D$5="""","""",LET(logStatus,IFNA(INDEX(DATA_LOG!$E:$E,MATCH(1,(DATA_LOG!$A:$A=$A277)*(TEXT(DATA_LOG!$B:$B,""yyyy-MM-dd"")=TEXT(DATE($P$3,MONTH(1&amp;$N$3),VALUE(LEFT(D$5,2))),""yyyy-MM-dd"")),0)),""""),IF(logStatus&lt;&gt;"""",UPPER(logStatus)"&amp;",IF(D281&lt;&gt;"""",IF(VALUE(D281)&gt;=9/24,""FD"",""HD""),IF(REGEXMATCH(D$5,""SUN""),""WO"",""-""))))))"),"-")</f>
        <v>-</v>
      </c>
      <c r="E282" s="43" t="str">
        <f>IFERROR(__xludf.DUMMYFUNCTION("IF($A277="""","""",IF(E$5="""","""",LET(logStatus,IFNA(INDEX(DATA_LOG!$E:$E,MATCH(1,(DATA_LOG!$A:$A=$A277)*(TEXT(DATA_LOG!$B:$B,""yyyy-MM-dd"")=TEXT(DATE($P$3,MONTH(1&amp;$N$3),VALUE(LEFT(E$5,2))),""yyyy-MM-dd"")),0)),""""),IF(logStatus&lt;&gt;"""",UPPER(logStatus)"&amp;",IF(E281&lt;&gt;"""",IF(VALUE(E281)&gt;=9/24,""FD"",""HD""),IF(REGEXMATCH(E$5,""SUN""),""WO"",""-""))))))"),"-")</f>
        <v>-</v>
      </c>
      <c r="F282" s="43" t="str">
        <f>IFERROR(__xludf.DUMMYFUNCTION("IF($A277="""","""",IF(F$5="""","""",LET(logStatus,IFNA(INDEX(DATA_LOG!$E:$E,MATCH(1,(DATA_LOG!$A:$A=$A277)*(TEXT(DATA_LOG!$B:$B,""yyyy-MM-dd"")=TEXT(DATE($P$3,MONTH(1&amp;$N$3),VALUE(LEFT(F$5,2))),""yyyy-MM-dd"")),0)),""""),IF(logStatus&lt;&gt;"""",UPPER(logStatus)"&amp;",IF(F281&lt;&gt;"""",IF(VALUE(F281)&gt;=9/24,""FD"",""HD""),IF(REGEXMATCH(F$5,""SUN""),""WO"",""-""))))))"),"-")</f>
        <v>-</v>
      </c>
      <c r="G282" s="43" t="str">
        <f>IFERROR(__xludf.DUMMYFUNCTION("IF($A277="""","""",IF(G$5="""","""",LET(logStatus,IFNA(INDEX(DATA_LOG!$E:$E,MATCH(1,(DATA_LOG!$A:$A=$A277)*(TEXT(DATA_LOG!$B:$B,""yyyy-MM-dd"")=TEXT(DATE($P$3,MONTH(1&amp;$N$3),VALUE(LEFT(G$5,2))),""yyyy-MM-dd"")),0)),""""),IF(logStatus&lt;&gt;"""",UPPER(logStatus)"&amp;",IF(G281&lt;&gt;"""",IF(VALUE(G281)&gt;=9/24,""FD"",""HD""),IF(REGEXMATCH(G$5,""SUN""),""WO"",""-""))))))"),"WO")</f>
        <v>WO</v>
      </c>
      <c r="H282" s="43" t="str">
        <f>IFERROR(__xludf.DUMMYFUNCTION("IF($A277="""","""",IF(H$5="""","""",LET(logStatus,IFNA(INDEX(DATA_LOG!$E:$E,MATCH(1,(DATA_LOG!$A:$A=$A277)*(TEXT(DATA_LOG!$B:$B,""yyyy-MM-dd"")=TEXT(DATE($P$3,MONTH(1&amp;$N$3),VALUE(LEFT(H$5,2))),""yyyy-MM-dd"")),0)),""""),IF(logStatus&lt;&gt;"""",UPPER(logStatus)"&amp;",IF(H281&lt;&gt;"""",IF(VALUE(H281)&gt;=9/24,""FD"",""HD""),IF(REGEXMATCH(H$5,""SUN""),""WO"",""-""))))))"),"-")</f>
        <v>-</v>
      </c>
      <c r="I282" s="43" t="str">
        <f>IFERROR(__xludf.DUMMYFUNCTION("IF($A277="""","""",IF(I$5="""","""",LET(logStatus,IFNA(INDEX(DATA_LOG!$E:$E,MATCH(1,(DATA_LOG!$A:$A=$A277)*(TEXT(DATA_LOG!$B:$B,""yyyy-MM-dd"")=TEXT(DATE($P$3,MONTH(1&amp;$N$3),VALUE(LEFT(I$5,2))),""yyyy-MM-dd"")),0)),""""),IF(logStatus&lt;&gt;"""",UPPER(logStatus)"&amp;",IF(I281&lt;&gt;"""",IF(VALUE(I281)&gt;=9/24,""FD"",""HD""),IF(REGEXMATCH(I$5,""SUN""),""WO"",""-""))))))"),"-")</f>
        <v>-</v>
      </c>
      <c r="J282" s="43" t="str">
        <f>IFERROR(__xludf.DUMMYFUNCTION("IF($A277="""","""",IF(J$5="""","""",LET(logStatus,IFNA(INDEX(DATA_LOG!$E:$E,MATCH(1,(DATA_LOG!$A:$A=$A277)*(TEXT(DATA_LOG!$B:$B,""yyyy-MM-dd"")=TEXT(DATE($P$3,MONTH(1&amp;$N$3),VALUE(LEFT(J$5,2))),""yyyy-MM-dd"")),0)),""""),IF(logStatus&lt;&gt;"""",UPPER(logStatus)"&amp;",IF(J281&lt;&gt;"""",IF(VALUE(J281)&gt;=9/24,""FD"",""HD""),IF(REGEXMATCH(J$5,""SUN""),""WO"",""-""))))))"),"-")</f>
        <v>-</v>
      </c>
      <c r="K282" s="43" t="str">
        <f>IFERROR(__xludf.DUMMYFUNCTION("IF($A277="""","""",IF(K$5="""","""",LET(logStatus,IFNA(INDEX(DATA_LOG!$E:$E,MATCH(1,(DATA_LOG!$A:$A=$A277)*(TEXT(DATA_LOG!$B:$B,""yyyy-MM-dd"")=TEXT(DATE($P$3,MONTH(1&amp;$N$3),VALUE(LEFT(K$5,2))),""yyyy-MM-dd"")),0)),""""),IF(logStatus&lt;&gt;"""",UPPER(logStatus)"&amp;",IF(K281&lt;&gt;"""",IF(VALUE(K281)&gt;=9/24,""FD"",""HD""),IF(REGEXMATCH(K$5,""SUN""),""WO"",""-""))))))"),"-")</f>
        <v>-</v>
      </c>
      <c r="L282" s="43" t="str">
        <f>IFERROR(__xludf.DUMMYFUNCTION("IF($A277="""","""",IF(L$5="""","""",LET(logStatus,IFNA(INDEX(DATA_LOG!$E:$E,MATCH(1,(DATA_LOG!$A:$A=$A277)*(TEXT(DATA_LOG!$B:$B,""yyyy-MM-dd"")=TEXT(DATE($P$3,MONTH(1&amp;$N$3),VALUE(LEFT(L$5,2))),""yyyy-MM-dd"")),0)),""""),IF(logStatus&lt;&gt;"""",UPPER(logStatus)"&amp;",IF(L281&lt;&gt;"""",IF(VALUE(L281)&gt;=9/24,""FD"",""HD""),IF(REGEXMATCH(L$5,""SUN""),""WO"",""-""))))))"),"-")</f>
        <v>-</v>
      </c>
      <c r="M282" s="43" t="str">
        <f>IFERROR(__xludf.DUMMYFUNCTION("IF($A277="""","""",IF(M$5="""","""",LET(logStatus,IFNA(INDEX(DATA_LOG!$E:$E,MATCH(1,(DATA_LOG!$A:$A=$A277)*(TEXT(DATA_LOG!$B:$B,""yyyy-MM-dd"")=TEXT(DATE($P$3,MONTH(1&amp;$N$3),VALUE(LEFT(M$5,2))),""yyyy-MM-dd"")),0)),""""),IF(logStatus&lt;&gt;"""",UPPER(logStatus)"&amp;",IF(M281&lt;&gt;"""",IF(VALUE(M281)&gt;=9/24,""FD"",""HD""),IF(REGEXMATCH(M$5,""SUN""),""WO"",""-""))))))"),"-")</f>
        <v>-</v>
      </c>
      <c r="N282" s="43" t="str">
        <f>IFERROR(__xludf.DUMMYFUNCTION("IF($A277="""","""",IF(N$5="""","""",LET(logStatus,IFNA(INDEX(DATA_LOG!$E:$E,MATCH(1,(DATA_LOG!$A:$A=$A277)*(TEXT(DATA_LOG!$B:$B,""yyyy-MM-dd"")=TEXT(DATE($P$3,MONTH(1&amp;$N$3),VALUE(LEFT(N$5,2))),""yyyy-MM-dd"")),0)),""""),IF(logStatus&lt;&gt;"""",UPPER(logStatus)"&amp;",IF(N281&lt;&gt;"""",IF(VALUE(N281)&gt;=9/24,""FD"",""HD""),IF(REGEXMATCH(N$5,""SUN""),""WO"",""-""))))))"),"WO")</f>
        <v>WO</v>
      </c>
      <c r="O282" s="43" t="str">
        <f>IFERROR(__xludf.DUMMYFUNCTION("IF($A277="""","""",IF(O$5="""","""",LET(logStatus,IFNA(INDEX(DATA_LOG!$E:$E,MATCH(1,(DATA_LOG!$A:$A=$A277)*(TEXT(DATA_LOG!$B:$B,""yyyy-MM-dd"")=TEXT(DATE($P$3,MONTH(1&amp;$N$3),VALUE(LEFT(O$5,2))),""yyyy-MM-dd"")),0)),""""),IF(logStatus&lt;&gt;"""",UPPER(logStatus)"&amp;",IF(O281&lt;&gt;"""",IF(VALUE(O281)&gt;=9/24,""FD"",""HD""),IF(REGEXMATCH(O$5,""SUN""),""WO"",""-""))))))"),"-")</f>
        <v>-</v>
      </c>
      <c r="P282" s="43" t="str">
        <f>IFERROR(__xludf.DUMMYFUNCTION("IF($A277="""","""",IF(P$5="""","""",LET(logStatus,IFNA(INDEX(DATA_LOG!$E:$E,MATCH(1,(DATA_LOG!$A:$A=$A277)*(TEXT(DATA_LOG!$B:$B,""yyyy-MM-dd"")=TEXT(DATE($P$3,MONTH(1&amp;$N$3),VALUE(LEFT(P$5,2))),""yyyy-MM-dd"")),0)),""""),IF(logStatus&lt;&gt;"""",UPPER(logStatus)"&amp;",IF(P281&lt;&gt;"""",IF(VALUE(P281)&gt;=9/24,""FD"",""HD""),IF(REGEXMATCH(P$5,""SUN""),""WO"",""-""))))))"),"-")</f>
        <v>-</v>
      </c>
      <c r="Q282" s="43" t="str">
        <f>IFERROR(__xludf.DUMMYFUNCTION("IF($A277="""","""",IF(Q$5="""","""",LET(logStatus,IFNA(INDEX(DATA_LOG!$E:$E,MATCH(1,(DATA_LOG!$A:$A=$A277)*(TEXT(DATA_LOG!$B:$B,""yyyy-MM-dd"")=TEXT(DATE($P$3,MONTH(1&amp;$N$3),VALUE(LEFT(Q$5,2))),""yyyy-MM-dd"")),0)),""""),IF(logStatus&lt;&gt;"""",UPPER(logStatus)"&amp;",IF(Q281&lt;&gt;"""",IF(VALUE(Q281)&gt;=9/24,""FD"",""HD""),IF(REGEXMATCH(Q$5,""SUN""),""WO"",""-""))))))"),"-")</f>
        <v>-</v>
      </c>
      <c r="R282" s="43" t="str">
        <f>IFERROR(__xludf.DUMMYFUNCTION("IF($A277="""","""",IF(R$5="""","""",LET(logStatus,IFNA(INDEX(DATA_LOG!$E:$E,MATCH(1,(DATA_LOG!$A:$A=$A277)*(TEXT(DATA_LOG!$B:$B,""yyyy-MM-dd"")=TEXT(DATE($P$3,MONTH(1&amp;$N$3),VALUE(LEFT(R$5,2))),""yyyy-MM-dd"")),0)),""""),IF(logStatus&lt;&gt;"""",UPPER(logStatus)"&amp;",IF(R281&lt;&gt;"""",IF(VALUE(R281)&gt;=9/24,""FD"",""HD""),IF(REGEXMATCH(R$5,""SUN""),""WO"",""-""))))))"),"-")</f>
        <v>-</v>
      </c>
      <c r="S282" s="43" t="str">
        <f>IFERROR(__xludf.DUMMYFUNCTION("IF($A277="""","""",IF(S$5="""","""",LET(logStatus,IFNA(INDEX(DATA_LOG!$E:$E,MATCH(1,(DATA_LOG!$A:$A=$A277)*(TEXT(DATA_LOG!$B:$B,""yyyy-MM-dd"")=TEXT(DATE($P$3,MONTH(1&amp;$N$3),VALUE(LEFT(S$5,2))),""yyyy-MM-dd"")),0)),""""),IF(logStatus&lt;&gt;"""",UPPER(logStatus)"&amp;",IF(S281&lt;&gt;"""",IF(VALUE(S281)&gt;=9/24,""FD"",""HD""),IF(REGEXMATCH(S$5,""SUN""),""WO"",""-""))))))"),"-")</f>
        <v>-</v>
      </c>
      <c r="T282" s="43" t="str">
        <f>IFERROR(__xludf.DUMMYFUNCTION("IF($A277="""","""",IF(T$5="""","""",LET(logStatus,IFNA(INDEX(DATA_LOG!$E:$E,MATCH(1,(DATA_LOG!$A:$A=$A277)*(TEXT(DATA_LOG!$B:$B,""yyyy-MM-dd"")=TEXT(DATE($P$3,MONTH(1&amp;$N$3),VALUE(LEFT(T$5,2))),""yyyy-MM-dd"")),0)),""""),IF(logStatus&lt;&gt;"""",UPPER(logStatus)"&amp;",IF(T281&lt;&gt;"""",IF(VALUE(T281)&gt;=9/24,""FD"",""HD""),IF(REGEXMATCH(T$5,""SUN""),""WO"",""-""))))))"),"-")</f>
        <v>-</v>
      </c>
      <c r="U282" s="43" t="str">
        <f>IFERROR(__xludf.DUMMYFUNCTION("IF($A277="""","""",IF(U$5="""","""",LET(logStatus,IFNA(INDEX(DATA_LOG!$E:$E,MATCH(1,(DATA_LOG!$A:$A=$A277)*(TEXT(DATA_LOG!$B:$B,""yyyy-MM-dd"")=TEXT(DATE($P$3,MONTH(1&amp;$N$3),VALUE(LEFT(U$5,2))),""yyyy-MM-dd"")),0)),""""),IF(logStatus&lt;&gt;"""",UPPER(logStatus)"&amp;",IF(U281&lt;&gt;"""",IF(VALUE(U281)&gt;=9/24,""FD"",""HD""),IF(REGEXMATCH(U$5,""SUN""),""WO"",""-""))))))"),"WO")</f>
        <v>WO</v>
      </c>
      <c r="V282" s="43" t="str">
        <f>IFERROR(__xludf.DUMMYFUNCTION("IF($A277="""","""",IF(V$5="""","""",LET(logStatus,IFNA(INDEX(DATA_LOG!$E:$E,MATCH(1,(DATA_LOG!$A:$A=$A277)*(TEXT(DATA_LOG!$B:$B,""yyyy-MM-dd"")=TEXT(DATE($P$3,MONTH(1&amp;$N$3),VALUE(LEFT(V$5,2))),""yyyy-MM-dd"")),0)),""""),IF(logStatus&lt;&gt;"""",UPPER(logStatus)"&amp;",IF(V281&lt;&gt;"""",IF(VALUE(V281)&gt;=9/24,""FD"",""HD""),IF(REGEXMATCH(V$5,""SUN""),""WO"",""-""))))))"),"-")</f>
        <v>-</v>
      </c>
      <c r="W282" s="43" t="str">
        <f>IFERROR(__xludf.DUMMYFUNCTION("IF($A277="""","""",IF(W$5="""","""",LET(logStatus,IFNA(INDEX(DATA_LOG!$E:$E,MATCH(1,(DATA_LOG!$A:$A=$A277)*(TEXT(DATA_LOG!$B:$B,""yyyy-MM-dd"")=TEXT(DATE($P$3,MONTH(1&amp;$N$3),VALUE(LEFT(W$5,2))),""yyyy-MM-dd"")),0)),""""),IF(logStatus&lt;&gt;"""",UPPER(logStatus)"&amp;",IF(W281&lt;&gt;"""",IF(VALUE(W281)&gt;=9/24,""FD"",""HD""),IF(REGEXMATCH(W$5,""SUN""),""WO"",""-""))))))"),"-")</f>
        <v>-</v>
      </c>
      <c r="X282" s="43" t="str">
        <f>IFERROR(__xludf.DUMMYFUNCTION("IF($A277="""","""",IF(X$5="""","""",LET(logStatus,IFNA(INDEX(DATA_LOG!$E:$E,MATCH(1,(DATA_LOG!$A:$A=$A277)*(TEXT(DATA_LOG!$B:$B,""yyyy-MM-dd"")=TEXT(DATE($P$3,MONTH(1&amp;$N$3),VALUE(LEFT(X$5,2))),""yyyy-MM-dd"")),0)),""""),IF(logStatus&lt;&gt;"""",UPPER(logStatus)"&amp;",IF(X281&lt;&gt;"""",IF(VALUE(X281)&gt;=9/24,""FD"",""HD""),IF(REGEXMATCH(X$5,""SUN""),""WO"",""-""))))))"),"-")</f>
        <v>-</v>
      </c>
      <c r="Y282" s="43" t="str">
        <f>IFERROR(__xludf.DUMMYFUNCTION("IF($A277="""","""",IF(Y$5="""","""",LET(logStatus,IFNA(INDEX(DATA_LOG!$E:$E,MATCH(1,(DATA_LOG!$A:$A=$A277)*(TEXT(DATA_LOG!$B:$B,""yyyy-MM-dd"")=TEXT(DATE($P$3,MONTH(1&amp;$N$3),VALUE(LEFT(Y$5,2))),""yyyy-MM-dd"")),0)),""""),IF(logStatus&lt;&gt;"""",UPPER(logStatus)"&amp;",IF(Y281&lt;&gt;"""",IF(VALUE(Y281)&gt;=9/24,""FD"",""HD""),IF(REGEXMATCH(Y$5,""SUN""),""WO"",""-""))))))"),"-")</f>
        <v>-</v>
      </c>
      <c r="Z282" s="43" t="str">
        <f>IFERROR(__xludf.DUMMYFUNCTION("IF($A277="""","""",IF(Z$5="""","""",LET(logStatus,IFNA(INDEX(DATA_LOG!$E:$E,MATCH(1,(DATA_LOG!$A:$A=$A277)*(TEXT(DATA_LOG!$B:$B,""yyyy-MM-dd"")=TEXT(DATE($P$3,MONTH(1&amp;$N$3),VALUE(LEFT(Z$5,2))),""yyyy-MM-dd"")),0)),""""),IF(logStatus&lt;&gt;"""",UPPER(logStatus)"&amp;",IF(Z281&lt;&gt;"""",IF(VALUE(Z281)&gt;=9/24,""FD"",""HD""),IF(REGEXMATCH(Z$5,""SUN""),""WO"",""-""))))))"),"-")</f>
        <v>-</v>
      </c>
      <c r="AA282" s="43" t="str">
        <f>IFERROR(__xludf.DUMMYFUNCTION("IF($A277="""","""",IF(AA$5="""","""",LET(logStatus,IFNA(INDEX(DATA_LOG!$E:$E,MATCH(1,(DATA_LOG!$A:$A=$A277)*(TEXT(DATA_LOG!$B:$B,""yyyy-MM-dd"")=TEXT(DATE($P$3,MONTH(1&amp;$N$3),VALUE(LEFT(AA$5,2))),""yyyy-MM-dd"")),0)),""""),IF(logStatus&lt;&gt;"""",UPPER(logStatu"&amp;"s),IF(AA281&lt;&gt;"""",IF(VALUE(AA281)&gt;=9/24,""FD"",""HD""),IF(REGEXMATCH(AA$5,""SUN""),""WO"",""-""))))))"),"-")</f>
        <v>-</v>
      </c>
      <c r="AB282" s="43" t="str">
        <f>IFERROR(__xludf.DUMMYFUNCTION("IF($A277="""","""",IF(AB$5="""","""",LET(logStatus,IFNA(INDEX(DATA_LOG!$E:$E,MATCH(1,(DATA_LOG!$A:$A=$A277)*(TEXT(DATA_LOG!$B:$B,""yyyy-MM-dd"")=TEXT(DATE($P$3,MONTH(1&amp;$N$3),VALUE(LEFT(AB$5,2))),""yyyy-MM-dd"")),0)),""""),IF(logStatus&lt;&gt;"""",UPPER(logStatu"&amp;"s),IF(AB281&lt;&gt;"""",IF(VALUE(AB281)&gt;=9/24,""FD"",""HD""),IF(REGEXMATCH(AB$5,""SUN""),""WO"",""-""))))))"),"WO")</f>
        <v>WO</v>
      </c>
      <c r="AC282" s="43" t="str">
        <f>IFERROR(__xludf.DUMMYFUNCTION("IF($A277="""","""",IF(AC$5="""","""",LET(logStatus,IFNA(INDEX(DATA_LOG!$E:$E,MATCH(1,(DATA_LOG!$A:$A=$A277)*(TEXT(DATA_LOG!$B:$B,""yyyy-MM-dd"")=TEXT(DATE($P$3,MONTH(1&amp;$N$3),VALUE(LEFT(AC$5,2))),""yyyy-MM-dd"")),0)),""""),IF(logStatus&lt;&gt;"""",UPPER(logStatu"&amp;"s),IF(AC281&lt;&gt;"""",IF(VALUE(AC281)&gt;=9/24,""FD"",""HD""),IF(REGEXMATCH(AC$5,""SUN""),""WO"",""-""))))))"),"-")</f>
        <v>-</v>
      </c>
      <c r="AD282" s="43" t="str">
        <f>IFERROR(__xludf.DUMMYFUNCTION("IF($A277="""","""",IF(AD$5="""","""",LET(logStatus,IFNA(INDEX(DATA_LOG!$E:$E,MATCH(1,(DATA_LOG!$A:$A=$A277)*(TEXT(DATA_LOG!$B:$B,""yyyy-MM-dd"")=TEXT(DATE($P$3,MONTH(1&amp;$N$3),VALUE(LEFT(AD$5,2))),""yyyy-MM-dd"")),0)),""""),IF(logStatus&lt;&gt;"""",UPPER(logStatu"&amp;"s),IF(AD281&lt;&gt;"""",IF(VALUE(AD281)&gt;=9/24,""FD"",""HD""),IF(REGEXMATCH(AD$5,""SUN""),""WO"",""-""))))))"),"-")</f>
        <v>-</v>
      </c>
      <c r="AE282" s="43" t="str">
        <f>IFERROR(__xludf.DUMMYFUNCTION("IF($A277="""","""",IF(AE$5="""","""",LET(logStatus,IFNA(INDEX(DATA_LOG!$E:$E,MATCH(1,(DATA_LOG!$A:$A=$A277)*(TEXT(DATA_LOG!$B:$B,""yyyy-MM-dd"")=TEXT(DATE($P$3,MONTH(1&amp;$N$3),VALUE(LEFT(AE$5,2))),""yyyy-MM-dd"")),0)),""""),IF(logStatus&lt;&gt;"""",UPPER(logStatu"&amp;"s),IF(AE281&lt;&gt;"""",IF(VALUE(AE281)&gt;=9/24,""FD"",""HD""),IF(REGEXMATCH(AE$5,""SUN""),""WO"",""-""))))))"),"-")</f>
        <v>-</v>
      </c>
      <c r="AF282" s="43" t="str">
        <f>IFERROR(__xludf.DUMMYFUNCTION("IF($A277="""","""",IF(AF$5="""","""",LET(logStatus,IFNA(INDEX(DATA_LOG!$E:$E,MATCH(1,(DATA_LOG!$A:$A=$A277)*(TEXT(DATA_LOG!$B:$B,""yyyy-MM-dd"")=TEXT(DATE($P$3,MONTH(1&amp;$N$3),VALUE(LEFT(AF$5,2))),""yyyy-MM-dd"")),0)),""""),IF(logStatus&lt;&gt;"""",UPPER(logStatu"&amp;"s),IF(AF281&lt;&gt;"""",IF(VALUE(AF281)&gt;=9/24,""FD"",""HD""),IF(REGEXMATCH(AF$5,""SUN""),""WO"",""-""))))))"),"")</f>
        <v/>
      </c>
    </row>
    <row r="283">
      <c r="A283" s="44"/>
    </row>
    <row r="284">
      <c r="A284" s="44"/>
    </row>
    <row r="285">
      <c r="A285" s="44"/>
    </row>
    <row r="286">
      <c r="A286" s="44"/>
    </row>
    <row r="287">
      <c r="A287" s="44"/>
    </row>
    <row r="288">
      <c r="A288" s="44"/>
    </row>
    <row r="289">
      <c r="A289" s="44"/>
    </row>
    <row r="290">
      <c r="A290" s="44"/>
    </row>
    <row r="291">
      <c r="A291" s="44"/>
    </row>
    <row r="292">
      <c r="A292" s="44"/>
    </row>
    <row r="293">
      <c r="A293" s="44"/>
    </row>
    <row r="294">
      <c r="A294" s="44"/>
    </row>
    <row r="295">
      <c r="A295" s="44"/>
    </row>
    <row r="296">
      <c r="A296" s="44"/>
    </row>
    <row r="297">
      <c r="A297" s="44"/>
    </row>
    <row r="298">
      <c r="A298" s="44"/>
    </row>
    <row r="299">
      <c r="A299" s="44"/>
    </row>
    <row r="300">
      <c r="A300" s="44"/>
    </row>
    <row r="301">
      <c r="A301" s="44"/>
    </row>
    <row r="302">
      <c r="A302" s="44"/>
    </row>
    <row r="303">
      <c r="A303" s="44"/>
    </row>
    <row r="304">
      <c r="A304" s="44"/>
    </row>
    <row r="305">
      <c r="A305" s="44"/>
    </row>
    <row r="306">
      <c r="A306" s="44"/>
    </row>
    <row r="307">
      <c r="A307" s="44"/>
    </row>
    <row r="308">
      <c r="A308" s="44"/>
    </row>
    <row r="309">
      <c r="A309" s="44"/>
    </row>
    <row r="310">
      <c r="A310" s="44"/>
    </row>
    <row r="311">
      <c r="A311" s="44"/>
    </row>
    <row r="312">
      <c r="A312" s="44"/>
    </row>
    <row r="313">
      <c r="A313" s="44"/>
    </row>
    <row r="314">
      <c r="A314" s="44"/>
    </row>
    <row r="315">
      <c r="A315" s="44"/>
    </row>
    <row r="316">
      <c r="A316" s="44"/>
    </row>
    <row r="317">
      <c r="A317" s="44"/>
    </row>
    <row r="318">
      <c r="A318" s="44"/>
    </row>
    <row r="319">
      <c r="A319" s="44"/>
    </row>
    <row r="320">
      <c r="A320" s="44"/>
    </row>
    <row r="321">
      <c r="A321" s="44"/>
    </row>
    <row r="322">
      <c r="A322" s="44"/>
    </row>
    <row r="323">
      <c r="A323" s="44"/>
    </row>
    <row r="324">
      <c r="A324" s="44"/>
    </row>
    <row r="325">
      <c r="A325" s="44"/>
    </row>
    <row r="326">
      <c r="A326" s="44"/>
    </row>
    <row r="327">
      <c r="A327" s="44"/>
    </row>
    <row r="328">
      <c r="A328" s="44"/>
    </row>
    <row r="329">
      <c r="A329" s="44"/>
    </row>
    <row r="330">
      <c r="A330" s="44"/>
    </row>
    <row r="331">
      <c r="A331" s="44"/>
    </row>
    <row r="332">
      <c r="A332" s="44"/>
    </row>
    <row r="333">
      <c r="A333" s="44"/>
    </row>
    <row r="334">
      <c r="A334" s="44"/>
    </row>
    <row r="335">
      <c r="A335" s="44"/>
    </row>
    <row r="336">
      <c r="A336" s="44"/>
    </row>
    <row r="337">
      <c r="A337" s="44"/>
    </row>
    <row r="338">
      <c r="A338" s="44"/>
    </row>
    <row r="339">
      <c r="A339" s="44"/>
    </row>
    <row r="340">
      <c r="A340" s="44"/>
    </row>
    <row r="341">
      <c r="A341" s="44"/>
    </row>
    <row r="342">
      <c r="A342" s="44"/>
    </row>
    <row r="343">
      <c r="A343" s="44"/>
    </row>
    <row r="344">
      <c r="A344" s="44"/>
    </row>
    <row r="345">
      <c r="A345" s="44"/>
    </row>
    <row r="346">
      <c r="A346" s="44"/>
    </row>
    <row r="347">
      <c r="A347" s="44"/>
    </row>
    <row r="348">
      <c r="A348" s="44"/>
    </row>
    <row r="349">
      <c r="A349" s="44"/>
    </row>
    <row r="350">
      <c r="A350" s="44"/>
    </row>
    <row r="351">
      <c r="A351" s="44"/>
    </row>
    <row r="352">
      <c r="A352" s="44"/>
    </row>
    <row r="353">
      <c r="A353" s="44"/>
    </row>
    <row r="354">
      <c r="A354" s="44"/>
    </row>
    <row r="355">
      <c r="A355" s="44"/>
    </row>
    <row r="356">
      <c r="A356" s="44"/>
    </row>
    <row r="357">
      <c r="A357" s="44"/>
    </row>
    <row r="358">
      <c r="A358" s="44"/>
    </row>
    <row r="359">
      <c r="A359" s="44"/>
    </row>
    <row r="360">
      <c r="A360" s="44"/>
    </row>
    <row r="361">
      <c r="A361" s="44"/>
    </row>
    <row r="362">
      <c r="A362" s="44"/>
    </row>
    <row r="363">
      <c r="A363" s="44"/>
    </row>
    <row r="364">
      <c r="A364" s="44"/>
    </row>
    <row r="365">
      <c r="A365" s="44"/>
    </row>
    <row r="366">
      <c r="A366" s="44"/>
    </row>
    <row r="367">
      <c r="A367" s="44"/>
    </row>
    <row r="368">
      <c r="A368" s="44"/>
    </row>
    <row r="369">
      <c r="A369" s="44"/>
    </row>
    <row r="370">
      <c r="A370" s="44"/>
    </row>
    <row r="371">
      <c r="A371" s="44"/>
    </row>
    <row r="372">
      <c r="A372" s="44"/>
    </row>
    <row r="373">
      <c r="A373" s="44"/>
    </row>
    <row r="374">
      <c r="A374" s="44"/>
    </row>
    <row r="375">
      <c r="A375" s="44"/>
    </row>
    <row r="376">
      <c r="A376" s="44"/>
    </row>
    <row r="377">
      <c r="A377" s="44"/>
    </row>
    <row r="378">
      <c r="A378" s="44"/>
    </row>
    <row r="379">
      <c r="A379" s="44"/>
    </row>
    <row r="380">
      <c r="A380" s="44"/>
    </row>
    <row r="381">
      <c r="A381" s="44"/>
    </row>
    <row r="382">
      <c r="A382" s="44"/>
    </row>
    <row r="383">
      <c r="A383" s="44"/>
    </row>
    <row r="384">
      <c r="A384" s="44"/>
    </row>
    <row r="385">
      <c r="A385" s="44"/>
    </row>
    <row r="386">
      <c r="A386" s="44"/>
    </row>
    <row r="387">
      <c r="A387" s="44"/>
    </row>
    <row r="388">
      <c r="A388" s="44"/>
    </row>
    <row r="389">
      <c r="A389" s="44"/>
    </row>
    <row r="390">
      <c r="A390" s="44"/>
    </row>
    <row r="391">
      <c r="A391" s="44"/>
    </row>
    <row r="392">
      <c r="A392" s="44"/>
    </row>
    <row r="393">
      <c r="A393" s="44"/>
    </row>
    <row r="394">
      <c r="A394" s="44"/>
    </row>
    <row r="395">
      <c r="A395" s="44"/>
    </row>
    <row r="396">
      <c r="A396" s="44"/>
    </row>
    <row r="397">
      <c r="A397" s="44"/>
    </row>
    <row r="398">
      <c r="A398" s="44"/>
    </row>
    <row r="399">
      <c r="A399" s="44"/>
    </row>
    <row r="400">
      <c r="A400" s="44"/>
    </row>
    <row r="401">
      <c r="A401" s="44"/>
    </row>
    <row r="402">
      <c r="A402" s="44"/>
    </row>
    <row r="403">
      <c r="A403" s="44"/>
    </row>
    <row r="404">
      <c r="A404" s="44"/>
    </row>
    <row r="405">
      <c r="A405" s="44"/>
    </row>
    <row r="406">
      <c r="A406" s="44"/>
    </row>
    <row r="407">
      <c r="A407" s="44"/>
    </row>
    <row r="408">
      <c r="A408" s="44"/>
    </row>
    <row r="409">
      <c r="A409" s="44"/>
    </row>
    <row r="410">
      <c r="A410" s="44"/>
    </row>
    <row r="411">
      <c r="A411" s="44"/>
    </row>
    <row r="412">
      <c r="A412" s="44"/>
    </row>
    <row r="413">
      <c r="A413" s="44"/>
    </row>
    <row r="414">
      <c r="A414" s="44"/>
    </row>
    <row r="415">
      <c r="A415" s="44"/>
    </row>
    <row r="416">
      <c r="A416" s="44"/>
    </row>
    <row r="417">
      <c r="A417" s="44"/>
    </row>
    <row r="418">
      <c r="A418" s="44"/>
    </row>
    <row r="419">
      <c r="A419" s="44"/>
    </row>
    <row r="420">
      <c r="A420" s="44"/>
    </row>
    <row r="421">
      <c r="A421" s="44"/>
    </row>
    <row r="422">
      <c r="A422" s="44"/>
    </row>
    <row r="423">
      <c r="A423" s="44"/>
    </row>
    <row r="424">
      <c r="A424" s="44"/>
    </row>
    <row r="425">
      <c r="A425" s="44"/>
    </row>
    <row r="426">
      <c r="A426" s="44"/>
    </row>
    <row r="427">
      <c r="A427" s="44"/>
    </row>
    <row r="428">
      <c r="A428" s="44"/>
    </row>
    <row r="429">
      <c r="A429" s="44"/>
    </row>
    <row r="430">
      <c r="A430" s="44"/>
    </row>
    <row r="431">
      <c r="A431" s="44"/>
    </row>
    <row r="432">
      <c r="A432" s="44"/>
    </row>
    <row r="433">
      <c r="A433" s="44"/>
    </row>
    <row r="434">
      <c r="A434" s="44"/>
    </row>
    <row r="435">
      <c r="A435" s="44"/>
    </row>
    <row r="436">
      <c r="A436" s="44"/>
    </row>
    <row r="437">
      <c r="A437" s="44"/>
    </row>
    <row r="438">
      <c r="A438" s="44"/>
    </row>
    <row r="439">
      <c r="A439" s="44"/>
    </row>
    <row r="440">
      <c r="A440" s="44"/>
    </row>
    <row r="441">
      <c r="A441" s="44"/>
    </row>
    <row r="442">
      <c r="A442" s="44"/>
    </row>
    <row r="443">
      <c r="A443" s="44"/>
    </row>
    <row r="444">
      <c r="A444" s="44"/>
    </row>
    <row r="445">
      <c r="A445" s="44"/>
    </row>
    <row r="446">
      <c r="A446" s="44"/>
    </row>
    <row r="447">
      <c r="A447" s="44"/>
    </row>
    <row r="448">
      <c r="A448" s="44"/>
    </row>
    <row r="449">
      <c r="A449" s="44"/>
    </row>
    <row r="450">
      <c r="A450" s="44"/>
    </row>
    <row r="451">
      <c r="A451" s="44"/>
    </row>
    <row r="452">
      <c r="A452" s="44"/>
    </row>
    <row r="453">
      <c r="A453" s="44"/>
    </row>
    <row r="454">
      <c r="A454" s="44"/>
    </row>
    <row r="455">
      <c r="A455" s="44"/>
    </row>
    <row r="456">
      <c r="A456" s="44"/>
    </row>
    <row r="457">
      <c r="A457" s="44"/>
    </row>
    <row r="458">
      <c r="A458" s="44"/>
    </row>
    <row r="459">
      <c r="A459" s="44"/>
    </row>
    <row r="460">
      <c r="A460" s="44"/>
    </row>
    <row r="461">
      <c r="A461" s="44"/>
    </row>
    <row r="462">
      <c r="A462" s="44"/>
    </row>
    <row r="463">
      <c r="A463" s="44"/>
    </row>
    <row r="464">
      <c r="A464" s="44"/>
    </row>
    <row r="465">
      <c r="A465" s="44"/>
    </row>
    <row r="466">
      <c r="A466" s="44"/>
    </row>
    <row r="467">
      <c r="A467" s="44"/>
    </row>
    <row r="468">
      <c r="A468" s="44"/>
    </row>
    <row r="469">
      <c r="A469" s="44"/>
    </row>
    <row r="470">
      <c r="A470" s="44"/>
    </row>
    <row r="471">
      <c r="A471" s="44"/>
    </row>
    <row r="472">
      <c r="A472" s="44"/>
    </row>
    <row r="473">
      <c r="A473" s="44"/>
    </row>
    <row r="474">
      <c r="A474" s="44"/>
    </row>
    <row r="475">
      <c r="A475" s="44"/>
    </row>
    <row r="476">
      <c r="A476" s="44"/>
    </row>
    <row r="477">
      <c r="A477" s="44"/>
    </row>
    <row r="478">
      <c r="A478" s="44"/>
    </row>
    <row r="479">
      <c r="A479" s="44"/>
    </row>
    <row r="480">
      <c r="A480" s="44"/>
    </row>
    <row r="481">
      <c r="A481" s="44"/>
    </row>
    <row r="482">
      <c r="A482" s="44"/>
    </row>
    <row r="483">
      <c r="A483" s="44"/>
    </row>
    <row r="484">
      <c r="A484" s="44"/>
    </row>
    <row r="485">
      <c r="A485" s="44"/>
    </row>
    <row r="486">
      <c r="A486" s="44"/>
    </row>
    <row r="487">
      <c r="A487" s="44"/>
    </row>
    <row r="488">
      <c r="A488" s="44"/>
    </row>
    <row r="489">
      <c r="A489" s="44"/>
    </row>
    <row r="490">
      <c r="A490" s="44"/>
    </row>
    <row r="491">
      <c r="A491" s="44"/>
    </row>
    <row r="492">
      <c r="A492" s="44"/>
    </row>
    <row r="493">
      <c r="A493" s="44"/>
    </row>
    <row r="494">
      <c r="A494" s="44"/>
    </row>
    <row r="495">
      <c r="A495" s="44"/>
    </row>
    <row r="496">
      <c r="A496" s="44"/>
    </row>
    <row r="497">
      <c r="A497" s="44"/>
    </row>
    <row r="498">
      <c r="A498" s="44"/>
    </row>
    <row r="499">
      <c r="A499" s="44"/>
    </row>
    <row r="500">
      <c r="A500" s="44"/>
    </row>
    <row r="501">
      <c r="A501" s="44"/>
    </row>
    <row r="502">
      <c r="A502" s="44"/>
    </row>
    <row r="503">
      <c r="A503" s="44"/>
    </row>
    <row r="504">
      <c r="A504" s="44"/>
    </row>
    <row r="505">
      <c r="A505" s="44"/>
    </row>
    <row r="506">
      <c r="A506" s="44"/>
    </row>
    <row r="507">
      <c r="A507" s="44"/>
    </row>
    <row r="508">
      <c r="A508" s="44"/>
    </row>
    <row r="509">
      <c r="A509" s="44"/>
    </row>
    <row r="510">
      <c r="A510" s="44"/>
    </row>
    <row r="511">
      <c r="A511" s="44"/>
    </row>
    <row r="512">
      <c r="A512" s="44"/>
    </row>
    <row r="513">
      <c r="A513" s="44"/>
    </row>
    <row r="514">
      <c r="A514" s="44"/>
    </row>
    <row r="515">
      <c r="A515" s="44"/>
    </row>
    <row r="516">
      <c r="A516" s="44"/>
    </row>
    <row r="517">
      <c r="A517" s="44"/>
    </row>
    <row r="518">
      <c r="A518" s="44"/>
    </row>
    <row r="519">
      <c r="A519" s="44"/>
    </row>
    <row r="520">
      <c r="A520" s="44"/>
    </row>
    <row r="521">
      <c r="A521" s="44"/>
    </row>
    <row r="522">
      <c r="A522" s="44"/>
    </row>
    <row r="523">
      <c r="A523" s="44"/>
    </row>
    <row r="524">
      <c r="A524" s="44"/>
    </row>
    <row r="525">
      <c r="A525" s="44"/>
    </row>
    <row r="526">
      <c r="A526" s="44"/>
    </row>
    <row r="527">
      <c r="A527" s="44"/>
    </row>
    <row r="528">
      <c r="A528" s="44"/>
    </row>
    <row r="529">
      <c r="A529" s="44"/>
    </row>
    <row r="530">
      <c r="A530" s="44"/>
    </row>
    <row r="531">
      <c r="A531" s="44"/>
    </row>
    <row r="532">
      <c r="A532" s="44"/>
    </row>
    <row r="533">
      <c r="A533" s="44"/>
    </row>
    <row r="534">
      <c r="A534" s="44"/>
    </row>
    <row r="535">
      <c r="A535" s="44"/>
    </row>
    <row r="536">
      <c r="A536" s="44"/>
    </row>
    <row r="537">
      <c r="A537" s="44"/>
    </row>
    <row r="538">
      <c r="A538" s="44"/>
    </row>
    <row r="539">
      <c r="A539" s="44"/>
    </row>
    <row r="540">
      <c r="A540" s="44"/>
    </row>
    <row r="541">
      <c r="A541" s="44"/>
    </row>
    <row r="542">
      <c r="A542" s="44"/>
    </row>
    <row r="543">
      <c r="A543" s="44"/>
    </row>
    <row r="544">
      <c r="A544" s="44"/>
    </row>
    <row r="545">
      <c r="A545" s="44"/>
    </row>
    <row r="546">
      <c r="A546" s="44"/>
    </row>
    <row r="547">
      <c r="A547" s="44"/>
    </row>
    <row r="548">
      <c r="A548" s="44"/>
    </row>
    <row r="549">
      <c r="A549" s="44"/>
    </row>
    <row r="550">
      <c r="A550" s="44"/>
    </row>
    <row r="551">
      <c r="A551" s="44"/>
    </row>
    <row r="552">
      <c r="A552" s="44"/>
    </row>
    <row r="553">
      <c r="A553" s="44"/>
    </row>
    <row r="554">
      <c r="A554" s="44"/>
    </row>
    <row r="555">
      <c r="A555" s="44"/>
    </row>
    <row r="556">
      <c r="A556" s="44"/>
    </row>
    <row r="557">
      <c r="A557" s="44"/>
    </row>
    <row r="558">
      <c r="A558" s="44"/>
    </row>
    <row r="559">
      <c r="A559" s="44"/>
    </row>
    <row r="560">
      <c r="A560" s="44"/>
    </row>
    <row r="561">
      <c r="A561" s="44"/>
    </row>
    <row r="562">
      <c r="A562" s="44"/>
    </row>
    <row r="563">
      <c r="A563" s="44"/>
    </row>
    <row r="564">
      <c r="A564" s="44"/>
    </row>
    <row r="565">
      <c r="A565" s="44"/>
    </row>
    <row r="566">
      <c r="A566" s="44"/>
    </row>
    <row r="567">
      <c r="A567" s="44"/>
    </row>
    <row r="568">
      <c r="A568" s="44"/>
    </row>
    <row r="569">
      <c r="A569" s="44"/>
    </row>
    <row r="570">
      <c r="A570" s="44"/>
    </row>
    <row r="571">
      <c r="A571" s="44"/>
    </row>
    <row r="572">
      <c r="A572" s="44"/>
    </row>
    <row r="573">
      <c r="A573" s="44"/>
    </row>
    <row r="574">
      <c r="A574" s="44"/>
    </row>
    <row r="575">
      <c r="A575" s="44"/>
    </row>
    <row r="576">
      <c r="A576" s="44"/>
    </row>
    <row r="577">
      <c r="A577" s="44"/>
    </row>
    <row r="578">
      <c r="A578" s="44"/>
    </row>
    <row r="579">
      <c r="A579" s="44"/>
    </row>
    <row r="580">
      <c r="A580" s="44"/>
    </row>
    <row r="581">
      <c r="A581" s="44"/>
    </row>
    <row r="582">
      <c r="A582" s="44"/>
    </row>
    <row r="583">
      <c r="A583" s="44"/>
    </row>
    <row r="584">
      <c r="A584" s="44"/>
    </row>
    <row r="585">
      <c r="A585" s="44"/>
    </row>
    <row r="586">
      <c r="A586" s="44"/>
    </row>
    <row r="587">
      <c r="A587" s="44"/>
    </row>
    <row r="588">
      <c r="A588" s="44"/>
    </row>
    <row r="589">
      <c r="A589" s="44"/>
    </row>
    <row r="590">
      <c r="A590" s="44"/>
    </row>
    <row r="591">
      <c r="A591" s="44"/>
    </row>
    <row r="592">
      <c r="A592" s="44"/>
    </row>
    <row r="593">
      <c r="A593" s="44"/>
    </row>
    <row r="594">
      <c r="A594" s="44"/>
    </row>
    <row r="595">
      <c r="A595" s="44"/>
    </row>
    <row r="596">
      <c r="A596" s="44"/>
    </row>
    <row r="597">
      <c r="A597" s="44"/>
    </row>
    <row r="598">
      <c r="A598" s="44"/>
    </row>
    <row r="599">
      <c r="A599" s="44"/>
    </row>
    <row r="600">
      <c r="A600" s="44"/>
    </row>
    <row r="601">
      <c r="A601" s="44"/>
    </row>
    <row r="602">
      <c r="A602" s="44"/>
    </row>
    <row r="603">
      <c r="A603" s="44"/>
    </row>
    <row r="604">
      <c r="A604" s="44"/>
    </row>
    <row r="605">
      <c r="A605" s="44"/>
    </row>
    <row r="606">
      <c r="A606" s="44"/>
    </row>
    <row r="607">
      <c r="A607" s="44"/>
    </row>
    <row r="608">
      <c r="A608" s="44"/>
    </row>
    <row r="609">
      <c r="A609" s="44"/>
    </row>
    <row r="610">
      <c r="A610" s="44"/>
    </row>
    <row r="611">
      <c r="A611" s="44"/>
    </row>
    <row r="612">
      <c r="A612" s="44"/>
    </row>
    <row r="613">
      <c r="A613" s="44"/>
    </row>
    <row r="614">
      <c r="A614" s="44"/>
    </row>
    <row r="615">
      <c r="A615" s="44"/>
    </row>
    <row r="616">
      <c r="A616" s="44"/>
    </row>
    <row r="617">
      <c r="A617" s="44"/>
    </row>
    <row r="618">
      <c r="A618" s="44"/>
    </row>
    <row r="619">
      <c r="A619" s="44"/>
    </row>
    <row r="620">
      <c r="A620" s="44"/>
    </row>
    <row r="621">
      <c r="A621" s="44"/>
    </row>
    <row r="622">
      <c r="A622" s="44"/>
    </row>
    <row r="623">
      <c r="A623" s="44"/>
    </row>
    <row r="624">
      <c r="A624" s="44"/>
    </row>
    <row r="625">
      <c r="A625" s="44"/>
    </row>
    <row r="626">
      <c r="A626" s="44"/>
    </row>
    <row r="627">
      <c r="A627" s="44"/>
    </row>
    <row r="628">
      <c r="A628" s="44"/>
    </row>
    <row r="629">
      <c r="A629" s="44"/>
    </row>
    <row r="630">
      <c r="A630" s="44"/>
    </row>
    <row r="631">
      <c r="A631" s="44"/>
    </row>
    <row r="632">
      <c r="A632" s="44"/>
    </row>
    <row r="633">
      <c r="A633" s="44"/>
    </row>
    <row r="634">
      <c r="A634" s="44"/>
    </row>
    <row r="635">
      <c r="A635" s="44"/>
    </row>
    <row r="636">
      <c r="A636" s="44"/>
    </row>
    <row r="637">
      <c r="A637" s="44"/>
    </row>
    <row r="638">
      <c r="A638" s="44"/>
    </row>
    <row r="639">
      <c r="A639" s="44"/>
    </row>
    <row r="640">
      <c r="A640" s="44"/>
    </row>
    <row r="641">
      <c r="A641" s="44"/>
    </row>
    <row r="642">
      <c r="A642" s="44"/>
    </row>
    <row r="643">
      <c r="A643" s="44"/>
    </row>
    <row r="644">
      <c r="A644" s="44"/>
    </row>
    <row r="645">
      <c r="A645" s="44"/>
    </row>
    <row r="646">
      <c r="A646" s="44"/>
    </row>
    <row r="647">
      <c r="A647" s="44"/>
    </row>
    <row r="648">
      <c r="A648" s="44"/>
    </row>
    <row r="649">
      <c r="A649" s="44"/>
    </row>
    <row r="650">
      <c r="A650" s="44"/>
    </row>
    <row r="651">
      <c r="A651" s="44"/>
    </row>
    <row r="652">
      <c r="A652" s="44"/>
    </row>
    <row r="653">
      <c r="A653" s="44"/>
    </row>
    <row r="654">
      <c r="A654" s="44"/>
    </row>
    <row r="655">
      <c r="A655" s="44"/>
    </row>
    <row r="656">
      <c r="A656" s="44"/>
    </row>
    <row r="657">
      <c r="A657" s="44"/>
    </row>
    <row r="658">
      <c r="A658" s="44"/>
    </row>
    <row r="659">
      <c r="A659" s="44"/>
    </row>
    <row r="660">
      <c r="A660" s="44"/>
    </row>
    <row r="661">
      <c r="A661" s="44"/>
    </row>
    <row r="662">
      <c r="A662" s="44"/>
    </row>
    <row r="663">
      <c r="A663" s="44"/>
    </row>
    <row r="664">
      <c r="A664" s="44"/>
    </row>
    <row r="665">
      <c r="A665" s="44"/>
    </row>
    <row r="666">
      <c r="A666" s="44"/>
    </row>
    <row r="667">
      <c r="A667" s="44"/>
    </row>
    <row r="668">
      <c r="A668" s="44"/>
    </row>
    <row r="669">
      <c r="A669" s="44"/>
    </row>
    <row r="670">
      <c r="A670" s="44"/>
    </row>
    <row r="671">
      <c r="A671" s="44"/>
    </row>
    <row r="672">
      <c r="A672" s="44"/>
    </row>
    <row r="673">
      <c r="A673" s="44"/>
    </row>
    <row r="674">
      <c r="A674" s="44"/>
    </row>
    <row r="675">
      <c r="A675" s="44"/>
    </row>
    <row r="676">
      <c r="A676" s="44"/>
    </row>
    <row r="677">
      <c r="A677" s="44"/>
    </row>
    <row r="678">
      <c r="A678" s="44"/>
    </row>
    <row r="679">
      <c r="A679" s="44"/>
    </row>
    <row r="680">
      <c r="A680" s="44"/>
    </row>
    <row r="681">
      <c r="A681" s="44"/>
    </row>
    <row r="682">
      <c r="A682" s="44"/>
    </row>
    <row r="683">
      <c r="A683" s="44"/>
    </row>
    <row r="684">
      <c r="A684" s="44"/>
    </row>
    <row r="685">
      <c r="A685" s="44"/>
    </row>
    <row r="686">
      <c r="A686" s="44"/>
    </row>
    <row r="687">
      <c r="A687" s="44"/>
    </row>
    <row r="688">
      <c r="A688" s="44"/>
    </row>
    <row r="689">
      <c r="A689" s="44"/>
    </row>
    <row r="690">
      <c r="A690" s="44"/>
    </row>
    <row r="691">
      <c r="A691" s="44"/>
    </row>
    <row r="692">
      <c r="A692" s="44"/>
    </row>
    <row r="693">
      <c r="A693" s="44"/>
    </row>
    <row r="694">
      <c r="A694" s="44"/>
    </row>
    <row r="695">
      <c r="A695" s="44"/>
    </row>
    <row r="696">
      <c r="A696" s="44"/>
    </row>
    <row r="697">
      <c r="A697" s="44"/>
    </row>
    <row r="698">
      <c r="A698" s="44"/>
    </row>
    <row r="699">
      <c r="A699" s="44"/>
    </row>
    <row r="700">
      <c r="A700" s="44"/>
    </row>
    <row r="701">
      <c r="A701" s="44"/>
    </row>
    <row r="702">
      <c r="A702" s="44"/>
    </row>
    <row r="703">
      <c r="A703" s="44"/>
    </row>
    <row r="704">
      <c r="A704" s="44"/>
    </row>
    <row r="705">
      <c r="A705" s="44"/>
    </row>
    <row r="706">
      <c r="A706" s="44"/>
    </row>
    <row r="707">
      <c r="A707" s="44"/>
    </row>
    <row r="708">
      <c r="A708" s="44"/>
    </row>
    <row r="709">
      <c r="A709" s="44"/>
    </row>
    <row r="710">
      <c r="A710" s="44"/>
    </row>
    <row r="711">
      <c r="A711" s="44"/>
    </row>
    <row r="712">
      <c r="A712" s="44"/>
    </row>
    <row r="713">
      <c r="A713" s="44"/>
    </row>
    <row r="714">
      <c r="A714" s="44"/>
    </row>
    <row r="715">
      <c r="A715" s="44"/>
    </row>
    <row r="716">
      <c r="A716" s="44"/>
    </row>
    <row r="717">
      <c r="A717" s="44"/>
    </row>
    <row r="718">
      <c r="A718" s="44"/>
    </row>
    <row r="719">
      <c r="A719" s="44"/>
    </row>
    <row r="720">
      <c r="A720" s="44"/>
    </row>
    <row r="721">
      <c r="A721" s="44"/>
    </row>
    <row r="722">
      <c r="A722" s="44"/>
    </row>
    <row r="723">
      <c r="A723" s="44"/>
    </row>
    <row r="724">
      <c r="A724" s="44"/>
    </row>
    <row r="725">
      <c r="A725" s="44"/>
    </row>
    <row r="726">
      <c r="A726" s="44"/>
    </row>
    <row r="727">
      <c r="A727" s="44"/>
    </row>
    <row r="728">
      <c r="A728" s="44"/>
    </row>
    <row r="729">
      <c r="A729" s="44"/>
    </row>
    <row r="730">
      <c r="A730" s="44"/>
    </row>
    <row r="731">
      <c r="A731" s="44"/>
    </row>
    <row r="732">
      <c r="A732" s="44"/>
    </row>
    <row r="733">
      <c r="A733" s="44"/>
    </row>
    <row r="734">
      <c r="A734" s="44"/>
    </row>
    <row r="735">
      <c r="A735" s="44"/>
    </row>
    <row r="736">
      <c r="A736" s="44"/>
    </row>
    <row r="737">
      <c r="A737" s="44"/>
    </row>
    <row r="738">
      <c r="A738" s="44"/>
    </row>
    <row r="739">
      <c r="A739" s="44"/>
    </row>
    <row r="740">
      <c r="A740" s="44"/>
    </row>
    <row r="741">
      <c r="A741" s="44"/>
    </row>
    <row r="742">
      <c r="A742" s="44"/>
    </row>
    <row r="743">
      <c r="A743" s="44"/>
    </row>
    <row r="744">
      <c r="A744" s="44"/>
    </row>
    <row r="745">
      <c r="A745" s="44"/>
    </row>
    <row r="746">
      <c r="A746" s="44"/>
    </row>
    <row r="747">
      <c r="A747" s="44"/>
    </row>
    <row r="748">
      <c r="A748" s="44"/>
    </row>
    <row r="749">
      <c r="A749" s="44"/>
    </row>
    <row r="750">
      <c r="A750" s="44"/>
    </row>
    <row r="751">
      <c r="A751" s="44"/>
    </row>
    <row r="752">
      <c r="A752" s="44"/>
    </row>
    <row r="753">
      <c r="A753" s="44"/>
    </row>
    <row r="754">
      <c r="A754" s="44"/>
    </row>
    <row r="755">
      <c r="A755" s="44"/>
    </row>
    <row r="756">
      <c r="A756" s="44"/>
    </row>
    <row r="757">
      <c r="A757" s="44"/>
    </row>
    <row r="758">
      <c r="A758" s="44"/>
    </row>
    <row r="759">
      <c r="A759" s="44"/>
    </row>
    <row r="760">
      <c r="A760" s="44"/>
    </row>
    <row r="761">
      <c r="A761" s="44"/>
    </row>
    <row r="762">
      <c r="A762" s="44"/>
    </row>
    <row r="763">
      <c r="A763" s="44"/>
    </row>
    <row r="764">
      <c r="A764" s="44"/>
    </row>
    <row r="765">
      <c r="A765" s="44"/>
    </row>
    <row r="766">
      <c r="A766" s="44"/>
    </row>
    <row r="767">
      <c r="A767" s="44"/>
    </row>
    <row r="768">
      <c r="A768" s="44"/>
    </row>
    <row r="769">
      <c r="A769" s="44"/>
    </row>
    <row r="770">
      <c r="A770" s="44"/>
    </row>
    <row r="771">
      <c r="A771" s="44"/>
    </row>
    <row r="772">
      <c r="A772" s="44"/>
    </row>
    <row r="773">
      <c r="A773" s="44"/>
    </row>
    <row r="774">
      <c r="A774" s="44"/>
    </row>
    <row r="775">
      <c r="A775" s="44"/>
    </row>
    <row r="776">
      <c r="A776" s="44"/>
    </row>
    <row r="777">
      <c r="A777" s="44"/>
    </row>
    <row r="778">
      <c r="A778" s="44"/>
    </row>
    <row r="779">
      <c r="A779" s="44"/>
    </row>
    <row r="780">
      <c r="A780" s="44"/>
    </row>
    <row r="781">
      <c r="A781" s="44"/>
    </row>
    <row r="782">
      <c r="A782" s="44"/>
    </row>
    <row r="783">
      <c r="A783" s="44"/>
    </row>
    <row r="784">
      <c r="A784" s="44"/>
    </row>
    <row r="785">
      <c r="A785" s="44"/>
    </row>
    <row r="786">
      <c r="A786" s="44"/>
    </row>
    <row r="787">
      <c r="A787" s="44"/>
    </row>
    <row r="788">
      <c r="A788" s="44"/>
    </row>
    <row r="789">
      <c r="A789" s="44"/>
    </row>
    <row r="790">
      <c r="A790" s="44"/>
    </row>
    <row r="791">
      <c r="A791" s="44"/>
    </row>
    <row r="792">
      <c r="A792" s="44"/>
    </row>
    <row r="793">
      <c r="A793" s="44"/>
    </row>
    <row r="794">
      <c r="A794" s="44"/>
    </row>
    <row r="795">
      <c r="A795" s="44"/>
    </row>
    <row r="796">
      <c r="A796" s="44"/>
    </row>
    <row r="797">
      <c r="A797" s="44"/>
    </row>
    <row r="798">
      <c r="A798" s="44"/>
    </row>
    <row r="799">
      <c r="A799" s="44"/>
    </row>
    <row r="800">
      <c r="A800" s="44"/>
    </row>
    <row r="801">
      <c r="A801" s="44"/>
    </row>
    <row r="802">
      <c r="A802" s="44"/>
    </row>
    <row r="803">
      <c r="A803" s="44"/>
    </row>
    <row r="804">
      <c r="A804" s="44"/>
    </row>
    <row r="805">
      <c r="A805" s="44"/>
    </row>
    <row r="806">
      <c r="A806" s="44"/>
    </row>
    <row r="807">
      <c r="A807" s="44"/>
    </row>
    <row r="808">
      <c r="A808" s="44"/>
    </row>
    <row r="809">
      <c r="A809" s="44"/>
    </row>
    <row r="810">
      <c r="A810" s="44"/>
    </row>
    <row r="811">
      <c r="A811" s="44"/>
    </row>
    <row r="812">
      <c r="A812" s="44"/>
    </row>
    <row r="813">
      <c r="A813" s="44"/>
    </row>
    <row r="814">
      <c r="A814" s="44"/>
    </row>
    <row r="815">
      <c r="A815" s="44"/>
    </row>
    <row r="816">
      <c r="A816" s="44"/>
    </row>
    <row r="817">
      <c r="A817" s="44"/>
    </row>
    <row r="818">
      <c r="A818" s="44"/>
    </row>
    <row r="819">
      <c r="A819" s="44"/>
    </row>
    <row r="820">
      <c r="A820" s="44"/>
    </row>
    <row r="821">
      <c r="A821" s="44"/>
    </row>
    <row r="822">
      <c r="A822" s="44"/>
    </row>
    <row r="823">
      <c r="A823" s="44"/>
    </row>
    <row r="824">
      <c r="A824" s="44"/>
    </row>
    <row r="825">
      <c r="A825" s="44"/>
    </row>
    <row r="826">
      <c r="A826" s="44"/>
    </row>
    <row r="827">
      <c r="A827" s="44"/>
    </row>
    <row r="828">
      <c r="A828" s="44"/>
    </row>
    <row r="829">
      <c r="A829" s="44"/>
    </row>
    <row r="830">
      <c r="A830" s="44"/>
    </row>
    <row r="831">
      <c r="A831" s="44"/>
    </row>
    <row r="832">
      <c r="A832" s="44"/>
    </row>
    <row r="833">
      <c r="A833" s="44"/>
    </row>
    <row r="834">
      <c r="A834" s="44"/>
    </row>
    <row r="835">
      <c r="A835" s="44"/>
    </row>
    <row r="836">
      <c r="A836" s="44"/>
    </row>
    <row r="837">
      <c r="A837" s="44"/>
    </row>
    <row r="838">
      <c r="A838" s="44"/>
    </row>
    <row r="839">
      <c r="A839" s="44"/>
    </row>
    <row r="840">
      <c r="A840" s="44"/>
    </row>
    <row r="841">
      <c r="A841" s="44"/>
    </row>
    <row r="842">
      <c r="A842" s="44"/>
    </row>
    <row r="843">
      <c r="A843" s="44"/>
    </row>
    <row r="844">
      <c r="A844" s="44"/>
    </row>
    <row r="845">
      <c r="A845" s="44"/>
    </row>
    <row r="846">
      <c r="A846" s="44"/>
    </row>
    <row r="847">
      <c r="A847" s="44"/>
    </row>
    <row r="848">
      <c r="A848" s="44"/>
    </row>
    <row r="849">
      <c r="A849" s="44"/>
    </row>
    <row r="850">
      <c r="A850" s="44"/>
    </row>
    <row r="851">
      <c r="A851" s="44"/>
    </row>
    <row r="852">
      <c r="A852" s="44"/>
    </row>
    <row r="853">
      <c r="A853" s="44"/>
    </row>
    <row r="854">
      <c r="A854" s="44"/>
    </row>
    <row r="855">
      <c r="A855" s="44"/>
    </row>
    <row r="856">
      <c r="A856" s="44"/>
    </row>
    <row r="857">
      <c r="A857" s="44"/>
    </row>
    <row r="858">
      <c r="A858" s="44"/>
    </row>
    <row r="859">
      <c r="A859" s="44"/>
    </row>
    <row r="860">
      <c r="A860" s="44"/>
    </row>
    <row r="861">
      <c r="A861" s="44"/>
    </row>
    <row r="862">
      <c r="A862" s="44"/>
    </row>
    <row r="863">
      <c r="A863" s="44"/>
    </row>
    <row r="864">
      <c r="A864" s="44"/>
    </row>
    <row r="865">
      <c r="A865" s="44"/>
    </row>
    <row r="866">
      <c r="A866" s="44"/>
    </row>
    <row r="867">
      <c r="A867" s="44"/>
    </row>
    <row r="868">
      <c r="A868" s="44"/>
    </row>
    <row r="869">
      <c r="A869" s="44"/>
    </row>
    <row r="870">
      <c r="A870" s="44"/>
    </row>
    <row r="871">
      <c r="A871" s="44"/>
    </row>
    <row r="872">
      <c r="A872" s="44"/>
    </row>
    <row r="873">
      <c r="A873" s="44"/>
    </row>
    <row r="874">
      <c r="A874" s="44"/>
    </row>
    <row r="875">
      <c r="A875" s="44"/>
    </row>
    <row r="876">
      <c r="A876" s="44"/>
    </row>
    <row r="877">
      <c r="A877" s="44"/>
    </row>
    <row r="878">
      <c r="A878" s="44"/>
    </row>
    <row r="879">
      <c r="A879" s="44"/>
    </row>
    <row r="880">
      <c r="A880" s="44"/>
    </row>
    <row r="881">
      <c r="A881" s="44"/>
    </row>
    <row r="882">
      <c r="A882" s="44"/>
    </row>
    <row r="883">
      <c r="A883" s="44"/>
    </row>
    <row r="884">
      <c r="A884" s="44"/>
    </row>
    <row r="885">
      <c r="A885" s="44"/>
    </row>
    <row r="886">
      <c r="A886" s="44"/>
    </row>
    <row r="887">
      <c r="A887" s="44"/>
    </row>
    <row r="888">
      <c r="A888" s="44"/>
    </row>
    <row r="889">
      <c r="A889" s="44"/>
    </row>
    <row r="890">
      <c r="A890" s="44"/>
    </row>
    <row r="891">
      <c r="A891" s="44"/>
    </row>
    <row r="892">
      <c r="A892" s="44"/>
    </row>
    <row r="893">
      <c r="A893" s="44"/>
    </row>
    <row r="894">
      <c r="A894" s="44"/>
    </row>
    <row r="895">
      <c r="A895" s="44"/>
    </row>
    <row r="896">
      <c r="A896" s="44"/>
    </row>
    <row r="897">
      <c r="A897" s="44"/>
    </row>
    <row r="898">
      <c r="A898" s="44"/>
    </row>
    <row r="899">
      <c r="A899" s="44"/>
    </row>
    <row r="900">
      <c r="A900" s="44"/>
    </row>
    <row r="901">
      <c r="A901" s="44"/>
    </row>
    <row r="902">
      <c r="A902" s="44"/>
    </row>
    <row r="903">
      <c r="A903" s="44"/>
    </row>
    <row r="904">
      <c r="A904" s="44"/>
    </row>
    <row r="905">
      <c r="A905" s="44"/>
    </row>
    <row r="906">
      <c r="A906" s="44"/>
    </row>
    <row r="907">
      <c r="A907" s="44"/>
    </row>
    <row r="908">
      <c r="A908" s="44"/>
    </row>
    <row r="909">
      <c r="A909" s="44"/>
    </row>
    <row r="910">
      <c r="A910" s="44"/>
    </row>
    <row r="911">
      <c r="A911" s="44"/>
    </row>
    <row r="912">
      <c r="A912" s="44"/>
    </row>
    <row r="913">
      <c r="A913" s="44"/>
    </row>
    <row r="914">
      <c r="A914" s="44"/>
    </row>
    <row r="915">
      <c r="A915" s="44"/>
    </row>
    <row r="916">
      <c r="A916" s="44"/>
    </row>
    <row r="917">
      <c r="A917" s="44"/>
    </row>
    <row r="918">
      <c r="A918" s="44"/>
    </row>
    <row r="919">
      <c r="A919" s="44"/>
    </row>
    <row r="920">
      <c r="A920" s="44"/>
    </row>
    <row r="921">
      <c r="A921" s="44"/>
    </row>
    <row r="922">
      <c r="A922" s="44"/>
    </row>
    <row r="923">
      <c r="A923" s="44"/>
    </row>
    <row r="924">
      <c r="A924" s="44"/>
    </row>
    <row r="925">
      <c r="A925" s="44"/>
    </row>
    <row r="926">
      <c r="A926" s="44"/>
    </row>
    <row r="927">
      <c r="A927" s="44"/>
    </row>
    <row r="928">
      <c r="A928" s="44"/>
    </row>
    <row r="929">
      <c r="A929" s="44"/>
    </row>
    <row r="930">
      <c r="A930" s="44"/>
    </row>
    <row r="931">
      <c r="A931" s="44"/>
    </row>
    <row r="932">
      <c r="A932" s="44"/>
    </row>
    <row r="933">
      <c r="A933" s="44"/>
    </row>
    <row r="934">
      <c r="A934" s="44"/>
    </row>
    <row r="935">
      <c r="A935" s="44"/>
    </row>
    <row r="936">
      <c r="A936" s="44"/>
    </row>
    <row r="937">
      <c r="A937" s="44"/>
    </row>
    <row r="938">
      <c r="A938" s="44"/>
    </row>
    <row r="939">
      <c r="A939" s="44"/>
    </row>
    <row r="940">
      <c r="A940" s="44"/>
    </row>
    <row r="941">
      <c r="A941" s="44"/>
    </row>
    <row r="942">
      <c r="A942" s="44"/>
    </row>
    <row r="943">
      <c r="A943" s="44"/>
    </row>
    <row r="944">
      <c r="A944" s="44"/>
    </row>
    <row r="945">
      <c r="A945" s="44"/>
    </row>
    <row r="946">
      <c r="A946" s="44"/>
    </row>
    <row r="947">
      <c r="A947" s="44"/>
    </row>
    <row r="948">
      <c r="A948" s="44"/>
    </row>
    <row r="949">
      <c r="A949" s="44"/>
    </row>
    <row r="950">
      <c r="A950" s="44"/>
    </row>
    <row r="951">
      <c r="A951" s="44"/>
    </row>
    <row r="952">
      <c r="A952" s="44"/>
    </row>
    <row r="953">
      <c r="A953" s="44"/>
    </row>
    <row r="954">
      <c r="A954" s="44"/>
    </row>
    <row r="955">
      <c r="A955" s="44"/>
    </row>
    <row r="956">
      <c r="A956" s="44"/>
    </row>
    <row r="957">
      <c r="A957" s="44"/>
    </row>
    <row r="958">
      <c r="A958" s="44"/>
    </row>
    <row r="959">
      <c r="A959" s="44"/>
    </row>
    <row r="960">
      <c r="A960" s="44"/>
    </row>
    <row r="961">
      <c r="A961" s="44"/>
    </row>
    <row r="962">
      <c r="A962" s="44"/>
    </row>
    <row r="963">
      <c r="A963" s="44"/>
    </row>
    <row r="964">
      <c r="A964" s="44"/>
    </row>
    <row r="965">
      <c r="A965" s="44"/>
    </row>
    <row r="966">
      <c r="A966" s="44"/>
    </row>
    <row r="967">
      <c r="A967" s="44"/>
    </row>
    <row r="968">
      <c r="A968" s="44"/>
    </row>
    <row r="969">
      <c r="A969" s="44"/>
    </row>
    <row r="970">
      <c r="A970" s="44"/>
    </row>
    <row r="971">
      <c r="A971" s="44"/>
    </row>
    <row r="972">
      <c r="A972" s="44"/>
    </row>
    <row r="973">
      <c r="A973" s="44"/>
    </row>
    <row r="974">
      <c r="A974" s="44"/>
    </row>
    <row r="975">
      <c r="A975" s="44"/>
    </row>
    <row r="976">
      <c r="A976" s="44"/>
    </row>
    <row r="977">
      <c r="A977" s="44"/>
    </row>
    <row r="978">
      <c r="A978" s="44"/>
    </row>
    <row r="979">
      <c r="A979" s="44"/>
    </row>
    <row r="980">
      <c r="A980" s="44"/>
    </row>
    <row r="981">
      <c r="A981" s="44"/>
    </row>
    <row r="982">
      <c r="A982" s="44"/>
    </row>
    <row r="983">
      <c r="A983" s="44"/>
    </row>
    <row r="984">
      <c r="A984" s="44"/>
    </row>
    <row r="985">
      <c r="A985" s="44"/>
    </row>
    <row r="986">
      <c r="A986" s="44"/>
    </row>
    <row r="987">
      <c r="A987" s="44"/>
    </row>
    <row r="988">
      <c r="A988" s="44"/>
    </row>
    <row r="989">
      <c r="A989" s="44"/>
    </row>
    <row r="990">
      <c r="A990" s="44"/>
    </row>
    <row r="991">
      <c r="A991" s="44"/>
    </row>
    <row r="992">
      <c r="A992" s="44"/>
    </row>
    <row r="993">
      <c r="A993" s="44"/>
    </row>
    <row r="994">
      <c r="A994" s="44"/>
    </row>
    <row r="995">
      <c r="A995" s="44"/>
    </row>
    <row r="996">
      <c r="A996" s="44"/>
    </row>
    <row r="997">
      <c r="A997" s="44"/>
    </row>
    <row r="998">
      <c r="A998" s="44"/>
    </row>
    <row r="999">
      <c r="A999" s="44"/>
    </row>
    <row r="1000">
      <c r="A1000" s="44"/>
    </row>
  </sheetData>
  <mergeCells count="404">
    <mergeCell ref="S4:U4"/>
    <mergeCell ref="V4:X4"/>
    <mergeCell ref="Y4:AA4"/>
    <mergeCell ref="AB4:AC4"/>
    <mergeCell ref="A1:AF1"/>
    <mergeCell ref="A2:AF2"/>
    <mergeCell ref="N3:O3"/>
    <mergeCell ref="P3:Q3"/>
    <mergeCell ref="A4:C4"/>
    <mergeCell ref="D4:G4"/>
    <mergeCell ref="H4:K4"/>
    <mergeCell ref="AD4:AF4"/>
    <mergeCell ref="S11:U11"/>
    <mergeCell ref="V11:X11"/>
    <mergeCell ref="Y11:AA11"/>
    <mergeCell ref="AB11:AC11"/>
    <mergeCell ref="AD11:AF11"/>
    <mergeCell ref="L4:O4"/>
    <mergeCell ref="P4:R4"/>
    <mergeCell ref="A11:C11"/>
    <mergeCell ref="D11:G11"/>
    <mergeCell ref="H11:K11"/>
    <mergeCell ref="L11:O11"/>
    <mergeCell ref="P11:R11"/>
    <mergeCell ref="Y18:AA18"/>
    <mergeCell ref="AB18:AC18"/>
    <mergeCell ref="AD18:AF18"/>
    <mergeCell ref="A18:C18"/>
    <mergeCell ref="D18:G18"/>
    <mergeCell ref="H18:K18"/>
    <mergeCell ref="L18:O18"/>
    <mergeCell ref="P18:R18"/>
    <mergeCell ref="S18:U18"/>
    <mergeCell ref="V18:X18"/>
    <mergeCell ref="Y46:AA46"/>
    <mergeCell ref="AB46:AC46"/>
    <mergeCell ref="AD46:AF46"/>
    <mergeCell ref="A46:C46"/>
    <mergeCell ref="D46:G46"/>
    <mergeCell ref="H46:K46"/>
    <mergeCell ref="L46:O46"/>
    <mergeCell ref="P46:R46"/>
    <mergeCell ref="S46:U46"/>
    <mergeCell ref="V46:X46"/>
    <mergeCell ref="Y53:AA53"/>
    <mergeCell ref="AB53:AC53"/>
    <mergeCell ref="AD53:AF53"/>
    <mergeCell ref="A53:C53"/>
    <mergeCell ref="D53:G53"/>
    <mergeCell ref="H53:K53"/>
    <mergeCell ref="L53:O53"/>
    <mergeCell ref="P53:R53"/>
    <mergeCell ref="S53:U53"/>
    <mergeCell ref="V53:X53"/>
    <mergeCell ref="Y60:AA60"/>
    <mergeCell ref="AB60:AC60"/>
    <mergeCell ref="AD60:AF60"/>
    <mergeCell ref="A60:C60"/>
    <mergeCell ref="D60:G60"/>
    <mergeCell ref="H60:K60"/>
    <mergeCell ref="L60:O60"/>
    <mergeCell ref="P60:R60"/>
    <mergeCell ref="S60:U60"/>
    <mergeCell ref="V60:X60"/>
    <mergeCell ref="Y67:AA67"/>
    <mergeCell ref="AB67:AC67"/>
    <mergeCell ref="AD67:AF67"/>
    <mergeCell ref="A67:C67"/>
    <mergeCell ref="D67:G67"/>
    <mergeCell ref="H67:K67"/>
    <mergeCell ref="L67:O67"/>
    <mergeCell ref="P67:R67"/>
    <mergeCell ref="S67:U67"/>
    <mergeCell ref="V67:X67"/>
    <mergeCell ref="Y74:AA74"/>
    <mergeCell ref="AB74:AC74"/>
    <mergeCell ref="AD74:AF74"/>
    <mergeCell ref="A74:C74"/>
    <mergeCell ref="D74:G74"/>
    <mergeCell ref="H74:K74"/>
    <mergeCell ref="L74:O74"/>
    <mergeCell ref="P74:R74"/>
    <mergeCell ref="S74:U74"/>
    <mergeCell ref="V74:X74"/>
    <mergeCell ref="Y81:AA81"/>
    <mergeCell ref="AB81:AC81"/>
    <mergeCell ref="AD81:AF81"/>
    <mergeCell ref="A81:C81"/>
    <mergeCell ref="D81:G81"/>
    <mergeCell ref="H81:K81"/>
    <mergeCell ref="L81:O81"/>
    <mergeCell ref="P81:R81"/>
    <mergeCell ref="S81:U81"/>
    <mergeCell ref="V81:X81"/>
    <mergeCell ref="Y88:AA88"/>
    <mergeCell ref="AB88:AC88"/>
    <mergeCell ref="AD88:AF88"/>
    <mergeCell ref="A88:C88"/>
    <mergeCell ref="D88:G88"/>
    <mergeCell ref="H88:K88"/>
    <mergeCell ref="L88:O88"/>
    <mergeCell ref="P88:R88"/>
    <mergeCell ref="S88:U88"/>
    <mergeCell ref="V88:X88"/>
    <mergeCell ref="Y95:AA95"/>
    <mergeCell ref="AB95:AC95"/>
    <mergeCell ref="AD95:AF95"/>
    <mergeCell ref="A95:C95"/>
    <mergeCell ref="D95:G95"/>
    <mergeCell ref="H95:K95"/>
    <mergeCell ref="L95:O95"/>
    <mergeCell ref="P95:R95"/>
    <mergeCell ref="S95:U95"/>
    <mergeCell ref="V95:X95"/>
    <mergeCell ref="Y102:AA102"/>
    <mergeCell ref="AB102:AC102"/>
    <mergeCell ref="AD102:AF102"/>
    <mergeCell ref="A102:C102"/>
    <mergeCell ref="D102:G102"/>
    <mergeCell ref="H102:K102"/>
    <mergeCell ref="L102:O102"/>
    <mergeCell ref="P102:R102"/>
    <mergeCell ref="S102:U102"/>
    <mergeCell ref="V102:X102"/>
    <mergeCell ref="Y109:AA109"/>
    <mergeCell ref="AB109:AC109"/>
    <mergeCell ref="AD109:AF109"/>
    <mergeCell ref="A109:C109"/>
    <mergeCell ref="D109:G109"/>
    <mergeCell ref="H109:K109"/>
    <mergeCell ref="L109:O109"/>
    <mergeCell ref="P109:R109"/>
    <mergeCell ref="S109:U109"/>
    <mergeCell ref="V109:X109"/>
    <mergeCell ref="Y116:AA116"/>
    <mergeCell ref="AB116:AC116"/>
    <mergeCell ref="AD116:AF116"/>
    <mergeCell ref="A116:C116"/>
    <mergeCell ref="D116:G116"/>
    <mergeCell ref="H116:K116"/>
    <mergeCell ref="L116:O116"/>
    <mergeCell ref="P116:R116"/>
    <mergeCell ref="S116:U116"/>
    <mergeCell ref="V116:X116"/>
    <mergeCell ref="Y123:AA123"/>
    <mergeCell ref="AB123:AC123"/>
    <mergeCell ref="AD123:AF123"/>
    <mergeCell ref="A123:C123"/>
    <mergeCell ref="D123:G123"/>
    <mergeCell ref="H123:K123"/>
    <mergeCell ref="L123:O123"/>
    <mergeCell ref="P123:R123"/>
    <mergeCell ref="S123:U123"/>
    <mergeCell ref="V123:X123"/>
    <mergeCell ref="Y130:AA130"/>
    <mergeCell ref="AB130:AC130"/>
    <mergeCell ref="AD130:AF130"/>
    <mergeCell ref="A130:C130"/>
    <mergeCell ref="D130:G130"/>
    <mergeCell ref="H130:K130"/>
    <mergeCell ref="L130:O130"/>
    <mergeCell ref="P130:R130"/>
    <mergeCell ref="S130:U130"/>
    <mergeCell ref="V130:X130"/>
    <mergeCell ref="Y137:AA137"/>
    <mergeCell ref="AB137:AC137"/>
    <mergeCell ref="AD137:AF137"/>
    <mergeCell ref="A137:C137"/>
    <mergeCell ref="D137:G137"/>
    <mergeCell ref="H137:K137"/>
    <mergeCell ref="L137:O137"/>
    <mergeCell ref="P137:R137"/>
    <mergeCell ref="S137:U137"/>
    <mergeCell ref="V137:X137"/>
    <mergeCell ref="Y144:AA144"/>
    <mergeCell ref="AB144:AC144"/>
    <mergeCell ref="AD144:AF144"/>
    <mergeCell ref="A144:C144"/>
    <mergeCell ref="D144:G144"/>
    <mergeCell ref="H144:K144"/>
    <mergeCell ref="L144:O144"/>
    <mergeCell ref="P144:R144"/>
    <mergeCell ref="S144:U144"/>
    <mergeCell ref="V144:X144"/>
    <mergeCell ref="Y151:AA151"/>
    <mergeCell ref="AB151:AC151"/>
    <mergeCell ref="AD151:AF151"/>
    <mergeCell ref="A151:C151"/>
    <mergeCell ref="D151:G151"/>
    <mergeCell ref="H151:K151"/>
    <mergeCell ref="L151:O151"/>
    <mergeCell ref="P151:R151"/>
    <mergeCell ref="S151:U151"/>
    <mergeCell ref="V151:X151"/>
    <mergeCell ref="Y158:AA158"/>
    <mergeCell ref="AB158:AC158"/>
    <mergeCell ref="AD158:AF158"/>
    <mergeCell ref="A158:C158"/>
    <mergeCell ref="D158:G158"/>
    <mergeCell ref="H158:K158"/>
    <mergeCell ref="L158:O158"/>
    <mergeCell ref="P158:R158"/>
    <mergeCell ref="S158:U158"/>
    <mergeCell ref="V158:X158"/>
    <mergeCell ref="Y165:AA165"/>
    <mergeCell ref="AB165:AC165"/>
    <mergeCell ref="AD165:AF165"/>
    <mergeCell ref="A165:C165"/>
    <mergeCell ref="D165:G165"/>
    <mergeCell ref="H165:K165"/>
    <mergeCell ref="L165:O165"/>
    <mergeCell ref="P165:R165"/>
    <mergeCell ref="S165:U165"/>
    <mergeCell ref="V165:X165"/>
    <mergeCell ref="Y172:AA172"/>
    <mergeCell ref="AB172:AC172"/>
    <mergeCell ref="AD172:AF172"/>
    <mergeCell ref="A172:C172"/>
    <mergeCell ref="D172:G172"/>
    <mergeCell ref="H172:K172"/>
    <mergeCell ref="L172:O172"/>
    <mergeCell ref="P172:R172"/>
    <mergeCell ref="S172:U172"/>
    <mergeCell ref="V172:X172"/>
    <mergeCell ref="Y179:AA179"/>
    <mergeCell ref="AB179:AC179"/>
    <mergeCell ref="AD179:AF179"/>
    <mergeCell ref="A179:C179"/>
    <mergeCell ref="D179:G179"/>
    <mergeCell ref="H179:K179"/>
    <mergeCell ref="L179:O179"/>
    <mergeCell ref="P179:R179"/>
    <mergeCell ref="S179:U179"/>
    <mergeCell ref="V179:X179"/>
    <mergeCell ref="Y235:AA235"/>
    <mergeCell ref="AB235:AC235"/>
    <mergeCell ref="AD235:AF235"/>
    <mergeCell ref="A235:C235"/>
    <mergeCell ref="D235:G235"/>
    <mergeCell ref="H235:K235"/>
    <mergeCell ref="L235:O235"/>
    <mergeCell ref="P235:R235"/>
    <mergeCell ref="S235:U235"/>
    <mergeCell ref="V235:X235"/>
    <mergeCell ref="Y242:AA242"/>
    <mergeCell ref="AB242:AC242"/>
    <mergeCell ref="AD242:AF242"/>
    <mergeCell ref="A242:C242"/>
    <mergeCell ref="D242:G242"/>
    <mergeCell ref="H242:K242"/>
    <mergeCell ref="L242:O242"/>
    <mergeCell ref="P242:R242"/>
    <mergeCell ref="S242:U242"/>
    <mergeCell ref="V242:X242"/>
    <mergeCell ref="Y249:AA249"/>
    <mergeCell ref="AB249:AC249"/>
    <mergeCell ref="AD249:AF249"/>
    <mergeCell ref="A249:C249"/>
    <mergeCell ref="D249:G249"/>
    <mergeCell ref="H249:K249"/>
    <mergeCell ref="L249:O249"/>
    <mergeCell ref="P249:R249"/>
    <mergeCell ref="S249:U249"/>
    <mergeCell ref="V249:X249"/>
    <mergeCell ref="Y256:AA256"/>
    <mergeCell ref="AB256:AC256"/>
    <mergeCell ref="AD256:AF256"/>
    <mergeCell ref="A256:C256"/>
    <mergeCell ref="D256:G256"/>
    <mergeCell ref="H256:K256"/>
    <mergeCell ref="L256:O256"/>
    <mergeCell ref="P256:R256"/>
    <mergeCell ref="S256:U256"/>
    <mergeCell ref="V256:X256"/>
    <mergeCell ref="Y263:AA263"/>
    <mergeCell ref="AB263:AC263"/>
    <mergeCell ref="AD263:AF263"/>
    <mergeCell ref="A263:C263"/>
    <mergeCell ref="D263:G263"/>
    <mergeCell ref="H263:K263"/>
    <mergeCell ref="L263:O263"/>
    <mergeCell ref="P263:R263"/>
    <mergeCell ref="S263:U263"/>
    <mergeCell ref="V263:X263"/>
    <mergeCell ref="Y270:AA270"/>
    <mergeCell ref="AB270:AC270"/>
    <mergeCell ref="AD270:AF270"/>
    <mergeCell ref="A270:C270"/>
    <mergeCell ref="D270:G270"/>
    <mergeCell ref="H270:K270"/>
    <mergeCell ref="L270:O270"/>
    <mergeCell ref="P270:R270"/>
    <mergeCell ref="S270:U270"/>
    <mergeCell ref="V270:X270"/>
    <mergeCell ref="Y25:AA25"/>
    <mergeCell ref="AB25:AC25"/>
    <mergeCell ref="AD25:AF25"/>
    <mergeCell ref="A25:C25"/>
    <mergeCell ref="D25:G25"/>
    <mergeCell ref="H25:K25"/>
    <mergeCell ref="L25:O25"/>
    <mergeCell ref="P25:R25"/>
    <mergeCell ref="S25:U25"/>
    <mergeCell ref="V25:X25"/>
    <mergeCell ref="Y32:AA32"/>
    <mergeCell ref="AB32:AC32"/>
    <mergeCell ref="AD32:AF32"/>
    <mergeCell ref="A32:C32"/>
    <mergeCell ref="D32:G32"/>
    <mergeCell ref="H32:K32"/>
    <mergeCell ref="L32:O32"/>
    <mergeCell ref="P32:R32"/>
    <mergeCell ref="S32:U32"/>
    <mergeCell ref="V32:X32"/>
    <mergeCell ref="Y39:AA39"/>
    <mergeCell ref="AB39:AC39"/>
    <mergeCell ref="AD39:AF39"/>
    <mergeCell ref="A39:C39"/>
    <mergeCell ref="D39:G39"/>
    <mergeCell ref="H39:K39"/>
    <mergeCell ref="L39:O39"/>
    <mergeCell ref="P39:R39"/>
    <mergeCell ref="S39:U39"/>
    <mergeCell ref="V39:X39"/>
    <mergeCell ref="Y277:AA277"/>
    <mergeCell ref="AB277:AC277"/>
    <mergeCell ref="AD277:AF277"/>
    <mergeCell ref="A277:C277"/>
    <mergeCell ref="D277:G277"/>
    <mergeCell ref="H277:K277"/>
    <mergeCell ref="L277:O277"/>
    <mergeCell ref="P277:R277"/>
    <mergeCell ref="S277:U277"/>
    <mergeCell ref="V277:X277"/>
    <mergeCell ref="Y186:AA186"/>
    <mergeCell ref="AB186:AC186"/>
    <mergeCell ref="AD186:AF186"/>
    <mergeCell ref="A186:C186"/>
    <mergeCell ref="D186:G186"/>
    <mergeCell ref="H186:K186"/>
    <mergeCell ref="L186:O186"/>
    <mergeCell ref="P186:R186"/>
    <mergeCell ref="S186:U186"/>
    <mergeCell ref="V186:X186"/>
    <mergeCell ref="Y193:AA193"/>
    <mergeCell ref="AB193:AC193"/>
    <mergeCell ref="AD193:AF193"/>
    <mergeCell ref="A193:C193"/>
    <mergeCell ref="D193:G193"/>
    <mergeCell ref="H193:K193"/>
    <mergeCell ref="L193:O193"/>
    <mergeCell ref="P193:R193"/>
    <mergeCell ref="S193:U193"/>
    <mergeCell ref="V193:X193"/>
    <mergeCell ref="Y200:AA200"/>
    <mergeCell ref="AB200:AC200"/>
    <mergeCell ref="AD200:AF200"/>
    <mergeCell ref="A200:C200"/>
    <mergeCell ref="D200:G200"/>
    <mergeCell ref="H200:K200"/>
    <mergeCell ref="L200:O200"/>
    <mergeCell ref="P200:R200"/>
    <mergeCell ref="S200:U200"/>
    <mergeCell ref="V200:X200"/>
    <mergeCell ref="Y207:AA207"/>
    <mergeCell ref="AB207:AC207"/>
    <mergeCell ref="AD207:AF207"/>
    <mergeCell ref="A207:C207"/>
    <mergeCell ref="D207:G207"/>
    <mergeCell ref="H207:K207"/>
    <mergeCell ref="L207:O207"/>
    <mergeCell ref="P207:R207"/>
    <mergeCell ref="S207:U207"/>
    <mergeCell ref="V207:X207"/>
    <mergeCell ref="Y214:AA214"/>
    <mergeCell ref="AB214:AC214"/>
    <mergeCell ref="AD214:AF214"/>
    <mergeCell ref="A214:C214"/>
    <mergeCell ref="D214:G214"/>
    <mergeCell ref="H214:K214"/>
    <mergeCell ref="L214:O214"/>
    <mergeCell ref="P214:R214"/>
    <mergeCell ref="S214:U214"/>
    <mergeCell ref="V214:X214"/>
    <mergeCell ref="Y221:AA221"/>
    <mergeCell ref="AB221:AC221"/>
    <mergeCell ref="AD221:AF221"/>
    <mergeCell ref="A221:C221"/>
    <mergeCell ref="D221:G221"/>
    <mergeCell ref="H221:K221"/>
    <mergeCell ref="L221:O221"/>
    <mergeCell ref="P221:R221"/>
    <mergeCell ref="S221:U221"/>
    <mergeCell ref="V221:X221"/>
    <mergeCell ref="Y228:AA228"/>
    <mergeCell ref="AB228:AC228"/>
    <mergeCell ref="AD228:AF228"/>
    <mergeCell ref="A228:C228"/>
    <mergeCell ref="D228:G228"/>
    <mergeCell ref="H228:K228"/>
    <mergeCell ref="L228:O228"/>
    <mergeCell ref="P228:R228"/>
    <mergeCell ref="S228:U228"/>
    <mergeCell ref="V228:X228"/>
  </mergeCells>
  <dataValidations>
    <dataValidation type="list" allowBlank="1" showErrorMessage="1" sqref="N3">
      <formula1>"January,February,March,APRIL,MAY,JUNE,JULY,AUGUST,SEPTEMBER,OCTOBER,NOVEMBER,DECEMBER"</formula1>
    </dataValidation>
    <dataValidation type="list" allowBlank="1" showErrorMessage="1" sqref="P3">
      <formula1>"2026,2027,2028,2029,2030"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9.63"/>
    <col customWidth="1" min="3" max="3" width="27.13"/>
    <col customWidth="1" min="4" max="4" width="21.75"/>
    <col customWidth="1" min="5" max="5" width="18.13"/>
    <col customWidth="1" min="6" max="6" width="12.88"/>
    <col customWidth="1" min="7" max="7" width="21.75"/>
    <col customWidth="1" min="8" max="8" width="13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3" t="s">
        <v>12</v>
      </c>
      <c r="B2" s="4" t="s">
        <v>14</v>
      </c>
      <c r="C2" s="3" t="s">
        <v>15</v>
      </c>
      <c r="D2" s="3" t="s">
        <v>16</v>
      </c>
      <c r="E2" s="7"/>
      <c r="F2" s="7"/>
      <c r="G2" s="3" t="s">
        <v>17</v>
      </c>
      <c r="H2" s="11" t="s">
        <v>18</v>
      </c>
    </row>
    <row r="3">
      <c r="A3" s="3" t="s">
        <v>19</v>
      </c>
      <c r="B3" s="4" t="s">
        <v>20</v>
      </c>
      <c r="C3" s="3" t="s">
        <v>16</v>
      </c>
      <c r="D3" s="3" t="s">
        <v>16</v>
      </c>
      <c r="E3" s="7"/>
      <c r="F3" s="7"/>
      <c r="G3" s="3" t="s">
        <v>21</v>
      </c>
      <c r="H3" s="11" t="s">
        <v>18</v>
      </c>
    </row>
    <row r="4">
      <c r="A4" s="3" t="s">
        <v>22</v>
      </c>
      <c r="B4" s="4" t="s">
        <v>23</v>
      </c>
      <c r="C4" s="3" t="s">
        <v>15</v>
      </c>
      <c r="D4" s="3" t="s">
        <v>24</v>
      </c>
      <c r="E4" s="7"/>
      <c r="F4" s="7"/>
      <c r="G4" s="3" t="s">
        <v>25</v>
      </c>
      <c r="H4" s="11" t="s">
        <v>18</v>
      </c>
    </row>
    <row r="5">
      <c r="A5" s="3" t="s">
        <v>26</v>
      </c>
      <c r="B5" s="4" t="s">
        <v>27</v>
      </c>
      <c r="C5" s="3" t="s">
        <v>15</v>
      </c>
      <c r="D5" s="3" t="s">
        <v>24</v>
      </c>
      <c r="E5" s="7"/>
      <c r="F5" s="7"/>
      <c r="G5" s="3" t="s">
        <v>28</v>
      </c>
      <c r="H5" s="11" t="s">
        <v>18</v>
      </c>
    </row>
    <row r="6">
      <c r="A6" s="3" t="s">
        <v>29</v>
      </c>
      <c r="B6" s="4" t="s">
        <v>30</v>
      </c>
      <c r="C6" s="3" t="s">
        <v>16</v>
      </c>
      <c r="D6" s="3" t="s">
        <v>16</v>
      </c>
      <c r="E6" s="7"/>
      <c r="F6" s="7"/>
      <c r="G6" s="3" t="s">
        <v>31</v>
      </c>
      <c r="H6" s="11" t="s">
        <v>18</v>
      </c>
    </row>
    <row r="7">
      <c r="A7" s="3" t="s">
        <v>32</v>
      </c>
      <c r="B7" s="4" t="s">
        <v>33</v>
      </c>
      <c r="C7" s="3" t="s">
        <v>16</v>
      </c>
      <c r="D7" s="3" t="s">
        <v>16</v>
      </c>
      <c r="E7" s="7"/>
      <c r="F7" s="7"/>
      <c r="G7" s="3" t="s">
        <v>34</v>
      </c>
      <c r="H7" s="11" t="s">
        <v>18</v>
      </c>
    </row>
    <row r="8">
      <c r="A8" s="3" t="s">
        <v>35</v>
      </c>
      <c r="B8" s="4" t="s">
        <v>36</v>
      </c>
      <c r="C8" s="3" t="s">
        <v>37</v>
      </c>
      <c r="D8" s="3" t="s">
        <v>38</v>
      </c>
      <c r="E8" s="7"/>
      <c r="F8" s="7"/>
      <c r="G8" s="3" t="s">
        <v>39</v>
      </c>
      <c r="H8" s="11" t="s">
        <v>18</v>
      </c>
    </row>
    <row r="9">
      <c r="A9" s="3" t="s">
        <v>40</v>
      </c>
      <c r="B9" s="4" t="s">
        <v>41</v>
      </c>
      <c r="C9" s="3" t="s">
        <v>16</v>
      </c>
      <c r="D9" s="3" t="s">
        <v>16</v>
      </c>
      <c r="E9" s="7"/>
      <c r="F9" s="7"/>
      <c r="G9" s="3" t="s">
        <v>42</v>
      </c>
      <c r="H9" s="11" t="s">
        <v>18</v>
      </c>
    </row>
    <row r="10">
      <c r="A10" s="3" t="s">
        <v>43</v>
      </c>
      <c r="B10" s="4" t="s">
        <v>44</v>
      </c>
      <c r="C10" s="3" t="s">
        <v>15</v>
      </c>
      <c r="D10" s="3" t="s">
        <v>24</v>
      </c>
      <c r="E10" s="7"/>
      <c r="F10" s="7"/>
      <c r="G10" s="3" t="s">
        <v>45</v>
      </c>
      <c r="H10" s="11" t="s">
        <v>18</v>
      </c>
    </row>
    <row r="11">
      <c r="A11" s="3" t="s">
        <v>46</v>
      </c>
      <c r="B11" s="4" t="s">
        <v>47</v>
      </c>
      <c r="C11" s="3" t="s">
        <v>15</v>
      </c>
      <c r="D11" s="3" t="s">
        <v>16</v>
      </c>
      <c r="E11" s="7"/>
      <c r="F11" s="7"/>
      <c r="G11" s="3" t="s">
        <v>48</v>
      </c>
      <c r="H11" s="11" t="s">
        <v>18</v>
      </c>
    </row>
    <row r="12">
      <c r="A12" s="3" t="s">
        <v>49</v>
      </c>
      <c r="B12" s="4" t="s">
        <v>50</v>
      </c>
      <c r="C12" s="3" t="s">
        <v>15</v>
      </c>
      <c r="D12" s="3" t="s">
        <v>24</v>
      </c>
      <c r="E12" s="7"/>
      <c r="F12" s="7"/>
      <c r="G12" s="3" t="s">
        <v>51</v>
      </c>
      <c r="H12" s="11" t="s">
        <v>18</v>
      </c>
    </row>
    <row r="13">
      <c r="A13" s="3" t="s">
        <v>52</v>
      </c>
      <c r="B13" s="4" t="s">
        <v>53</v>
      </c>
      <c r="C13" s="3" t="s">
        <v>37</v>
      </c>
      <c r="D13" s="3" t="s">
        <v>54</v>
      </c>
      <c r="E13" s="7"/>
      <c r="F13" s="7"/>
      <c r="G13" s="3" t="s">
        <v>55</v>
      </c>
      <c r="H13" s="11" t="s">
        <v>18</v>
      </c>
    </row>
    <row r="14">
      <c r="A14" s="3" t="s">
        <v>56</v>
      </c>
      <c r="B14" s="4" t="s">
        <v>57</v>
      </c>
      <c r="C14" s="3" t="s">
        <v>37</v>
      </c>
      <c r="D14" s="3" t="s">
        <v>58</v>
      </c>
      <c r="E14" s="7"/>
      <c r="F14" s="7"/>
      <c r="G14" s="3" t="s">
        <v>59</v>
      </c>
      <c r="H14" s="11" t="s">
        <v>18</v>
      </c>
    </row>
    <row r="15">
      <c r="A15" s="3" t="s">
        <v>60</v>
      </c>
      <c r="B15" s="4" t="s">
        <v>61</v>
      </c>
      <c r="C15" s="3" t="s">
        <v>15</v>
      </c>
      <c r="D15" s="3" t="s">
        <v>16</v>
      </c>
      <c r="E15" s="7"/>
      <c r="F15" s="7"/>
      <c r="G15" s="3" t="s">
        <v>62</v>
      </c>
      <c r="H15" s="11" t="s">
        <v>18</v>
      </c>
    </row>
    <row r="16">
      <c r="A16" s="13" t="s">
        <v>63</v>
      </c>
      <c r="B16" s="15" t="s">
        <v>65</v>
      </c>
      <c r="C16" s="13" t="s">
        <v>66</v>
      </c>
      <c r="D16" s="13" t="s">
        <v>67</v>
      </c>
      <c r="E16" s="7"/>
      <c r="F16" s="7"/>
      <c r="G16" s="16"/>
      <c r="H16" s="11" t="s">
        <v>18</v>
      </c>
    </row>
    <row r="17">
      <c r="A17" s="3" t="s">
        <v>68</v>
      </c>
      <c r="B17" s="4" t="s">
        <v>70</v>
      </c>
      <c r="C17" s="3" t="s">
        <v>71</v>
      </c>
      <c r="D17" s="3" t="s">
        <v>72</v>
      </c>
      <c r="E17" s="7"/>
      <c r="F17" s="7"/>
      <c r="G17" s="3" t="s">
        <v>59</v>
      </c>
      <c r="H17" s="11" t="s">
        <v>18</v>
      </c>
    </row>
    <row r="18">
      <c r="A18" s="3" t="s">
        <v>73</v>
      </c>
      <c r="B18" s="4" t="s">
        <v>74</v>
      </c>
      <c r="C18" s="3" t="s">
        <v>75</v>
      </c>
      <c r="D18" s="3" t="s">
        <v>76</v>
      </c>
      <c r="E18" s="7"/>
      <c r="F18" s="7"/>
      <c r="G18" s="3" t="s">
        <v>77</v>
      </c>
      <c r="H18" s="11" t="s">
        <v>18</v>
      </c>
    </row>
    <row r="19">
      <c r="A19" s="13" t="s">
        <v>78</v>
      </c>
      <c r="B19" s="15" t="s">
        <v>79</v>
      </c>
      <c r="C19" s="13" t="s">
        <v>71</v>
      </c>
      <c r="D19" s="13" t="s">
        <v>80</v>
      </c>
      <c r="E19" s="7"/>
      <c r="F19" s="7"/>
      <c r="G19" s="7"/>
      <c r="H19" s="7"/>
    </row>
    <row r="20">
      <c r="A20" s="13" t="s">
        <v>82</v>
      </c>
      <c r="B20" s="15" t="s">
        <v>83</v>
      </c>
      <c r="C20" s="13" t="s">
        <v>84</v>
      </c>
      <c r="D20" s="13" t="s">
        <v>85</v>
      </c>
      <c r="E20" s="7"/>
      <c r="F20" s="7"/>
      <c r="G20" s="7"/>
      <c r="H20" s="7"/>
    </row>
    <row r="21">
      <c r="A21" s="19" t="s">
        <v>86</v>
      </c>
      <c r="B21" s="20" t="s">
        <v>87</v>
      </c>
      <c r="C21" s="19" t="s">
        <v>71</v>
      </c>
      <c r="D21" s="19" t="s">
        <v>71</v>
      </c>
      <c r="E21" s="7"/>
      <c r="F21" s="7"/>
      <c r="G21" s="7"/>
      <c r="H21" s="7"/>
    </row>
    <row r="22">
      <c r="A22" s="11"/>
      <c r="B22" s="21"/>
      <c r="C22" s="7"/>
      <c r="D22" s="22"/>
      <c r="E22" s="7"/>
      <c r="F22" s="7"/>
      <c r="G22" s="7"/>
      <c r="H22" s="7"/>
    </row>
    <row r="23">
      <c r="A23" s="11"/>
      <c r="B23" s="22"/>
      <c r="C23" s="7"/>
      <c r="D23" s="22"/>
      <c r="E23" s="7"/>
      <c r="F23" s="7"/>
      <c r="G23" s="7"/>
      <c r="H23" s="7"/>
    </row>
    <row r="24">
      <c r="B24" s="22"/>
      <c r="C24" s="7"/>
      <c r="D24" s="22"/>
      <c r="E24" s="7"/>
      <c r="F24" s="7"/>
      <c r="G24" s="7"/>
      <c r="H24" s="7"/>
    </row>
    <row r="25">
      <c r="B25" s="22"/>
      <c r="C25" s="7"/>
      <c r="D25" s="22"/>
      <c r="E25" s="7"/>
      <c r="F25" s="7"/>
      <c r="G25" s="7"/>
      <c r="H25" s="7"/>
    </row>
    <row r="26">
      <c r="B26" s="22"/>
      <c r="C26" s="7"/>
      <c r="D26" s="22"/>
      <c r="E26" s="7"/>
      <c r="F26" s="7"/>
      <c r="G26" s="7"/>
      <c r="H26" s="7"/>
    </row>
    <row r="27">
      <c r="B27" s="22"/>
      <c r="C27" s="7"/>
      <c r="D27" s="22"/>
      <c r="E27" s="7"/>
      <c r="F27" s="7"/>
      <c r="G27" s="7"/>
      <c r="H27" s="7"/>
    </row>
    <row r="28">
      <c r="B28" s="22"/>
      <c r="C28" s="7"/>
      <c r="D28" s="22"/>
      <c r="E28" s="7"/>
      <c r="F28" s="7"/>
      <c r="G28" s="7"/>
      <c r="H28" s="7"/>
    </row>
    <row r="29">
      <c r="B29" s="22"/>
      <c r="C29" s="7"/>
      <c r="D29" s="22"/>
      <c r="E29" s="7"/>
      <c r="F29" s="7"/>
      <c r="G29" s="7"/>
      <c r="H29" s="7"/>
    </row>
    <row r="30">
      <c r="B30" s="22"/>
      <c r="C30" s="7"/>
      <c r="D30" s="22"/>
      <c r="E30" s="7"/>
      <c r="F30" s="7"/>
      <c r="G30" s="7"/>
      <c r="H30" s="7"/>
    </row>
    <row r="31">
      <c r="B31" s="22"/>
      <c r="C31" s="7"/>
      <c r="D31" s="22"/>
      <c r="E31" s="7"/>
      <c r="F31" s="7"/>
      <c r="G31" s="7"/>
      <c r="H31" s="7"/>
    </row>
    <row r="32">
      <c r="B32" s="22"/>
      <c r="C32" s="7"/>
      <c r="D32" s="22"/>
      <c r="E32" s="7"/>
      <c r="F32" s="7"/>
      <c r="G32" s="7"/>
      <c r="H32" s="7"/>
    </row>
    <row r="33">
      <c r="B33" s="22"/>
      <c r="C33" s="7"/>
      <c r="D33" s="22"/>
      <c r="E33" s="7"/>
      <c r="F33" s="7"/>
      <c r="G33" s="7"/>
      <c r="H33" s="7"/>
    </row>
    <row r="34">
      <c r="B34" s="22"/>
      <c r="C34" s="7"/>
      <c r="D34" s="22"/>
      <c r="E34" s="7"/>
      <c r="F34" s="7"/>
      <c r="G34" s="7"/>
      <c r="H34" s="7"/>
    </row>
    <row r="35">
      <c r="H35" s="24"/>
    </row>
    <row r="36">
      <c r="H36" s="24"/>
    </row>
    <row r="37">
      <c r="H37" s="24"/>
    </row>
    <row r="38">
      <c r="H38" s="24"/>
    </row>
    <row r="39">
      <c r="H39" s="24"/>
    </row>
    <row r="40">
      <c r="H40" s="24"/>
    </row>
    <row r="41">
      <c r="H41" s="24"/>
    </row>
    <row r="42">
      <c r="H42" s="24"/>
    </row>
    <row r="43">
      <c r="H43" s="24"/>
    </row>
    <row r="44">
      <c r="H44" s="24"/>
    </row>
    <row r="45">
      <c r="H45" s="24"/>
    </row>
    <row r="46">
      <c r="H46" s="24"/>
    </row>
    <row r="47">
      <c r="H47" s="24"/>
    </row>
    <row r="48">
      <c r="H48" s="24"/>
    </row>
    <row r="49">
      <c r="H49" s="24"/>
    </row>
    <row r="50">
      <c r="H50" s="24"/>
    </row>
    <row r="51">
      <c r="H51" s="24"/>
    </row>
    <row r="52">
      <c r="H52" s="24"/>
    </row>
    <row r="53">
      <c r="H53" s="24"/>
    </row>
    <row r="54">
      <c r="H54" s="24"/>
    </row>
    <row r="55">
      <c r="H55" s="24"/>
    </row>
    <row r="56">
      <c r="H56" s="24"/>
    </row>
    <row r="57">
      <c r="H57" s="24"/>
    </row>
    <row r="58">
      <c r="H58" s="24"/>
    </row>
    <row r="59">
      <c r="H59" s="24"/>
    </row>
    <row r="60">
      <c r="H60" s="24"/>
    </row>
    <row r="61">
      <c r="H61" s="24"/>
    </row>
    <row r="62">
      <c r="H62" s="24"/>
    </row>
    <row r="63">
      <c r="H63" s="24"/>
    </row>
    <row r="64">
      <c r="H64" s="24"/>
    </row>
    <row r="65">
      <c r="H65" s="24"/>
    </row>
    <row r="66">
      <c r="H66" s="24"/>
    </row>
    <row r="67">
      <c r="H67" s="24"/>
    </row>
    <row r="68">
      <c r="H68" s="24"/>
    </row>
    <row r="69">
      <c r="H69" s="24"/>
    </row>
    <row r="70">
      <c r="H70" s="24"/>
    </row>
    <row r="71">
      <c r="H71" s="24"/>
    </row>
    <row r="72">
      <c r="H72" s="24"/>
    </row>
    <row r="73">
      <c r="H73" s="24"/>
    </row>
    <row r="74">
      <c r="H74" s="24"/>
    </row>
    <row r="75">
      <c r="H75" s="24"/>
    </row>
    <row r="76">
      <c r="H76" s="24"/>
    </row>
    <row r="77">
      <c r="H77" s="24"/>
    </row>
    <row r="78">
      <c r="H78" s="24"/>
    </row>
    <row r="79">
      <c r="H79" s="24"/>
    </row>
    <row r="80">
      <c r="H80" s="24"/>
    </row>
    <row r="81">
      <c r="H81" s="24"/>
    </row>
    <row r="82">
      <c r="H82" s="24"/>
    </row>
    <row r="83">
      <c r="H83" s="24"/>
    </row>
    <row r="84">
      <c r="H84" s="24"/>
    </row>
    <row r="85">
      <c r="H85" s="24"/>
    </row>
    <row r="86">
      <c r="H86" s="24"/>
    </row>
    <row r="87">
      <c r="H87" s="24"/>
    </row>
    <row r="88">
      <c r="H88" s="24"/>
    </row>
    <row r="89">
      <c r="H89" s="24"/>
    </row>
    <row r="90">
      <c r="H90" s="24"/>
    </row>
    <row r="91">
      <c r="H91" s="24"/>
    </row>
    <row r="92">
      <c r="H92" s="24"/>
    </row>
    <row r="93">
      <c r="H93" s="24"/>
    </row>
    <row r="94">
      <c r="H94" s="24"/>
    </row>
    <row r="95">
      <c r="H95" s="24"/>
    </row>
    <row r="96">
      <c r="H96" s="24"/>
    </row>
    <row r="97">
      <c r="H97" s="24"/>
    </row>
    <row r="98">
      <c r="H98" s="24"/>
    </row>
    <row r="99">
      <c r="H99" s="24"/>
    </row>
    <row r="100">
      <c r="H100" s="24"/>
    </row>
    <row r="101">
      <c r="H101" s="24"/>
    </row>
    <row r="102">
      <c r="H102" s="24"/>
    </row>
    <row r="103">
      <c r="H103" s="24"/>
    </row>
    <row r="104">
      <c r="H104" s="24"/>
    </row>
    <row r="105">
      <c r="H105" s="24"/>
    </row>
    <row r="106">
      <c r="H106" s="24"/>
    </row>
    <row r="107">
      <c r="H107" s="24"/>
    </row>
    <row r="108">
      <c r="H108" s="24"/>
    </row>
    <row r="109">
      <c r="H109" s="24"/>
    </row>
    <row r="110">
      <c r="H110" s="24"/>
    </row>
    <row r="111">
      <c r="H111" s="24"/>
    </row>
    <row r="112">
      <c r="H112" s="24"/>
    </row>
    <row r="113">
      <c r="H113" s="24"/>
    </row>
    <row r="114">
      <c r="H114" s="24"/>
    </row>
    <row r="115">
      <c r="H115" s="24"/>
    </row>
    <row r="116">
      <c r="H116" s="24"/>
    </row>
    <row r="117">
      <c r="H117" s="24"/>
    </row>
    <row r="118">
      <c r="H118" s="24"/>
    </row>
    <row r="119">
      <c r="H119" s="24"/>
    </row>
    <row r="120">
      <c r="H120" s="24"/>
    </row>
    <row r="121">
      <c r="H121" s="24"/>
    </row>
    <row r="122">
      <c r="H122" s="24"/>
    </row>
    <row r="123">
      <c r="H123" s="24"/>
    </row>
    <row r="124">
      <c r="H124" s="24"/>
    </row>
    <row r="125">
      <c r="H125" s="24"/>
    </row>
    <row r="126">
      <c r="H126" s="24"/>
    </row>
    <row r="127">
      <c r="H127" s="24"/>
    </row>
    <row r="128">
      <c r="H128" s="24"/>
    </row>
    <row r="129">
      <c r="H129" s="24"/>
    </row>
    <row r="130">
      <c r="H130" s="24"/>
    </row>
    <row r="131">
      <c r="H131" s="24"/>
    </row>
    <row r="132">
      <c r="H132" s="24"/>
    </row>
    <row r="133">
      <c r="H133" s="24"/>
    </row>
    <row r="134">
      <c r="H134" s="24"/>
    </row>
    <row r="135">
      <c r="H135" s="24"/>
    </row>
    <row r="136">
      <c r="H136" s="24"/>
    </row>
    <row r="137">
      <c r="H137" s="24"/>
    </row>
    <row r="138">
      <c r="H138" s="24"/>
    </row>
    <row r="139">
      <c r="H139" s="24"/>
    </row>
    <row r="140">
      <c r="H140" s="24"/>
    </row>
    <row r="141">
      <c r="H141" s="24"/>
    </row>
    <row r="142">
      <c r="H142" s="24"/>
    </row>
    <row r="143">
      <c r="H143" s="24"/>
    </row>
    <row r="144">
      <c r="H144" s="24"/>
    </row>
    <row r="145">
      <c r="H145" s="24"/>
    </row>
    <row r="146">
      <c r="H146" s="24"/>
    </row>
    <row r="147">
      <c r="H147" s="24"/>
    </row>
    <row r="148">
      <c r="H148" s="24"/>
    </row>
    <row r="149">
      <c r="H149" s="24"/>
    </row>
    <row r="150">
      <c r="H150" s="24"/>
    </row>
    <row r="151">
      <c r="H151" s="24"/>
    </row>
    <row r="152">
      <c r="H152" s="24"/>
    </row>
    <row r="153">
      <c r="H153" s="24"/>
    </row>
    <row r="154">
      <c r="H154" s="24"/>
    </row>
    <row r="155">
      <c r="H155" s="24"/>
    </row>
    <row r="156">
      <c r="H156" s="24"/>
    </row>
    <row r="157">
      <c r="H157" s="24"/>
    </row>
    <row r="158">
      <c r="H158" s="24"/>
    </row>
    <row r="159">
      <c r="H159" s="24"/>
    </row>
    <row r="160">
      <c r="H160" s="24"/>
    </row>
    <row r="161">
      <c r="H161" s="24"/>
    </row>
    <row r="162">
      <c r="H162" s="24"/>
    </row>
    <row r="163">
      <c r="H163" s="24"/>
    </row>
    <row r="164">
      <c r="H164" s="24"/>
    </row>
    <row r="165">
      <c r="H165" s="24"/>
    </row>
    <row r="166">
      <c r="H166" s="24"/>
    </row>
    <row r="167">
      <c r="H167" s="24"/>
    </row>
    <row r="168">
      <c r="H168" s="24"/>
    </row>
    <row r="169">
      <c r="H169" s="24"/>
    </row>
    <row r="170">
      <c r="H170" s="24"/>
    </row>
    <row r="171">
      <c r="H171" s="24"/>
    </row>
    <row r="172">
      <c r="H172" s="24"/>
    </row>
    <row r="173">
      <c r="H173" s="24"/>
    </row>
    <row r="174">
      <c r="H174" s="24"/>
    </row>
    <row r="175">
      <c r="H175" s="24"/>
    </row>
    <row r="176">
      <c r="H176" s="24"/>
    </row>
    <row r="177">
      <c r="H177" s="24"/>
    </row>
    <row r="178">
      <c r="H178" s="24"/>
    </row>
    <row r="179">
      <c r="H179" s="24"/>
    </row>
    <row r="180">
      <c r="H180" s="24"/>
    </row>
    <row r="181">
      <c r="H181" s="24"/>
    </row>
    <row r="182">
      <c r="H182" s="24"/>
    </row>
    <row r="183">
      <c r="H183" s="24"/>
    </row>
    <row r="184">
      <c r="H184" s="24"/>
    </row>
    <row r="185">
      <c r="H185" s="24"/>
    </row>
    <row r="186">
      <c r="H186" s="24"/>
    </row>
    <row r="187">
      <c r="H187" s="24"/>
    </row>
    <row r="188">
      <c r="H188" s="24"/>
    </row>
    <row r="189">
      <c r="H189" s="24"/>
    </row>
    <row r="190">
      <c r="H190" s="24"/>
    </row>
    <row r="191">
      <c r="H191" s="24"/>
    </row>
    <row r="192">
      <c r="H192" s="24"/>
    </row>
    <row r="193">
      <c r="H193" s="24"/>
    </row>
    <row r="194">
      <c r="H194" s="24"/>
    </row>
    <row r="195">
      <c r="H195" s="24"/>
    </row>
    <row r="196">
      <c r="H196" s="24"/>
    </row>
    <row r="197">
      <c r="H197" s="24"/>
    </row>
    <row r="198">
      <c r="H198" s="24"/>
    </row>
    <row r="199">
      <c r="H199" s="24"/>
    </row>
    <row r="200">
      <c r="H200" s="24"/>
    </row>
    <row r="201">
      <c r="H201" s="24"/>
    </row>
    <row r="202">
      <c r="H202" s="24"/>
    </row>
    <row r="203">
      <c r="H203" s="24"/>
    </row>
    <row r="204">
      <c r="H204" s="24"/>
    </row>
    <row r="205">
      <c r="H205" s="24"/>
    </row>
    <row r="206">
      <c r="H206" s="24"/>
    </row>
    <row r="207">
      <c r="H207" s="24"/>
    </row>
    <row r="208">
      <c r="H208" s="24"/>
    </row>
    <row r="209">
      <c r="H209" s="24"/>
    </row>
    <row r="210">
      <c r="H210" s="24"/>
    </row>
    <row r="211">
      <c r="H211" s="24"/>
    </row>
    <row r="212">
      <c r="H212" s="24"/>
    </row>
    <row r="213">
      <c r="H213" s="24"/>
    </row>
    <row r="214">
      <c r="H214" s="24"/>
    </row>
    <row r="215">
      <c r="H215" s="24"/>
    </row>
    <row r="216">
      <c r="H216" s="24"/>
    </row>
    <row r="217">
      <c r="H217" s="24"/>
    </row>
    <row r="218">
      <c r="H218" s="24"/>
    </row>
    <row r="219">
      <c r="H219" s="24"/>
    </row>
    <row r="220">
      <c r="H220" s="24"/>
    </row>
    <row r="221">
      <c r="H221" s="24"/>
    </row>
    <row r="222">
      <c r="H222" s="24"/>
    </row>
    <row r="223">
      <c r="H223" s="24"/>
    </row>
    <row r="224">
      <c r="H224" s="24"/>
    </row>
    <row r="225">
      <c r="H225" s="24"/>
    </row>
    <row r="226">
      <c r="H226" s="24"/>
    </row>
    <row r="227">
      <c r="H227" s="24"/>
    </row>
    <row r="228">
      <c r="H228" s="24"/>
    </row>
    <row r="229">
      <c r="H229" s="24"/>
    </row>
    <row r="230">
      <c r="H230" s="24"/>
    </row>
    <row r="231">
      <c r="H231" s="24"/>
    </row>
    <row r="232">
      <c r="H232" s="24"/>
    </row>
    <row r="233">
      <c r="H233" s="24"/>
    </row>
    <row r="234">
      <c r="H234" s="24"/>
    </row>
    <row r="235">
      <c r="H235" s="24"/>
    </row>
    <row r="236">
      <c r="H236" s="24"/>
    </row>
    <row r="237">
      <c r="H237" s="24"/>
    </row>
    <row r="238">
      <c r="H238" s="24"/>
    </row>
    <row r="239">
      <c r="H239" s="24"/>
    </row>
    <row r="240">
      <c r="H240" s="24"/>
    </row>
    <row r="241">
      <c r="H241" s="24"/>
    </row>
    <row r="242">
      <c r="H242" s="24"/>
    </row>
    <row r="243">
      <c r="H243" s="24"/>
    </row>
    <row r="244">
      <c r="H244" s="24"/>
    </row>
    <row r="245">
      <c r="H245" s="24"/>
    </row>
    <row r="246">
      <c r="H246" s="24"/>
    </row>
    <row r="247">
      <c r="H247" s="24"/>
    </row>
    <row r="248">
      <c r="H248" s="24"/>
    </row>
    <row r="249">
      <c r="H249" s="24"/>
    </row>
    <row r="250">
      <c r="H250" s="24"/>
    </row>
    <row r="251">
      <c r="H251" s="24"/>
    </row>
    <row r="252">
      <c r="H252" s="24"/>
    </row>
    <row r="253">
      <c r="H253" s="24"/>
    </row>
    <row r="254">
      <c r="H254" s="24"/>
    </row>
    <row r="255">
      <c r="H255" s="24"/>
    </row>
    <row r="256">
      <c r="H256" s="24"/>
    </row>
    <row r="257">
      <c r="H257" s="24"/>
    </row>
    <row r="258">
      <c r="H258" s="24"/>
    </row>
    <row r="259">
      <c r="H259" s="24"/>
    </row>
    <row r="260">
      <c r="H260" s="24"/>
    </row>
    <row r="261">
      <c r="H261" s="24"/>
    </row>
    <row r="262">
      <c r="H262" s="24"/>
    </row>
    <row r="263">
      <c r="H263" s="24"/>
    </row>
    <row r="264">
      <c r="H264" s="24"/>
    </row>
    <row r="265">
      <c r="H265" s="24"/>
    </row>
    <row r="266">
      <c r="H266" s="24"/>
    </row>
    <row r="267">
      <c r="H267" s="24"/>
    </row>
    <row r="268">
      <c r="H268" s="24"/>
    </row>
    <row r="269">
      <c r="H269" s="24"/>
    </row>
    <row r="270">
      <c r="H270" s="24"/>
    </row>
    <row r="271">
      <c r="H271" s="24"/>
    </row>
    <row r="272">
      <c r="H272" s="24"/>
    </row>
    <row r="273">
      <c r="H273" s="24"/>
    </row>
    <row r="274">
      <c r="H274" s="24"/>
    </row>
    <row r="275">
      <c r="H275" s="24"/>
    </row>
    <row r="276">
      <c r="H276" s="24"/>
    </row>
    <row r="277">
      <c r="H277" s="24"/>
    </row>
    <row r="278">
      <c r="H278" s="24"/>
    </row>
    <row r="279">
      <c r="H279" s="24"/>
    </row>
    <row r="280">
      <c r="H280" s="24"/>
    </row>
    <row r="281">
      <c r="H281" s="24"/>
    </row>
    <row r="282">
      <c r="H282" s="24"/>
    </row>
    <row r="283">
      <c r="H283" s="24"/>
    </row>
    <row r="284">
      <c r="H284" s="24"/>
    </row>
    <row r="285">
      <c r="H285" s="24"/>
    </row>
    <row r="286">
      <c r="H286" s="24"/>
    </row>
    <row r="287">
      <c r="H287" s="24"/>
    </row>
    <row r="288">
      <c r="H288" s="24"/>
    </row>
    <row r="289">
      <c r="H289" s="24"/>
    </row>
    <row r="290">
      <c r="H290" s="24"/>
    </row>
    <row r="291">
      <c r="H291" s="24"/>
    </row>
    <row r="292">
      <c r="H292" s="24"/>
    </row>
    <row r="293">
      <c r="H293" s="24"/>
    </row>
    <row r="294">
      <c r="H294" s="24"/>
    </row>
    <row r="295">
      <c r="H295" s="24"/>
    </row>
    <row r="296">
      <c r="H296" s="24"/>
    </row>
    <row r="297">
      <c r="H297" s="24"/>
    </row>
    <row r="298">
      <c r="H298" s="24"/>
    </row>
    <row r="299">
      <c r="H299" s="24"/>
    </row>
    <row r="300">
      <c r="H300" s="24"/>
    </row>
    <row r="301">
      <c r="H301" s="24"/>
    </row>
    <row r="302">
      <c r="H302" s="24"/>
    </row>
    <row r="303">
      <c r="H303" s="24"/>
    </row>
    <row r="304">
      <c r="H304" s="24"/>
    </row>
    <row r="305">
      <c r="H305" s="24"/>
    </row>
    <row r="306">
      <c r="H306" s="24"/>
    </row>
    <row r="307">
      <c r="H307" s="24"/>
    </row>
    <row r="308">
      <c r="H308" s="24"/>
    </row>
    <row r="309">
      <c r="H309" s="24"/>
    </row>
    <row r="310">
      <c r="H310" s="24"/>
    </row>
    <row r="311">
      <c r="H311" s="24"/>
    </row>
    <row r="312">
      <c r="H312" s="24"/>
    </row>
    <row r="313">
      <c r="H313" s="24"/>
    </row>
    <row r="314">
      <c r="H314" s="24"/>
    </row>
    <row r="315">
      <c r="H315" s="24"/>
    </row>
    <row r="316">
      <c r="H316" s="24"/>
    </row>
    <row r="317">
      <c r="H317" s="24"/>
    </row>
    <row r="318">
      <c r="H318" s="24"/>
    </row>
    <row r="319">
      <c r="H319" s="24"/>
    </row>
    <row r="320">
      <c r="H320" s="24"/>
    </row>
    <row r="321">
      <c r="H321" s="24"/>
    </row>
    <row r="322">
      <c r="H322" s="24"/>
    </row>
    <row r="323">
      <c r="H323" s="24"/>
    </row>
    <row r="324">
      <c r="H324" s="24"/>
    </row>
    <row r="325">
      <c r="H325" s="24"/>
    </row>
    <row r="326">
      <c r="H326" s="24"/>
    </row>
    <row r="327">
      <c r="H327" s="24"/>
    </row>
    <row r="328">
      <c r="H328" s="24"/>
    </row>
    <row r="329">
      <c r="H329" s="24"/>
    </row>
    <row r="330">
      <c r="H330" s="24"/>
    </row>
    <row r="331">
      <c r="H331" s="24"/>
    </row>
    <row r="332">
      <c r="H332" s="24"/>
    </row>
    <row r="333">
      <c r="H333" s="24"/>
    </row>
    <row r="334">
      <c r="H334" s="24"/>
    </row>
    <row r="335">
      <c r="H335" s="24"/>
    </row>
    <row r="336">
      <c r="H336" s="24"/>
    </row>
    <row r="337">
      <c r="H337" s="24"/>
    </row>
    <row r="338">
      <c r="H338" s="24"/>
    </row>
    <row r="339">
      <c r="H339" s="24"/>
    </row>
    <row r="340">
      <c r="H340" s="24"/>
    </row>
    <row r="341">
      <c r="H341" s="24"/>
    </row>
    <row r="342">
      <c r="H342" s="24"/>
    </row>
    <row r="343">
      <c r="H343" s="24"/>
    </row>
    <row r="344">
      <c r="H344" s="24"/>
    </row>
    <row r="345">
      <c r="H345" s="24"/>
    </row>
    <row r="346">
      <c r="H346" s="24"/>
    </row>
    <row r="347">
      <c r="H347" s="24"/>
    </row>
    <row r="348">
      <c r="H348" s="24"/>
    </row>
    <row r="349">
      <c r="H349" s="24"/>
    </row>
    <row r="350">
      <c r="H350" s="24"/>
    </row>
    <row r="351">
      <c r="H351" s="24"/>
    </row>
    <row r="352">
      <c r="H352" s="24"/>
    </row>
    <row r="353">
      <c r="H353" s="24"/>
    </row>
    <row r="354">
      <c r="H354" s="24"/>
    </row>
    <row r="355">
      <c r="H355" s="24"/>
    </row>
    <row r="356">
      <c r="H356" s="24"/>
    </row>
    <row r="357">
      <c r="H357" s="24"/>
    </row>
    <row r="358">
      <c r="H358" s="24"/>
    </row>
    <row r="359">
      <c r="H359" s="24"/>
    </row>
    <row r="360">
      <c r="H360" s="24"/>
    </row>
    <row r="361">
      <c r="H361" s="24"/>
    </row>
    <row r="362">
      <c r="H362" s="24"/>
    </row>
    <row r="363">
      <c r="H363" s="24"/>
    </row>
    <row r="364">
      <c r="H364" s="24"/>
    </row>
    <row r="365">
      <c r="H365" s="24"/>
    </row>
    <row r="366">
      <c r="H366" s="24"/>
    </row>
    <row r="367">
      <c r="H367" s="24"/>
    </row>
    <row r="368">
      <c r="H368" s="24"/>
    </row>
    <row r="369">
      <c r="H369" s="24"/>
    </row>
    <row r="370">
      <c r="H370" s="24"/>
    </row>
    <row r="371">
      <c r="H371" s="24"/>
    </row>
    <row r="372">
      <c r="H372" s="24"/>
    </row>
    <row r="373">
      <c r="H373" s="24"/>
    </row>
    <row r="374">
      <c r="H374" s="24"/>
    </row>
    <row r="375">
      <c r="H375" s="24"/>
    </row>
    <row r="376">
      <c r="H376" s="24"/>
    </row>
    <row r="377">
      <c r="H377" s="24"/>
    </row>
    <row r="378">
      <c r="H378" s="24"/>
    </row>
    <row r="379">
      <c r="H379" s="24"/>
    </row>
    <row r="380">
      <c r="H380" s="24"/>
    </row>
    <row r="381">
      <c r="H381" s="24"/>
    </row>
    <row r="382">
      <c r="H382" s="24"/>
    </row>
    <row r="383">
      <c r="H383" s="24"/>
    </row>
    <row r="384">
      <c r="H384" s="24"/>
    </row>
    <row r="385">
      <c r="H385" s="24"/>
    </row>
    <row r="386">
      <c r="H386" s="24"/>
    </row>
    <row r="387">
      <c r="H387" s="24"/>
    </row>
    <row r="388">
      <c r="H388" s="24"/>
    </row>
    <row r="389">
      <c r="H389" s="24"/>
    </row>
    <row r="390">
      <c r="H390" s="24"/>
    </row>
    <row r="391">
      <c r="H391" s="24"/>
    </row>
    <row r="392">
      <c r="H392" s="24"/>
    </row>
    <row r="393">
      <c r="H393" s="24"/>
    </row>
    <row r="394">
      <c r="H394" s="24"/>
    </row>
    <row r="395">
      <c r="H395" s="24"/>
    </row>
    <row r="396">
      <c r="H396" s="24"/>
    </row>
    <row r="397">
      <c r="H397" s="24"/>
    </row>
    <row r="398">
      <c r="H398" s="24"/>
    </row>
    <row r="399">
      <c r="H399" s="24"/>
    </row>
    <row r="400">
      <c r="H400" s="24"/>
    </row>
    <row r="401">
      <c r="H401" s="24"/>
    </row>
    <row r="402">
      <c r="H402" s="24"/>
    </row>
    <row r="403">
      <c r="H403" s="24"/>
    </row>
    <row r="404">
      <c r="H404" s="24"/>
    </row>
    <row r="405">
      <c r="H405" s="24"/>
    </row>
    <row r="406">
      <c r="H406" s="24"/>
    </row>
    <row r="407">
      <c r="H407" s="24"/>
    </row>
    <row r="408">
      <c r="H408" s="24"/>
    </row>
    <row r="409">
      <c r="H409" s="24"/>
    </row>
    <row r="410">
      <c r="H410" s="24"/>
    </row>
    <row r="411">
      <c r="H411" s="24"/>
    </row>
    <row r="412">
      <c r="H412" s="24"/>
    </row>
    <row r="413">
      <c r="H413" s="24"/>
    </row>
    <row r="414">
      <c r="H414" s="24"/>
    </row>
    <row r="415">
      <c r="H415" s="24"/>
    </row>
    <row r="416">
      <c r="H416" s="24"/>
    </row>
    <row r="417">
      <c r="H417" s="24"/>
    </row>
    <row r="418">
      <c r="H418" s="24"/>
    </row>
    <row r="419">
      <c r="H419" s="24"/>
    </row>
    <row r="420">
      <c r="H420" s="24"/>
    </row>
    <row r="421">
      <c r="H421" s="24"/>
    </row>
    <row r="422">
      <c r="H422" s="24"/>
    </row>
    <row r="423">
      <c r="H423" s="24"/>
    </row>
    <row r="424">
      <c r="H424" s="24"/>
    </row>
    <row r="425">
      <c r="H425" s="24"/>
    </row>
    <row r="426">
      <c r="H426" s="24"/>
    </row>
    <row r="427">
      <c r="H427" s="24"/>
    </row>
    <row r="428">
      <c r="H428" s="24"/>
    </row>
    <row r="429">
      <c r="H429" s="24"/>
    </row>
    <row r="430">
      <c r="H430" s="24"/>
    </row>
    <row r="431">
      <c r="H431" s="24"/>
    </row>
    <row r="432">
      <c r="H432" s="24"/>
    </row>
    <row r="433">
      <c r="H433" s="24"/>
    </row>
    <row r="434">
      <c r="H434" s="24"/>
    </row>
    <row r="435">
      <c r="H435" s="24"/>
    </row>
    <row r="436">
      <c r="H436" s="24"/>
    </row>
    <row r="437">
      <c r="H437" s="24"/>
    </row>
    <row r="438">
      <c r="H438" s="24"/>
    </row>
    <row r="439">
      <c r="H439" s="24"/>
    </row>
    <row r="440">
      <c r="H440" s="24"/>
    </row>
    <row r="441">
      <c r="H441" s="24"/>
    </row>
    <row r="442">
      <c r="H442" s="24"/>
    </row>
    <row r="443">
      <c r="H443" s="24"/>
    </row>
    <row r="444">
      <c r="H444" s="24"/>
    </row>
    <row r="445">
      <c r="H445" s="24"/>
    </row>
    <row r="446">
      <c r="H446" s="24"/>
    </row>
    <row r="447">
      <c r="H447" s="24"/>
    </row>
    <row r="448">
      <c r="H448" s="24"/>
    </row>
    <row r="449">
      <c r="H449" s="24"/>
    </row>
    <row r="450">
      <c r="H450" s="24"/>
    </row>
    <row r="451">
      <c r="H451" s="24"/>
    </row>
    <row r="452">
      <c r="H452" s="24"/>
    </row>
    <row r="453">
      <c r="H453" s="24"/>
    </row>
    <row r="454">
      <c r="H454" s="24"/>
    </row>
    <row r="455">
      <c r="H455" s="24"/>
    </row>
    <row r="456">
      <c r="H456" s="24"/>
    </row>
    <row r="457">
      <c r="H457" s="24"/>
    </row>
    <row r="458">
      <c r="H458" s="24"/>
    </row>
    <row r="459">
      <c r="H459" s="24"/>
    </row>
    <row r="460">
      <c r="H460" s="24"/>
    </row>
    <row r="461">
      <c r="H461" s="24"/>
    </row>
    <row r="462">
      <c r="H462" s="24"/>
    </row>
    <row r="463">
      <c r="H463" s="24"/>
    </row>
    <row r="464">
      <c r="H464" s="24"/>
    </row>
    <row r="465">
      <c r="H465" s="24"/>
    </row>
    <row r="466">
      <c r="H466" s="24"/>
    </row>
    <row r="467">
      <c r="H467" s="24"/>
    </row>
    <row r="468">
      <c r="H468" s="24"/>
    </row>
    <row r="469">
      <c r="H469" s="24"/>
    </row>
    <row r="470">
      <c r="H470" s="24"/>
    </row>
    <row r="471">
      <c r="H471" s="24"/>
    </row>
    <row r="472">
      <c r="H472" s="24"/>
    </row>
    <row r="473">
      <c r="H473" s="24"/>
    </row>
    <row r="474">
      <c r="H474" s="24"/>
    </row>
    <row r="475">
      <c r="H475" s="24"/>
    </row>
    <row r="476">
      <c r="H476" s="24"/>
    </row>
    <row r="477">
      <c r="H477" s="24"/>
    </row>
    <row r="478">
      <c r="H478" s="24"/>
    </row>
    <row r="479">
      <c r="H479" s="24"/>
    </row>
    <row r="480">
      <c r="H480" s="24"/>
    </row>
    <row r="481">
      <c r="H481" s="24"/>
    </row>
    <row r="482">
      <c r="H482" s="24"/>
    </row>
    <row r="483">
      <c r="H483" s="24"/>
    </row>
    <row r="484">
      <c r="H484" s="24"/>
    </row>
    <row r="485">
      <c r="H485" s="24"/>
    </row>
    <row r="486">
      <c r="H486" s="24"/>
    </row>
    <row r="487">
      <c r="H487" s="24"/>
    </row>
    <row r="488">
      <c r="H488" s="24"/>
    </row>
    <row r="489">
      <c r="H489" s="24"/>
    </row>
    <row r="490">
      <c r="H490" s="24"/>
    </row>
    <row r="491">
      <c r="H491" s="24"/>
    </row>
    <row r="492">
      <c r="H492" s="24"/>
    </row>
    <row r="493">
      <c r="H493" s="24"/>
    </row>
    <row r="494">
      <c r="H494" s="24"/>
    </row>
    <row r="495">
      <c r="H495" s="24"/>
    </row>
    <row r="496">
      <c r="H496" s="24"/>
    </row>
    <row r="497">
      <c r="H497" s="24"/>
    </row>
    <row r="498">
      <c r="H498" s="24"/>
    </row>
    <row r="499">
      <c r="H499" s="24"/>
    </row>
    <row r="500">
      <c r="H500" s="24"/>
    </row>
    <row r="501">
      <c r="H501" s="24"/>
    </row>
    <row r="502">
      <c r="H502" s="24"/>
    </row>
    <row r="503">
      <c r="H503" s="24"/>
    </row>
    <row r="504">
      <c r="H504" s="24"/>
    </row>
    <row r="505">
      <c r="H505" s="24"/>
    </row>
    <row r="506">
      <c r="H506" s="24"/>
    </row>
    <row r="507">
      <c r="H507" s="24"/>
    </row>
    <row r="508">
      <c r="H508" s="24"/>
    </row>
    <row r="509">
      <c r="H509" s="24"/>
    </row>
    <row r="510">
      <c r="H510" s="24"/>
    </row>
    <row r="511">
      <c r="H511" s="24"/>
    </row>
    <row r="512">
      <c r="H512" s="24"/>
    </row>
    <row r="513">
      <c r="H513" s="24"/>
    </row>
    <row r="514">
      <c r="H514" s="24"/>
    </row>
    <row r="515">
      <c r="H515" s="24"/>
    </row>
    <row r="516">
      <c r="H516" s="24"/>
    </row>
    <row r="517">
      <c r="H517" s="24"/>
    </row>
    <row r="518">
      <c r="H518" s="24"/>
    </row>
    <row r="519">
      <c r="H519" s="24"/>
    </row>
    <row r="520">
      <c r="H520" s="24"/>
    </row>
    <row r="521">
      <c r="H521" s="24"/>
    </row>
    <row r="522">
      <c r="H522" s="24"/>
    </row>
    <row r="523">
      <c r="H523" s="24"/>
    </row>
    <row r="524">
      <c r="H524" s="24"/>
    </row>
    <row r="525">
      <c r="H525" s="24"/>
    </row>
    <row r="526">
      <c r="H526" s="24"/>
    </row>
    <row r="527">
      <c r="H527" s="24"/>
    </row>
    <row r="528">
      <c r="H528" s="24"/>
    </row>
    <row r="529">
      <c r="H529" s="24"/>
    </row>
    <row r="530">
      <c r="H530" s="24"/>
    </row>
    <row r="531">
      <c r="H531" s="24"/>
    </row>
    <row r="532">
      <c r="H532" s="24"/>
    </row>
    <row r="533">
      <c r="H533" s="24"/>
    </row>
    <row r="534">
      <c r="H534" s="24"/>
    </row>
    <row r="535">
      <c r="H535" s="24"/>
    </row>
    <row r="536">
      <c r="H536" s="24"/>
    </row>
    <row r="537">
      <c r="H537" s="24"/>
    </row>
    <row r="538">
      <c r="H538" s="24"/>
    </row>
    <row r="539">
      <c r="H539" s="24"/>
    </row>
    <row r="540">
      <c r="H540" s="24"/>
    </row>
    <row r="541">
      <c r="H541" s="24"/>
    </row>
    <row r="542">
      <c r="H542" s="24"/>
    </row>
    <row r="543">
      <c r="H543" s="24"/>
    </row>
    <row r="544">
      <c r="H544" s="24"/>
    </row>
    <row r="545">
      <c r="H545" s="24"/>
    </row>
    <row r="546">
      <c r="H546" s="24"/>
    </row>
    <row r="547">
      <c r="H547" s="24"/>
    </row>
    <row r="548">
      <c r="H548" s="24"/>
    </row>
    <row r="549">
      <c r="H549" s="24"/>
    </row>
    <row r="550">
      <c r="H550" s="24"/>
    </row>
    <row r="551">
      <c r="H551" s="24"/>
    </row>
    <row r="552">
      <c r="H552" s="24"/>
    </row>
    <row r="553">
      <c r="H553" s="24"/>
    </row>
    <row r="554">
      <c r="H554" s="24"/>
    </row>
    <row r="555">
      <c r="H555" s="24"/>
    </row>
    <row r="556">
      <c r="H556" s="24"/>
    </row>
    <row r="557">
      <c r="H557" s="24"/>
    </row>
    <row r="558">
      <c r="H558" s="24"/>
    </row>
    <row r="559">
      <c r="H559" s="24"/>
    </row>
    <row r="560">
      <c r="H560" s="24"/>
    </row>
    <row r="561">
      <c r="H561" s="24"/>
    </row>
    <row r="562">
      <c r="H562" s="24"/>
    </row>
    <row r="563">
      <c r="H563" s="24"/>
    </row>
    <row r="564">
      <c r="H564" s="24"/>
    </row>
    <row r="565">
      <c r="H565" s="24"/>
    </row>
    <row r="566">
      <c r="H566" s="24"/>
    </row>
    <row r="567">
      <c r="H567" s="24"/>
    </row>
    <row r="568">
      <c r="H568" s="24"/>
    </row>
    <row r="569">
      <c r="H569" s="24"/>
    </row>
    <row r="570">
      <c r="H570" s="24"/>
    </row>
    <row r="571">
      <c r="H571" s="24"/>
    </row>
    <row r="572">
      <c r="H572" s="24"/>
    </row>
    <row r="573">
      <c r="H573" s="24"/>
    </row>
    <row r="574">
      <c r="H574" s="24"/>
    </row>
    <row r="575">
      <c r="H575" s="24"/>
    </row>
    <row r="576">
      <c r="H576" s="24"/>
    </row>
    <row r="577">
      <c r="H577" s="24"/>
    </row>
    <row r="578">
      <c r="H578" s="24"/>
    </row>
    <row r="579">
      <c r="H579" s="24"/>
    </row>
    <row r="580">
      <c r="H580" s="24"/>
    </row>
    <row r="581">
      <c r="H581" s="24"/>
    </row>
    <row r="582">
      <c r="H582" s="24"/>
    </row>
    <row r="583">
      <c r="H583" s="24"/>
    </row>
    <row r="584">
      <c r="H584" s="24"/>
    </row>
    <row r="585">
      <c r="H585" s="24"/>
    </row>
    <row r="586">
      <c r="H586" s="24"/>
    </row>
    <row r="587">
      <c r="H587" s="24"/>
    </row>
    <row r="588">
      <c r="H588" s="24"/>
    </row>
    <row r="589">
      <c r="H589" s="24"/>
    </row>
    <row r="590">
      <c r="H590" s="24"/>
    </row>
    <row r="591">
      <c r="H591" s="24"/>
    </row>
    <row r="592">
      <c r="H592" s="24"/>
    </row>
    <row r="593">
      <c r="H593" s="24"/>
    </row>
    <row r="594">
      <c r="H594" s="24"/>
    </row>
    <row r="595">
      <c r="H595" s="24"/>
    </row>
    <row r="596">
      <c r="H596" s="24"/>
    </row>
    <row r="597">
      <c r="H597" s="24"/>
    </row>
    <row r="598">
      <c r="H598" s="24"/>
    </row>
    <row r="599">
      <c r="H599" s="24"/>
    </row>
    <row r="600">
      <c r="H600" s="24"/>
    </row>
    <row r="601">
      <c r="H601" s="24"/>
    </row>
    <row r="602">
      <c r="H602" s="24"/>
    </row>
    <row r="603">
      <c r="H603" s="24"/>
    </row>
    <row r="604">
      <c r="H604" s="24"/>
    </row>
    <row r="605">
      <c r="H605" s="24"/>
    </row>
    <row r="606">
      <c r="H606" s="24"/>
    </row>
    <row r="607">
      <c r="H607" s="24"/>
    </row>
    <row r="608">
      <c r="H608" s="24"/>
    </row>
    <row r="609">
      <c r="H609" s="24"/>
    </row>
    <row r="610">
      <c r="H610" s="24"/>
    </row>
    <row r="611">
      <c r="H611" s="24"/>
    </row>
    <row r="612">
      <c r="H612" s="24"/>
    </row>
    <row r="613">
      <c r="H613" s="24"/>
    </row>
    <row r="614">
      <c r="H614" s="24"/>
    </row>
    <row r="615">
      <c r="H615" s="24"/>
    </row>
    <row r="616">
      <c r="H616" s="24"/>
    </row>
    <row r="617">
      <c r="H617" s="24"/>
    </row>
    <row r="618">
      <c r="H618" s="24"/>
    </row>
    <row r="619">
      <c r="H619" s="24"/>
    </row>
    <row r="620">
      <c r="H620" s="24"/>
    </row>
    <row r="621">
      <c r="H621" s="24"/>
    </row>
    <row r="622">
      <c r="H622" s="24"/>
    </row>
    <row r="623">
      <c r="H623" s="24"/>
    </row>
    <row r="624">
      <c r="H624" s="24"/>
    </row>
    <row r="625">
      <c r="H625" s="24"/>
    </row>
    <row r="626">
      <c r="H626" s="24"/>
    </row>
    <row r="627">
      <c r="H627" s="24"/>
    </row>
    <row r="628">
      <c r="H628" s="24"/>
    </row>
    <row r="629">
      <c r="H629" s="24"/>
    </row>
    <row r="630">
      <c r="H630" s="24"/>
    </row>
    <row r="631">
      <c r="H631" s="24"/>
    </row>
    <row r="632">
      <c r="H632" s="24"/>
    </row>
    <row r="633">
      <c r="H633" s="24"/>
    </row>
    <row r="634">
      <c r="H634" s="24"/>
    </row>
    <row r="635">
      <c r="H635" s="24"/>
    </row>
    <row r="636">
      <c r="H636" s="24"/>
    </row>
    <row r="637">
      <c r="H637" s="24"/>
    </row>
    <row r="638">
      <c r="H638" s="24"/>
    </row>
    <row r="639">
      <c r="H639" s="24"/>
    </row>
    <row r="640">
      <c r="H640" s="24"/>
    </row>
    <row r="641">
      <c r="H641" s="24"/>
    </row>
    <row r="642">
      <c r="H642" s="24"/>
    </row>
    <row r="643">
      <c r="H643" s="24"/>
    </row>
    <row r="644">
      <c r="H644" s="24"/>
    </row>
    <row r="645">
      <c r="H645" s="24"/>
    </row>
    <row r="646">
      <c r="H646" s="24"/>
    </row>
    <row r="647">
      <c r="H647" s="24"/>
    </row>
    <row r="648">
      <c r="H648" s="24"/>
    </row>
    <row r="649">
      <c r="H649" s="24"/>
    </row>
    <row r="650">
      <c r="H650" s="24"/>
    </row>
    <row r="651">
      <c r="H651" s="24"/>
    </row>
    <row r="652">
      <c r="H652" s="24"/>
    </row>
    <row r="653">
      <c r="H653" s="24"/>
    </row>
    <row r="654">
      <c r="H654" s="24"/>
    </row>
    <row r="655">
      <c r="H655" s="24"/>
    </row>
    <row r="656">
      <c r="H656" s="24"/>
    </row>
    <row r="657">
      <c r="H657" s="24"/>
    </row>
    <row r="658">
      <c r="H658" s="24"/>
    </row>
    <row r="659">
      <c r="H659" s="24"/>
    </row>
    <row r="660">
      <c r="H660" s="24"/>
    </row>
    <row r="661">
      <c r="H661" s="24"/>
    </row>
    <row r="662">
      <c r="H662" s="24"/>
    </row>
    <row r="663">
      <c r="H663" s="24"/>
    </row>
    <row r="664">
      <c r="H664" s="24"/>
    </row>
    <row r="665">
      <c r="H665" s="24"/>
    </row>
    <row r="666">
      <c r="H666" s="24"/>
    </row>
    <row r="667">
      <c r="H667" s="24"/>
    </row>
    <row r="668">
      <c r="H668" s="24"/>
    </row>
    <row r="669">
      <c r="H669" s="24"/>
    </row>
    <row r="670">
      <c r="H670" s="24"/>
    </row>
    <row r="671">
      <c r="H671" s="24"/>
    </row>
    <row r="672">
      <c r="H672" s="24"/>
    </row>
    <row r="673">
      <c r="H673" s="24"/>
    </row>
    <row r="674">
      <c r="H674" s="24"/>
    </row>
    <row r="675">
      <c r="H675" s="24"/>
    </row>
    <row r="676">
      <c r="H676" s="24"/>
    </row>
    <row r="677">
      <c r="H677" s="24"/>
    </row>
    <row r="678">
      <c r="H678" s="24"/>
    </row>
    <row r="679">
      <c r="H679" s="24"/>
    </row>
    <row r="680">
      <c r="H680" s="24"/>
    </row>
    <row r="681">
      <c r="H681" s="24"/>
    </row>
    <row r="682">
      <c r="H682" s="24"/>
    </row>
    <row r="683">
      <c r="H683" s="24"/>
    </row>
    <row r="684">
      <c r="H684" s="24"/>
    </row>
    <row r="685">
      <c r="H685" s="24"/>
    </row>
    <row r="686">
      <c r="H686" s="24"/>
    </row>
    <row r="687">
      <c r="H687" s="24"/>
    </row>
    <row r="688">
      <c r="H688" s="24"/>
    </row>
    <row r="689">
      <c r="H689" s="24"/>
    </row>
    <row r="690">
      <c r="H690" s="24"/>
    </row>
    <row r="691">
      <c r="H691" s="24"/>
    </row>
    <row r="692">
      <c r="H692" s="24"/>
    </row>
    <row r="693">
      <c r="H693" s="24"/>
    </row>
    <row r="694">
      <c r="H694" s="24"/>
    </row>
    <row r="695">
      <c r="H695" s="24"/>
    </row>
    <row r="696">
      <c r="H696" s="24"/>
    </row>
    <row r="697">
      <c r="H697" s="24"/>
    </row>
    <row r="698">
      <c r="H698" s="24"/>
    </row>
    <row r="699">
      <c r="H699" s="24"/>
    </row>
    <row r="700">
      <c r="H700" s="24"/>
    </row>
    <row r="701">
      <c r="H701" s="24"/>
    </row>
    <row r="702">
      <c r="H702" s="24"/>
    </row>
    <row r="703">
      <c r="H703" s="24"/>
    </row>
    <row r="704">
      <c r="H704" s="24"/>
    </row>
    <row r="705">
      <c r="H705" s="24"/>
    </row>
    <row r="706">
      <c r="H706" s="24"/>
    </row>
    <row r="707">
      <c r="H707" s="24"/>
    </row>
    <row r="708">
      <c r="H708" s="24"/>
    </row>
    <row r="709">
      <c r="H709" s="24"/>
    </row>
    <row r="710">
      <c r="H710" s="24"/>
    </row>
    <row r="711">
      <c r="H711" s="24"/>
    </row>
    <row r="712">
      <c r="H712" s="24"/>
    </row>
    <row r="713">
      <c r="H713" s="24"/>
    </row>
    <row r="714">
      <c r="H714" s="24"/>
    </row>
    <row r="715">
      <c r="H715" s="24"/>
    </row>
    <row r="716">
      <c r="H716" s="24"/>
    </row>
    <row r="717">
      <c r="H717" s="24"/>
    </row>
    <row r="718">
      <c r="H718" s="24"/>
    </row>
    <row r="719">
      <c r="H719" s="24"/>
    </row>
    <row r="720">
      <c r="H720" s="24"/>
    </row>
    <row r="721">
      <c r="H721" s="24"/>
    </row>
    <row r="722">
      <c r="H722" s="24"/>
    </row>
    <row r="723">
      <c r="H723" s="24"/>
    </row>
    <row r="724">
      <c r="H724" s="24"/>
    </row>
    <row r="725">
      <c r="H725" s="24"/>
    </row>
    <row r="726">
      <c r="H726" s="24"/>
    </row>
    <row r="727">
      <c r="H727" s="24"/>
    </row>
    <row r="728">
      <c r="H728" s="24"/>
    </row>
    <row r="729">
      <c r="H729" s="24"/>
    </row>
    <row r="730">
      <c r="H730" s="24"/>
    </row>
    <row r="731">
      <c r="H731" s="24"/>
    </row>
    <row r="732">
      <c r="H732" s="24"/>
    </row>
    <row r="733">
      <c r="H733" s="24"/>
    </row>
    <row r="734">
      <c r="H734" s="24"/>
    </row>
    <row r="735">
      <c r="H735" s="24"/>
    </row>
    <row r="736">
      <c r="H736" s="24"/>
    </row>
    <row r="737">
      <c r="H737" s="24"/>
    </row>
    <row r="738">
      <c r="H738" s="24"/>
    </row>
    <row r="739">
      <c r="H739" s="24"/>
    </row>
    <row r="740">
      <c r="H740" s="24"/>
    </row>
    <row r="741">
      <c r="H741" s="24"/>
    </row>
    <row r="742">
      <c r="H742" s="24"/>
    </row>
    <row r="743">
      <c r="H743" s="24"/>
    </row>
    <row r="744">
      <c r="H744" s="24"/>
    </row>
    <row r="745">
      <c r="H745" s="24"/>
    </row>
    <row r="746">
      <c r="H746" s="24"/>
    </row>
    <row r="747">
      <c r="H747" s="24"/>
    </row>
    <row r="748">
      <c r="H748" s="24"/>
    </row>
    <row r="749">
      <c r="H749" s="24"/>
    </row>
    <row r="750">
      <c r="H750" s="24"/>
    </row>
    <row r="751">
      <c r="H751" s="24"/>
    </row>
    <row r="752">
      <c r="H752" s="24"/>
    </row>
    <row r="753">
      <c r="H753" s="24"/>
    </row>
    <row r="754">
      <c r="H754" s="24"/>
    </row>
    <row r="755">
      <c r="H755" s="24"/>
    </row>
    <row r="756">
      <c r="H756" s="24"/>
    </row>
    <row r="757">
      <c r="H757" s="24"/>
    </row>
    <row r="758">
      <c r="H758" s="24"/>
    </row>
    <row r="759">
      <c r="H759" s="24"/>
    </row>
    <row r="760">
      <c r="H760" s="24"/>
    </row>
    <row r="761">
      <c r="H761" s="24"/>
    </row>
    <row r="762">
      <c r="H762" s="24"/>
    </row>
    <row r="763">
      <c r="H763" s="24"/>
    </row>
    <row r="764">
      <c r="H764" s="24"/>
    </row>
    <row r="765">
      <c r="H765" s="24"/>
    </row>
    <row r="766">
      <c r="H766" s="24"/>
    </row>
    <row r="767">
      <c r="H767" s="24"/>
    </row>
    <row r="768">
      <c r="H768" s="24"/>
    </row>
    <row r="769">
      <c r="H769" s="24"/>
    </row>
    <row r="770">
      <c r="H770" s="24"/>
    </row>
    <row r="771">
      <c r="H771" s="24"/>
    </row>
    <row r="772">
      <c r="H772" s="24"/>
    </row>
    <row r="773">
      <c r="H773" s="24"/>
    </row>
    <row r="774">
      <c r="H774" s="24"/>
    </row>
    <row r="775">
      <c r="H775" s="24"/>
    </row>
    <row r="776">
      <c r="H776" s="24"/>
    </row>
    <row r="777">
      <c r="H777" s="24"/>
    </row>
    <row r="778">
      <c r="H778" s="24"/>
    </row>
    <row r="779">
      <c r="H779" s="24"/>
    </row>
    <row r="780">
      <c r="H780" s="24"/>
    </row>
    <row r="781">
      <c r="H781" s="24"/>
    </row>
    <row r="782">
      <c r="H782" s="24"/>
    </row>
    <row r="783">
      <c r="H783" s="24"/>
    </row>
    <row r="784">
      <c r="H784" s="24"/>
    </row>
    <row r="785">
      <c r="H785" s="24"/>
    </row>
    <row r="786">
      <c r="H786" s="24"/>
    </row>
    <row r="787">
      <c r="H787" s="24"/>
    </row>
    <row r="788">
      <c r="H788" s="24"/>
    </row>
    <row r="789">
      <c r="H789" s="24"/>
    </row>
    <row r="790">
      <c r="H790" s="24"/>
    </row>
    <row r="791">
      <c r="H791" s="24"/>
    </row>
    <row r="792">
      <c r="H792" s="24"/>
    </row>
    <row r="793">
      <c r="H793" s="24"/>
    </row>
    <row r="794">
      <c r="H794" s="24"/>
    </row>
    <row r="795">
      <c r="H795" s="24"/>
    </row>
    <row r="796">
      <c r="H796" s="24"/>
    </row>
    <row r="797">
      <c r="H797" s="24"/>
    </row>
    <row r="798">
      <c r="H798" s="24"/>
    </row>
    <row r="799">
      <c r="H799" s="24"/>
    </row>
    <row r="800">
      <c r="H800" s="24"/>
    </row>
    <row r="801">
      <c r="H801" s="24"/>
    </row>
    <row r="802">
      <c r="H802" s="24"/>
    </row>
    <row r="803">
      <c r="H803" s="24"/>
    </row>
    <row r="804">
      <c r="H804" s="24"/>
    </row>
    <row r="805">
      <c r="H805" s="24"/>
    </row>
    <row r="806">
      <c r="H806" s="24"/>
    </row>
    <row r="807">
      <c r="H807" s="24"/>
    </row>
    <row r="808">
      <c r="H808" s="24"/>
    </row>
    <row r="809">
      <c r="H809" s="24"/>
    </row>
    <row r="810">
      <c r="H810" s="24"/>
    </row>
    <row r="811">
      <c r="H811" s="24"/>
    </row>
    <row r="812">
      <c r="H812" s="24"/>
    </row>
    <row r="813">
      <c r="H813" s="24"/>
    </row>
    <row r="814">
      <c r="H814" s="24"/>
    </row>
    <row r="815">
      <c r="H815" s="24"/>
    </row>
    <row r="816">
      <c r="H816" s="24"/>
    </row>
    <row r="817">
      <c r="H817" s="24"/>
    </row>
    <row r="818">
      <c r="H818" s="24"/>
    </row>
    <row r="819">
      <c r="H819" s="24"/>
    </row>
    <row r="820">
      <c r="H820" s="24"/>
    </row>
    <row r="821">
      <c r="H821" s="24"/>
    </row>
    <row r="822">
      <c r="H822" s="24"/>
    </row>
    <row r="823">
      <c r="H823" s="24"/>
    </row>
    <row r="824">
      <c r="H824" s="24"/>
    </row>
    <row r="825">
      <c r="H825" s="24"/>
    </row>
    <row r="826">
      <c r="H826" s="24"/>
    </row>
    <row r="827">
      <c r="H827" s="24"/>
    </row>
    <row r="828">
      <c r="H828" s="24"/>
    </row>
    <row r="829">
      <c r="H829" s="24"/>
    </row>
    <row r="830">
      <c r="H830" s="24"/>
    </row>
    <row r="831">
      <c r="H831" s="24"/>
    </row>
    <row r="832">
      <c r="H832" s="24"/>
    </row>
    <row r="833">
      <c r="H833" s="24"/>
    </row>
    <row r="834">
      <c r="H834" s="24"/>
    </row>
    <row r="835">
      <c r="H835" s="24"/>
    </row>
    <row r="836">
      <c r="H836" s="24"/>
    </row>
    <row r="837">
      <c r="H837" s="24"/>
    </row>
    <row r="838">
      <c r="H838" s="24"/>
    </row>
    <row r="839">
      <c r="H839" s="24"/>
    </row>
    <row r="840">
      <c r="H840" s="24"/>
    </row>
    <row r="841">
      <c r="H841" s="24"/>
    </row>
    <row r="842">
      <c r="H842" s="24"/>
    </row>
    <row r="843">
      <c r="H843" s="24"/>
    </row>
    <row r="844">
      <c r="H844" s="24"/>
    </row>
    <row r="845">
      <c r="H845" s="24"/>
    </row>
    <row r="846">
      <c r="H846" s="24"/>
    </row>
    <row r="847">
      <c r="H847" s="24"/>
    </row>
    <row r="848">
      <c r="H848" s="24"/>
    </row>
    <row r="849">
      <c r="H849" s="24"/>
    </row>
    <row r="850">
      <c r="H850" s="24"/>
    </row>
    <row r="851">
      <c r="H851" s="24"/>
    </row>
    <row r="852">
      <c r="H852" s="24"/>
    </row>
    <row r="853">
      <c r="H853" s="24"/>
    </row>
    <row r="854">
      <c r="H854" s="24"/>
    </row>
    <row r="855">
      <c r="H855" s="24"/>
    </row>
    <row r="856">
      <c r="H856" s="24"/>
    </row>
    <row r="857">
      <c r="H857" s="24"/>
    </row>
    <row r="858">
      <c r="H858" s="24"/>
    </row>
    <row r="859">
      <c r="H859" s="24"/>
    </row>
    <row r="860">
      <c r="H860" s="24"/>
    </row>
    <row r="861">
      <c r="H861" s="24"/>
    </row>
    <row r="862">
      <c r="H862" s="24"/>
    </row>
    <row r="863">
      <c r="H863" s="24"/>
    </row>
    <row r="864">
      <c r="H864" s="24"/>
    </row>
    <row r="865">
      <c r="H865" s="24"/>
    </row>
    <row r="866">
      <c r="H866" s="24"/>
    </row>
    <row r="867">
      <c r="H867" s="24"/>
    </row>
    <row r="868">
      <c r="H868" s="24"/>
    </row>
    <row r="869">
      <c r="H869" s="24"/>
    </row>
    <row r="870">
      <c r="H870" s="24"/>
    </row>
    <row r="871">
      <c r="H871" s="24"/>
    </row>
    <row r="872">
      <c r="H872" s="24"/>
    </row>
    <row r="873">
      <c r="H873" s="24"/>
    </row>
    <row r="874">
      <c r="H874" s="24"/>
    </row>
    <row r="875">
      <c r="H875" s="24"/>
    </row>
    <row r="876">
      <c r="H876" s="24"/>
    </row>
    <row r="877">
      <c r="H877" s="24"/>
    </row>
    <row r="878">
      <c r="H878" s="24"/>
    </row>
    <row r="879">
      <c r="H879" s="24"/>
    </row>
    <row r="880">
      <c r="H880" s="24"/>
    </row>
    <row r="881">
      <c r="H881" s="24"/>
    </row>
    <row r="882">
      <c r="H882" s="24"/>
    </row>
    <row r="883">
      <c r="H883" s="24"/>
    </row>
    <row r="884">
      <c r="H884" s="24"/>
    </row>
    <row r="885">
      <c r="H885" s="24"/>
    </row>
    <row r="886">
      <c r="H886" s="24"/>
    </row>
    <row r="887">
      <c r="H887" s="24"/>
    </row>
    <row r="888">
      <c r="H888" s="24"/>
    </row>
    <row r="889">
      <c r="H889" s="24"/>
    </row>
    <row r="890">
      <c r="H890" s="24"/>
    </row>
    <row r="891">
      <c r="H891" s="24"/>
    </row>
    <row r="892">
      <c r="H892" s="24"/>
    </row>
    <row r="893">
      <c r="H893" s="24"/>
    </row>
    <row r="894">
      <c r="H894" s="24"/>
    </row>
    <row r="895">
      <c r="H895" s="24"/>
    </row>
    <row r="896">
      <c r="H896" s="24"/>
    </row>
    <row r="897">
      <c r="H897" s="24"/>
    </row>
    <row r="898">
      <c r="H898" s="24"/>
    </row>
    <row r="899">
      <c r="H899" s="24"/>
    </row>
    <row r="900">
      <c r="H900" s="24"/>
    </row>
    <row r="901">
      <c r="H901" s="24"/>
    </row>
    <row r="902">
      <c r="H902" s="24"/>
    </row>
    <row r="903">
      <c r="H903" s="24"/>
    </row>
    <row r="904">
      <c r="H904" s="24"/>
    </row>
    <row r="905">
      <c r="H905" s="24"/>
    </row>
    <row r="906">
      <c r="H906" s="24"/>
    </row>
    <row r="907">
      <c r="H907" s="24"/>
    </row>
    <row r="908">
      <c r="H908" s="24"/>
    </row>
    <row r="909">
      <c r="H909" s="24"/>
    </row>
    <row r="910">
      <c r="H910" s="24"/>
    </row>
    <row r="911">
      <c r="H911" s="24"/>
    </row>
    <row r="912">
      <c r="H912" s="24"/>
    </row>
    <row r="913">
      <c r="H913" s="24"/>
    </row>
    <row r="914">
      <c r="H914" s="24"/>
    </row>
    <row r="915">
      <c r="H915" s="24"/>
    </row>
    <row r="916">
      <c r="H916" s="24"/>
    </row>
    <row r="917">
      <c r="H917" s="24"/>
    </row>
    <row r="918">
      <c r="H918" s="24"/>
    </row>
    <row r="919">
      <c r="H919" s="24"/>
    </row>
    <row r="920">
      <c r="H920" s="24"/>
    </row>
    <row r="921">
      <c r="H921" s="24"/>
    </row>
    <row r="922">
      <c r="H922" s="24"/>
    </row>
    <row r="923">
      <c r="H923" s="24"/>
    </row>
    <row r="924">
      <c r="H924" s="24"/>
    </row>
    <row r="925">
      <c r="H925" s="24"/>
    </row>
    <row r="926">
      <c r="H926" s="24"/>
    </row>
    <row r="927">
      <c r="H927" s="24"/>
    </row>
    <row r="928">
      <c r="H928" s="24"/>
    </row>
    <row r="929">
      <c r="H929" s="24"/>
    </row>
    <row r="930">
      <c r="H930" s="24"/>
    </row>
    <row r="931">
      <c r="H931" s="24"/>
    </row>
    <row r="932">
      <c r="H932" s="24"/>
    </row>
    <row r="933">
      <c r="H933" s="24"/>
    </row>
    <row r="934">
      <c r="H934" s="24"/>
    </row>
    <row r="935">
      <c r="H935" s="24"/>
    </row>
    <row r="936">
      <c r="H936" s="24"/>
    </row>
    <row r="937">
      <c r="H937" s="24"/>
    </row>
    <row r="938">
      <c r="H938" s="24"/>
    </row>
    <row r="939">
      <c r="H939" s="24"/>
    </row>
    <row r="940">
      <c r="H940" s="24"/>
    </row>
    <row r="941">
      <c r="H941" s="24"/>
    </row>
    <row r="942">
      <c r="H942" s="24"/>
    </row>
    <row r="943">
      <c r="H943" s="24"/>
    </row>
    <row r="944">
      <c r="H944" s="24"/>
    </row>
    <row r="945">
      <c r="H945" s="24"/>
    </row>
    <row r="946">
      <c r="H946" s="24"/>
    </row>
    <row r="947">
      <c r="H947" s="24"/>
    </row>
    <row r="948">
      <c r="H948" s="24"/>
    </row>
    <row r="949">
      <c r="H949" s="24"/>
    </row>
    <row r="950">
      <c r="H950" s="24"/>
    </row>
    <row r="951">
      <c r="H951" s="24"/>
    </row>
    <row r="952">
      <c r="H952" s="24"/>
    </row>
    <row r="953">
      <c r="H953" s="24"/>
    </row>
    <row r="954">
      <c r="H954" s="24"/>
    </row>
    <row r="955">
      <c r="H955" s="24"/>
    </row>
    <row r="956">
      <c r="H956" s="24"/>
    </row>
    <row r="957">
      <c r="H957" s="24"/>
    </row>
    <row r="958">
      <c r="H958" s="24"/>
    </row>
    <row r="959">
      <c r="H959" s="24"/>
    </row>
    <row r="960">
      <c r="H960" s="24"/>
    </row>
    <row r="961">
      <c r="H961" s="24"/>
    </row>
    <row r="962">
      <c r="H962" s="24"/>
    </row>
    <row r="963">
      <c r="H963" s="24"/>
    </row>
    <row r="964">
      <c r="H964" s="24"/>
    </row>
    <row r="965">
      <c r="H965" s="24"/>
    </row>
    <row r="966">
      <c r="H966" s="24"/>
    </row>
    <row r="967">
      <c r="H967" s="24"/>
    </row>
    <row r="968">
      <c r="H968" s="24"/>
    </row>
    <row r="969">
      <c r="H969" s="24"/>
    </row>
    <row r="970">
      <c r="H970" s="24"/>
    </row>
    <row r="971">
      <c r="H971" s="24"/>
    </row>
    <row r="972">
      <c r="H972" s="24"/>
    </row>
    <row r="973">
      <c r="H973" s="24"/>
    </row>
    <row r="974">
      <c r="H974" s="24"/>
    </row>
    <row r="975">
      <c r="H975" s="24"/>
    </row>
    <row r="976">
      <c r="H976" s="24"/>
    </row>
    <row r="977">
      <c r="H977" s="24"/>
    </row>
    <row r="978">
      <c r="H978" s="24"/>
    </row>
    <row r="979">
      <c r="H979" s="24"/>
    </row>
    <row r="980">
      <c r="H980" s="24"/>
    </row>
    <row r="981">
      <c r="H981" s="24"/>
    </row>
    <row r="982">
      <c r="H982" s="24"/>
    </row>
    <row r="983">
      <c r="H983" s="24"/>
    </row>
    <row r="984">
      <c r="H984" s="24"/>
    </row>
    <row r="985">
      <c r="H985" s="24"/>
    </row>
    <row r="986">
      <c r="H986" s="24"/>
    </row>
    <row r="987">
      <c r="H987" s="24"/>
    </row>
    <row r="988">
      <c r="H988" s="24"/>
    </row>
    <row r="989">
      <c r="H989" s="24"/>
    </row>
    <row r="990">
      <c r="H990" s="24"/>
    </row>
    <row r="991">
      <c r="H991" s="24"/>
    </row>
    <row r="992">
      <c r="H992" s="24"/>
    </row>
    <row r="993">
      <c r="H993" s="24"/>
    </row>
    <row r="994">
      <c r="H994" s="24"/>
    </row>
    <row r="995">
      <c r="H995" s="24"/>
    </row>
    <row r="996">
      <c r="H996" s="24"/>
    </row>
    <row r="997">
      <c r="H997" s="24"/>
    </row>
    <row r="998">
      <c r="H998" s="24"/>
    </row>
    <row r="999">
      <c r="H999" s="24"/>
    </row>
    <row r="1000">
      <c r="H1000" s="24"/>
    </row>
  </sheetData>
  <dataValidations>
    <dataValidation type="list" allowBlank="1" showErrorMessage="1" sqref="H2:H1000">
      <formula1>"Active,Inactive"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9</v>
      </c>
      <c r="C1" s="2" t="s">
        <v>10</v>
      </c>
      <c r="D1" s="2" t="s">
        <v>11</v>
      </c>
      <c r="E1" s="2" t="s">
        <v>8</v>
      </c>
      <c r="F1" s="2" t="s">
        <v>13</v>
      </c>
    </row>
    <row r="2">
      <c r="A2" s="5"/>
      <c r="B2" s="6"/>
      <c r="C2" s="8"/>
      <c r="D2" s="8"/>
      <c r="E2" s="5"/>
      <c r="F2" s="9"/>
    </row>
    <row r="3">
      <c r="A3" s="5"/>
      <c r="B3" s="6"/>
      <c r="C3" s="8"/>
      <c r="D3" s="8"/>
      <c r="E3" s="5"/>
      <c r="F3" s="9"/>
    </row>
    <row r="4">
      <c r="A4" s="5"/>
      <c r="B4" s="6"/>
      <c r="C4" s="8"/>
      <c r="D4" s="8"/>
      <c r="E4" s="5"/>
      <c r="F4" s="9"/>
    </row>
    <row r="5">
      <c r="A5" s="10"/>
      <c r="B5" s="6"/>
      <c r="C5" s="8"/>
      <c r="D5" s="8"/>
      <c r="E5" s="10"/>
      <c r="F5" s="9"/>
    </row>
    <row r="6">
      <c r="A6" s="10"/>
      <c r="B6" s="6"/>
      <c r="C6" s="8"/>
      <c r="D6" s="8"/>
      <c r="E6" s="10"/>
      <c r="F6" s="9"/>
    </row>
    <row r="7">
      <c r="A7" s="10"/>
      <c r="B7" s="6"/>
      <c r="C7" s="8"/>
      <c r="D7" s="8"/>
      <c r="E7" s="10"/>
      <c r="F7" s="9"/>
    </row>
    <row r="8">
      <c r="A8" s="10"/>
      <c r="B8" s="6"/>
      <c r="C8" s="8"/>
      <c r="D8" s="8"/>
      <c r="E8" s="10"/>
      <c r="F8" s="9"/>
    </row>
    <row r="9">
      <c r="A9" s="10"/>
      <c r="B9" s="6"/>
      <c r="C9" s="8"/>
      <c r="D9" s="8"/>
      <c r="E9" s="10"/>
      <c r="F9" s="9"/>
    </row>
    <row r="10">
      <c r="A10" s="10"/>
      <c r="B10" s="6"/>
      <c r="C10" s="8"/>
      <c r="D10" s="8"/>
      <c r="E10" s="10"/>
      <c r="F10" s="9"/>
    </row>
    <row r="11">
      <c r="A11" s="10"/>
      <c r="B11" s="6"/>
      <c r="C11" s="8"/>
      <c r="D11" s="8"/>
      <c r="E11" s="10"/>
      <c r="F11" s="9"/>
    </row>
    <row r="12">
      <c r="A12" s="10"/>
      <c r="B12" s="6"/>
      <c r="C12" s="8"/>
      <c r="D12" s="8"/>
      <c r="E12" s="10"/>
      <c r="F12" s="9"/>
    </row>
    <row r="13">
      <c r="A13" s="10"/>
      <c r="B13" s="6"/>
      <c r="C13" s="8"/>
      <c r="D13" s="8"/>
      <c r="E13" s="10"/>
      <c r="F13" s="9"/>
    </row>
    <row r="14">
      <c r="A14" s="10"/>
      <c r="B14" s="6"/>
      <c r="C14" s="8"/>
      <c r="D14" s="8"/>
      <c r="E14" s="10"/>
      <c r="F14" s="9"/>
    </row>
    <row r="15">
      <c r="A15" s="10"/>
      <c r="B15" s="6"/>
      <c r="C15" s="8"/>
      <c r="D15" s="8"/>
      <c r="E15" s="10"/>
      <c r="F15" s="9"/>
    </row>
    <row r="16">
      <c r="A16" s="10"/>
      <c r="B16" s="6"/>
      <c r="C16" s="8"/>
      <c r="D16" s="12"/>
      <c r="E16" s="10"/>
      <c r="F16" s="9"/>
    </row>
    <row r="17">
      <c r="A17" s="10"/>
      <c r="B17" s="6"/>
      <c r="C17" s="8"/>
      <c r="D17" s="8"/>
      <c r="E17" s="10"/>
      <c r="F17" s="9"/>
    </row>
    <row r="18">
      <c r="A18" s="10"/>
      <c r="B18" s="6"/>
      <c r="C18" s="8"/>
      <c r="D18" s="8"/>
      <c r="E18" s="10"/>
      <c r="F18" s="9"/>
    </row>
    <row r="19">
      <c r="A19" s="10"/>
      <c r="B19" s="6"/>
      <c r="C19" s="8"/>
      <c r="D19" s="8"/>
      <c r="E19" s="10"/>
      <c r="F19" s="9"/>
    </row>
    <row r="20">
      <c r="A20" s="10"/>
      <c r="B20" s="6"/>
      <c r="C20" s="8"/>
      <c r="D20" s="8"/>
      <c r="E20" s="10"/>
      <c r="F20" s="9"/>
    </row>
    <row r="21">
      <c r="A21" s="10"/>
      <c r="B21" s="6"/>
      <c r="C21" s="8"/>
      <c r="D21" s="8"/>
      <c r="E21" s="10"/>
      <c r="F21" s="9"/>
    </row>
    <row r="22">
      <c r="A22" s="10"/>
      <c r="B22" s="6"/>
      <c r="C22" s="8"/>
      <c r="D22" s="8"/>
      <c r="E22" s="10"/>
      <c r="F22" s="9"/>
    </row>
    <row r="23">
      <c r="A23" s="10"/>
      <c r="B23" s="6"/>
      <c r="C23" s="8"/>
      <c r="D23" s="8"/>
      <c r="E23" s="10"/>
      <c r="F23" s="9"/>
    </row>
    <row r="24">
      <c r="A24" s="10"/>
      <c r="B24" s="6"/>
      <c r="C24" s="8"/>
      <c r="D24" s="10"/>
      <c r="E24" s="10"/>
      <c r="F24" s="9"/>
    </row>
    <row r="25">
      <c r="A25" s="10"/>
      <c r="B25" s="6"/>
      <c r="C25" s="8"/>
      <c r="D25" s="8"/>
      <c r="E25" s="10"/>
      <c r="F25" s="9"/>
    </row>
    <row r="26">
      <c r="A26" s="10"/>
      <c r="B26" s="6"/>
      <c r="C26" s="8"/>
      <c r="D26" s="10"/>
      <c r="E26" s="10"/>
      <c r="F26" s="9"/>
    </row>
    <row r="27">
      <c r="A27" s="10"/>
      <c r="B27" s="6"/>
      <c r="C27" s="8"/>
      <c r="D27" s="8"/>
      <c r="E27" s="10"/>
      <c r="F27" s="9"/>
    </row>
    <row r="28">
      <c r="A28" s="10"/>
      <c r="B28" s="6"/>
      <c r="C28" s="8"/>
      <c r="D28" s="8"/>
      <c r="E28" s="10"/>
      <c r="F28" s="9"/>
    </row>
    <row r="29">
      <c r="A29" s="10"/>
      <c r="B29" s="6"/>
      <c r="C29" s="8"/>
      <c r="D29" s="8"/>
      <c r="E29" s="10"/>
      <c r="F29" s="9"/>
    </row>
    <row r="30">
      <c r="A30" s="10"/>
      <c r="B30" s="6"/>
      <c r="C30" s="8"/>
      <c r="D30" s="8"/>
      <c r="E30" s="10"/>
      <c r="F30" s="9"/>
    </row>
    <row r="31">
      <c r="A31" s="10"/>
      <c r="B31" s="6"/>
      <c r="C31" s="8"/>
      <c r="D31" s="8"/>
      <c r="E31" s="10"/>
      <c r="F31" s="9"/>
    </row>
    <row r="32">
      <c r="A32" s="10"/>
      <c r="B32" s="6"/>
      <c r="C32" s="8"/>
      <c r="D32" s="8"/>
      <c r="E32" s="10"/>
      <c r="F32" s="9"/>
    </row>
    <row r="33">
      <c r="A33" s="10"/>
      <c r="B33" s="6"/>
      <c r="C33" s="8"/>
      <c r="D33" s="8"/>
      <c r="E33" s="10"/>
      <c r="F33" s="9"/>
    </row>
    <row r="34">
      <c r="A34" s="10"/>
      <c r="B34" s="6"/>
      <c r="C34" s="8"/>
      <c r="D34" s="8"/>
      <c r="E34" s="10"/>
      <c r="F34" s="9"/>
    </row>
    <row r="35">
      <c r="A35" s="10"/>
      <c r="B35" s="6"/>
      <c r="C35" s="8"/>
      <c r="D35" s="10"/>
      <c r="E35" s="10"/>
      <c r="F35" s="9"/>
    </row>
    <row r="36">
      <c r="A36" s="10"/>
      <c r="B36" s="6"/>
      <c r="C36" s="8"/>
      <c r="D36" s="10"/>
      <c r="E36" s="10"/>
      <c r="F36" s="9"/>
    </row>
    <row r="37">
      <c r="A37" s="10"/>
      <c r="B37" s="6"/>
      <c r="C37" s="8"/>
      <c r="D37" s="10"/>
      <c r="E37" s="10"/>
      <c r="F37" s="9"/>
    </row>
    <row r="38">
      <c r="A38" s="10"/>
      <c r="B38" s="6"/>
      <c r="C38" s="10"/>
      <c r="D38" s="10"/>
      <c r="E38" s="10"/>
      <c r="F38" s="9"/>
    </row>
    <row r="39">
      <c r="A39" s="10"/>
      <c r="B39" s="10"/>
      <c r="C39" s="10"/>
      <c r="D39" s="10"/>
      <c r="E39" s="10"/>
      <c r="F39" s="9"/>
    </row>
    <row r="40">
      <c r="A40" s="10"/>
      <c r="B40" s="10"/>
      <c r="C40" s="10"/>
      <c r="D40" s="10"/>
      <c r="E40" s="10"/>
      <c r="F40" s="9"/>
    </row>
    <row r="41">
      <c r="A41" s="10"/>
      <c r="B41" s="10"/>
      <c r="C41" s="10"/>
      <c r="D41" s="10"/>
      <c r="E41" s="10"/>
      <c r="F41" s="9"/>
    </row>
    <row r="42">
      <c r="A42" s="10"/>
      <c r="B42" s="10"/>
      <c r="C42" s="10"/>
      <c r="D42" s="10"/>
      <c r="E42" s="10"/>
      <c r="F42" s="9"/>
    </row>
    <row r="43">
      <c r="A43" s="10"/>
      <c r="B43" s="10"/>
      <c r="C43" s="10"/>
      <c r="D43" s="10"/>
      <c r="E43" s="10"/>
      <c r="F43" s="9"/>
    </row>
    <row r="44">
      <c r="A44" s="10"/>
      <c r="B44" s="10"/>
      <c r="C44" s="10"/>
      <c r="D44" s="10"/>
      <c r="E44" s="10"/>
      <c r="F44" s="9"/>
    </row>
    <row r="45">
      <c r="A45" s="10"/>
      <c r="B45" s="10"/>
      <c r="C45" s="10"/>
      <c r="D45" s="10"/>
      <c r="E45" s="10"/>
      <c r="F45" s="9"/>
    </row>
    <row r="46">
      <c r="A46" s="10"/>
      <c r="B46" s="10"/>
      <c r="C46" s="10"/>
      <c r="D46" s="10"/>
      <c r="E46" s="10"/>
      <c r="F46" s="9"/>
    </row>
    <row r="47">
      <c r="A47" s="10"/>
      <c r="B47" s="10"/>
      <c r="C47" s="10"/>
      <c r="D47" s="10"/>
      <c r="E47" s="10"/>
      <c r="F47" s="9"/>
    </row>
    <row r="48">
      <c r="A48" s="10"/>
      <c r="B48" s="10"/>
      <c r="C48" s="10"/>
      <c r="D48" s="10"/>
      <c r="E48" s="10"/>
      <c r="F48" s="9"/>
    </row>
    <row r="49">
      <c r="A49" s="10"/>
      <c r="B49" s="10"/>
      <c r="C49" s="10"/>
      <c r="D49" s="10"/>
      <c r="E49" s="10"/>
      <c r="F49" s="9"/>
    </row>
    <row r="50">
      <c r="A50" s="10"/>
      <c r="B50" s="10"/>
      <c r="C50" s="10"/>
      <c r="D50" s="10"/>
      <c r="E50" s="10"/>
      <c r="F50" s="9"/>
    </row>
    <row r="51">
      <c r="A51" s="10"/>
      <c r="B51" s="10"/>
      <c r="C51" s="10"/>
      <c r="D51" s="10"/>
      <c r="E51" s="10"/>
      <c r="F51" s="9"/>
    </row>
    <row r="52">
      <c r="A52" s="10"/>
      <c r="B52" s="10"/>
      <c r="C52" s="10"/>
      <c r="D52" s="10"/>
      <c r="E52" s="10"/>
      <c r="F52" s="9"/>
    </row>
    <row r="53">
      <c r="A53" s="10"/>
      <c r="B53" s="10"/>
      <c r="C53" s="10"/>
      <c r="D53" s="10"/>
      <c r="E53" s="10"/>
      <c r="F53" s="9"/>
    </row>
    <row r="54">
      <c r="A54" s="10"/>
      <c r="B54" s="10"/>
      <c r="C54" s="10"/>
      <c r="D54" s="10"/>
      <c r="E54" s="10"/>
      <c r="F54" s="9"/>
    </row>
    <row r="55">
      <c r="A55" s="10"/>
      <c r="B55" s="10"/>
      <c r="C55" s="10"/>
      <c r="D55" s="10"/>
      <c r="E55" s="10"/>
      <c r="F55" s="9"/>
    </row>
    <row r="56">
      <c r="A56" s="10"/>
      <c r="B56" s="10"/>
      <c r="C56" s="10"/>
      <c r="D56" s="10"/>
      <c r="E56" s="10"/>
      <c r="F56" s="9"/>
    </row>
    <row r="57">
      <c r="A57" s="10"/>
      <c r="B57" s="10"/>
      <c r="C57" s="10"/>
      <c r="D57" s="10"/>
      <c r="E57" s="10"/>
      <c r="F57" s="9"/>
    </row>
    <row r="58">
      <c r="A58" s="10"/>
      <c r="B58" s="10"/>
      <c r="C58" s="10"/>
      <c r="D58" s="10"/>
      <c r="E58" s="10"/>
      <c r="F58" s="9"/>
    </row>
    <row r="59">
      <c r="A59" s="10"/>
      <c r="B59" s="10"/>
      <c r="C59" s="10"/>
      <c r="D59" s="10"/>
      <c r="E59" s="10"/>
      <c r="F59" s="9"/>
    </row>
    <row r="60">
      <c r="A60" s="10"/>
      <c r="B60" s="10"/>
      <c r="C60" s="10"/>
      <c r="D60" s="10"/>
      <c r="E60" s="10"/>
      <c r="F60" s="9"/>
    </row>
    <row r="61">
      <c r="A61" s="10"/>
      <c r="B61" s="10"/>
      <c r="C61" s="10"/>
      <c r="D61" s="10"/>
      <c r="E61" s="10"/>
      <c r="F61" s="9"/>
    </row>
    <row r="62">
      <c r="A62" s="10"/>
      <c r="B62" s="10"/>
      <c r="C62" s="10"/>
      <c r="D62" s="10"/>
      <c r="E62" s="10"/>
      <c r="F62" s="9"/>
    </row>
    <row r="63">
      <c r="A63" s="10"/>
      <c r="B63" s="10"/>
      <c r="C63" s="10"/>
      <c r="D63" s="10"/>
      <c r="E63" s="10"/>
      <c r="F63" s="9"/>
    </row>
    <row r="64">
      <c r="A64" s="10"/>
      <c r="B64" s="10"/>
      <c r="C64" s="10"/>
      <c r="D64" s="10"/>
      <c r="E64" s="10"/>
      <c r="F64" s="9"/>
    </row>
    <row r="65">
      <c r="A65" s="10"/>
      <c r="B65" s="10"/>
      <c r="C65" s="10"/>
      <c r="D65" s="10"/>
      <c r="E65" s="10"/>
      <c r="F65" s="9"/>
    </row>
    <row r="66">
      <c r="A66" s="10"/>
      <c r="B66" s="10"/>
      <c r="C66" s="10"/>
      <c r="D66" s="10"/>
      <c r="E66" s="10"/>
      <c r="F66" s="9"/>
    </row>
    <row r="67">
      <c r="A67" s="10"/>
      <c r="B67" s="10"/>
      <c r="C67" s="10"/>
      <c r="D67" s="10"/>
      <c r="E67" s="10"/>
      <c r="F67" s="9"/>
    </row>
    <row r="68">
      <c r="A68" s="10"/>
      <c r="B68" s="10"/>
      <c r="C68" s="10"/>
      <c r="D68" s="10"/>
      <c r="E68" s="10"/>
      <c r="F68" s="9"/>
    </row>
    <row r="69">
      <c r="A69" s="10"/>
      <c r="B69" s="10"/>
      <c r="C69" s="10"/>
      <c r="D69" s="10"/>
      <c r="E69" s="10"/>
      <c r="F69" s="9"/>
    </row>
    <row r="70">
      <c r="A70" s="10"/>
      <c r="B70" s="10"/>
      <c r="C70" s="10"/>
      <c r="D70" s="10"/>
      <c r="E70" s="10"/>
      <c r="F70" s="9"/>
    </row>
    <row r="71">
      <c r="A71" s="10"/>
      <c r="B71" s="10"/>
      <c r="C71" s="10"/>
      <c r="D71" s="10"/>
      <c r="E71" s="10"/>
      <c r="F71" s="9"/>
    </row>
    <row r="72">
      <c r="A72" s="10"/>
      <c r="B72" s="10"/>
      <c r="C72" s="10"/>
      <c r="D72" s="10"/>
      <c r="E72" s="10"/>
      <c r="F72" s="9"/>
    </row>
    <row r="73">
      <c r="A73" s="10"/>
      <c r="B73" s="10"/>
      <c r="C73" s="10"/>
      <c r="D73" s="10"/>
      <c r="E73" s="10"/>
      <c r="F73" s="9"/>
    </row>
    <row r="74">
      <c r="A74" s="10"/>
      <c r="B74" s="10"/>
      <c r="C74" s="10"/>
      <c r="D74" s="10"/>
      <c r="E74" s="10"/>
      <c r="F74" s="9"/>
    </row>
    <row r="75">
      <c r="A75" s="10"/>
      <c r="B75" s="10"/>
      <c r="C75" s="10"/>
      <c r="D75" s="10"/>
      <c r="E75" s="10"/>
      <c r="F75" s="9"/>
    </row>
    <row r="76">
      <c r="A76" s="10"/>
      <c r="B76" s="10"/>
      <c r="C76" s="10"/>
      <c r="D76" s="10"/>
      <c r="E76" s="10"/>
      <c r="F76" s="9"/>
    </row>
    <row r="77">
      <c r="A77" s="10"/>
      <c r="B77" s="10"/>
      <c r="C77" s="10"/>
      <c r="D77" s="10"/>
      <c r="E77" s="10"/>
      <c r="F77" s="9"/>
    </row>
    <row r="78">
      <c r="A78" s="10"/>
      <c r="B78" s="10"/>
      <c r="C78" s="10"/>
      <c r="D78" s="10"/>
      <c r="E78" s="10"/>
      <c r="F78" s="9"/>
    </row>
    <row r="79">
      <c r="A79" s="10"/>
      <c r="B79" s="10"/>
      <c r="C79" s="10"/>
      <c r="D79" s="10"/>
      <c r="E79" s="10"/>
      <c r="F79" s="9"/>
    </row>
    <row r="80">
      <c r="A80" s="10"/>
      <c r="B80" s="10"/>
      <c r="C80" s="10"/>
      <c r="D80" s="10"/>
      <c r="E80" s="10"/>
      <c r="F80" s="9"/>
    </row>
    <row r="81">
      <c r="A81" s="10"/>
      <c r="B81" s="10"/>
      <c r="C81" s="10"/>
      <c r="D81" s="10"/>
      <c r="E81" s="10"/>
      <c r="F81" s="9"/>
    </row>
    <row r="82">
      <c r="A82" s="10"/>
      <c r="B82" s="10"/>
      <c r="C82" s="10"/>
      <c r="D82" s="10"/>
      <c r="E82" s="10"/>
      <c r="F82" s="9"/>
    </row>
    <row r="83">
      <c r="A83" s="10"/>
      <c r="B83" s="10"/>
      <c r="C83" s="10"/>
      <c r="D83" s="10"/>
      <c r="E83" s="10"/>
      <c r="F83" s="9"/>
    </row>
    <row r="84">
      <c r="A84" s="10"/>
      <c r="B84" s="10"/>
      <c r="C84" s="10"/>
      <c r="D84" s="10"/>
      <c r="E84" s="10"/>
      <c r="F84" s="9"/>
    </row>
    <row r="85">
      <c r="A85" s="10"/>
      <c r="B85" s="10"/>
      <c r="C85" s="10"/>
      <c r="D85" s="10"/>
      <c r="E85" s="10"/>
      <c r="F85" s="9"/>
    </row>
    <row r="86">
      <c r="A86" s="10"/>
      <c r="B86" s="10"/>
      <c r="C86" s="10"/>
      <c r="D86" s="10"/>
      <c r="E86" s="10"/>
      <c r="F86" s="9"/>
    </row>
    <row r="87">
      <c r="A87" s="10"/>
      <c r="B87" s="10"/>
      <c r="C87" s="10"/>
      <c r="D87" s="10"/>
      <c r="E87" s="10"/>
      <c r="F87" s="9"/>
    </row>
    <row r="88">
      <c r="A88" s="10"/>
      <c r="B88" s="10"/>
      <c r="C88" s="10"/>
      <c r="D88" s="10"/>
      <c r="E88" s="10"/>
      <c r="F88" s="9"/>
    </row>
    <row r="89">
      <c r="A89" s="10"/>
      <c r="B89" s="10"/>
      <c r="C89" s="10"/>
      <c r="D89" s="10"/>
      <c r="E89" s="10"/>
      <c r="F89" s="9"/>
    </row>
    <row r="90">
      <c r="A90" s="10"/>
      <c r="B90" s="10"/>
      <c r="C90" s="10"/>
      <c r="D90" s="10"/>
      <c r="E90" s="10"/>
      <c r="F90" s="9"/>
    </row>
    <row r="91">
      <c r="A91" s="10"/>
      <c r="B91" s="10"/>
      <c r="C91" s="10"/>
      <c r="D91" s="10"/>
      <c r="E91" s="10"/>
      <c r="F91" s="9"/>
    </row>
    <row r="92">
      <c r="A92" s="10"/>
      <c r="B92" s="10"/>
      <c r="C92" s="10"/>
      <c r="D92" s="10"/>
      <c r="E92" s="10"/>
      <c r="F92" s="9"/>
    </row>
    <row r="93">
      <c r="A93" s="10"/>
      <c r="B93" s="10"/>
      <c r="C93" s="10"/>
      <c r="D93" s="10"/>
      <c r="E93" s="10"/>
      <c r="F93" s="9"/>
    </row>
    <row r="94">
      <c r="A94" s="10"/>
      <c r="B94" s="10"/>
      <c r="C94" s="10"/>
      <c r="D94" s="10"/>
      <c r="E94" s="10"/>
      <c r="F94" s="9"/>
    </row>
    <row r="95">
      <c r="A95" s="10"/>
      <c r="B95" s="10"/>
      <c r="C95" s="10"/>
      <c r="D95" s="10"/>
      <c r="E95" s="10"/>
      <c r="F95" s="9"/>
    </row>
    <row r="96">
      <c r="A96" s="10"/>
      <c r="B96" s="10"/>
      <c r="C96" s="10"/>
      <c r="D96" s="10"/>
      <c r="E96" s="10"/>
      <c r="F96" s="9"/>
    </row>
    <row r="97">
      <c r="A97" s="10"/>
      <c r="B97" s="10"/>
      <c r="C97" s="10"/>
      <c r="D97" s="10"/>
      <c r="E97" s="10"/>
      <c r="F97" s="9"/>
    </row>
    <row r="98">
      <c r="A98" s="10"/>
      <c r="B98" s="10"/>
      <c r="C98" s="10"/>
      <c r="D98" s="10"/>
      <c r="E98" s="10"/>
      <c r="F98" s="9"/>
    </row>
    <row r="99">
      <c r="A99" s="10"/>
      <c r="B99" s="10"/>
      <c r="C99" s="10"/>
      <c r="D99" s="10"/>
      <c r="E99" s="10"/>
      <c r="F99" s="9"/>
    </row>
    <row r="100">
      <c r="A100" s="10"/>
      <c r="B100" s="10"/>
      <c r="C100" s="10"/>
      <c r="D100" s="10"/>
      <c r="E100" s="10"/>
      <c r="F100" s="9"/>
    </row>
    <row r="101">
      <c r="A101" s="10"/>
      <c r="B101" s="10"/>
      <c r="C101" s="10"/>
      <c r="D101" s="10"/>
      <c r="E101" s="10"/>
      <c r="F101" s="9"/>
    </row>
    <row r="102">
      <c r="A102" s="10"/>
      <c r="B102" s="10"/>
      <c r="C102" s="10"/>
      <c r="D102" s="10"/>
      <c r="E102" s="10"/>
      <c r="F102" s="9"/>
    </row>
    <row r="103">
      <c r="A103" s="10"/>
      <c r="B103" s="10"/>
      <c r="C103" s="10"/>
      <c r="D103" s="10"/>
      <c r="E103" s="10"/>
      <c r="F103" s="9"/>
    </row>
    <row r="104">
      <c r="A104" s="10"/>
      <c r="B104" s="10"/>
      <c r="C104" s="10"/>
      <c r="D104" s="10"/>
      <c r="E104" s="10"/>
      <c r="F104" s="9"/>
    </row>
    <row r="105">
      <c r="A105" s="10"/>
      <c r="B105" s="10"/>
      <c r="C105" s="10"/>
      <c r="D105" s="10"/>
      <c r="E105" s="10"/>
      <c r="F105" s="9"/>
    </row>
    <row r="106">
      <c r="A106" s="10"/>
      <c r="B106" s="10"/>
      <c r="C106" s="10"/>
      <c r="D106" s="10"/>
      <c r="E106" s="10"/>
      <c r="F106" s="9"/>
    </row>
    <row r="107">
      <c r="A107" s="10"/>
      <c r="B107" s="10"/>
      <c r="C107" s="10"/>
      <c r="D107" s="10"/>
      <c r="E107" s="10"/>
      <c r="F107" s="9"/>
    </row>
    <row r="108">
      <c r="A108" s="10"/>
      <c r="B108" s="10"/>
      <c r="C108" s="10"/>
      <c r="D108" s="10"/>
      <c r="E108" s="10"/>
      <c r="F108" s="9"/>
    </row>
    <row r="109">
      <c r="A109" s="10"/>
      <c r="B109" s="10"/>
      <c r="C109" s="10"/>
      <c r="D109" s="10"/>
      <c r="E109" s="10"/>
      <c r="F109" s="9"/>
    </row>
    <row r="110">
      <c r="A110" s="10"/>
      <c r="B110" s="10"/>
      <c r="C110" s="10"/>
      <c r="D110" s="10"/>
      <c r="E110" s="10"/>
      <c r="F110" s="9"/>
    </row>
    <row r="111">
      <c r="A111" s="10"/>
      <c r="B111" s="10"/>
      <c r="C111" s="10"/>
      <c r="D111" s="10"/>
      <c r="E111" s="10"/>
      <c r="F111" s="9"/>
    </row>
    <row r="112">
      <c r="A112" s="10"/>
      <c r="B112" s="10"/>
      <c r="C112" s="10"/>
      <c r="D112" s="10"/>
      <c r="E112" s="10"/>
      <c r="F112" s="9"/>
    </row>
    <row r="113">
      <c r="A113" s="10"/>
      <c r="B113" s="10"/>
      <c r="C113" s="10"/>
      <c r="D113" s="10"/>
      <c r="E113" s="10"/>
      <c r="F113" s="9"/>
    </row>
    <row r="114">
      <c r="A114" s="10"/>
      <c r="B114" s="10"/>
      <c r="C114" s="10"/>
      <c r="D114" s="10"/>
      <c r="E114" s="10"/>
      <c r="F114" s="9"/>
    </row>
    <row r="115">
      <c r="A115" s="10"/>
      <c r="B115" s="10"/>
      <c r="C115" s="10"/>
      <c r="D115" s="10"/>
      <c r="E115" s="10"/>
      <c r="F115" s="9"/>
    </row>
    <row r="116">
      <c r="A116" s="10"/>
      <c r="B116" s="10"/>
      <c r="C116" s="10"/>
      <c r="D116" s="10"/>
      <c r="E116" s="10"/>
      <c r="F116" s="9"/>
    </row>
    <row r="117">
      <c r="A117" s="10"/>
      <c r="B117" s="10"/>
      <c r="C117" s="10"/>
      <c r="D117" s="10"/>
      <c r="E117" s="10"/>
      <c r="F117" s="9"/>
    </row>
    <row r="118">
      <c r="A118" s="10"/>
      <c r="B118" s="10"/>
      <c r="C118" s="10"/>
      <c r="D118" s="10"/>
      <c r="E118" s="10"/>
      <c r="F118" s="9"/>
    </row>
    <row r="119">
      <c r="A119" s="10"/>
      <c r="B119" s="10"/>
      <c r="C119" s="10"/>
      <c r="D119" s="10"/>
      <c r="E119" s="10"/>
      <c r="F119" s="9"/>
    </row>
    <row r="120">
      <c r="A120" s="10"/>
      <c r="B120" s="10"/>
      <c r="C120" s="10"/>
      <c r="D120" s="10"/>
      <c r="E120" s="10"/>
      <c r="F120" s="9"/>
    </row>
    <row r="121">
      <c r="A121" s="10"/>
      <c r="B121" s="10"/>
      <c r="C121" s="10"/>
      <c r="D121" s="10"/>
      <c r="E121" s="10"/>
      <c r="F121" s="9"/>
    </row>
    <row r="122">
      <c r="A122" s="10"/>
      <c r="B122" s="10"/>
      <c r="C122" s="10"/>
      <c r="D122" s="10"/>
      <c r="E122" s="10"/>
      <c r="F122" s="9"/>
    </row>
    <row r="123">
      <c r="A123" s="10"/>
      <c r="B123" s="10"/>
      <c r="C123" s="10"/>
      <c r="D123" s="10"/>
      <c r="E123" s="10"/>
      <c r="F123" s="9"/>
    </row>
    <row r="124">
      <c r="A124" s="10"/>
      <c r="B124" s="10"/>
      <c r="C124" s="10"/>
      <c r="D124" s="10"/>
      <c r="E124" s="10"/>
      <c r="F124" s="9"/>
    </row>
    <row r="125">
      <c r="A125" s="10"/>
      <c r="B125" s="10"/>
      <c r="C125" s="10"/>
      <c r="D125" s="10"/>
      <c r="E125" s="10"/>
      <c r="F125" s="9"/>
    </row>
    <row r="126">
      <c r="A126" s="10"/>
      <c r="B126" s="10"/>
      <c r="C126" s="10"/>
      <c r="D126" s="10"/>
      <c r="E126" s="10"/>
      <c r="F126" s="9"/>
    </row>
    <row r="127">
      <c r="A127" s="10"/>
      <c r="B127" s="10"/>
      <c r="C127" s="10"/>
      <c r="D127" s="10"/>
      <c r="E127" s="10"/>
      <c r="F127" s="9"/>
    </row>
    <row r="128">
      <c r="A128" s="10"/>
      <c r="B128" s="10"/>
      <c r="C128" s="10"/>
      <c r="D128" s="10"/>
      <c r="E128" s="10"/>
      <c r="F128" s="9"/>
    </row>
    <row r="129">
      <c r="A129" s="10"/>
      <c r="B129" s="10"/>
      <c r="C129" s="10"/>
      <c r="D129" s="10"/>
      <c r="E129" s="10"/>
      <c r="F129" s="9"/>
    </row>
    <row r="130">
      <c r="A130" s="10"/>
      <c r="B130" s="10"/>
      <c r="C130" s="10"/>
      <c r="D130" s="10"/>
      <c r="E130" s="10"/>
      <c r="F130" s="9"/>
    </row>
    <row r="131">
      <c r="A131" s="10"/>
      <c r="B131" s="10"/>
      <c r="C131" s="10"/>
      <c r="D131" s="10"/>
      <c r="E131" s="10"/>
      <c r="F131" s="9"/>
    </row>
    <row r="132">
      <c r="A132" s="10"/>
      <c r="B132" s="10"/>
      <c r="C132" s="10"/>
      <c r="D132" s="10"/>
      <c r="E132" s="10"/>
      <c r="F132" s="9"/>
    </row>
    <row r="133">
      <c r="A133" s="10"/>
      <c r="B133" s="10"/>
      <c r="C133" s="10"/>
      <c r="D133" s="10"/>
      <c r="E133" s="10"/>
      <c r="F133" s="9"/>
    </row>
    <row r="134">
      <c r="A134" s="10"/>
      <c r="B134" s="10"/>
      <c r="C134" s="10"/>
      <c r="D134" s="10"/>
      <c r="E134" s="10"/>
      <c r="F134" s="9"/>
    </row>
    <row r="135">
      <c r="A135" s="10"/>
      <c r="B135" s="10"/>
      <c r="C135" s="10"/>
      <c r="D135" s="10"/>
      <c r="E135" s="10"/>
      <c r="F135" s="9"/>
    </row>
    <row r="136">
      <c r="A136" s="10"/>
      <c r="B136" s="10"/>
      <c r="C136" s="10"/>
      <c r="D136" s="10"/>
      <c r="E136" s="10"/>
      <c r="F136" s="9"/>
    </row>
    <row r="137">
      <c r="A137" s="10"/>
      <c r="B137" s="10"/>
      <c r="C137" s="10"/>
      <c r="D137" s="10"/>
      <c r="E137" s="10"/>
      <c r="F137" s="9"/>
    </row>
    <row r="138">
      <c r="A138" s="10"/>
      <c r="B138" s="10"/>
      <c r="C138" s="10"/>
      <c r="D138" s="10"/>
      <c r="E138" s="10"/>
      <c r="F138" s="9"/>
    </row>
    <row r="139">
      <c r="A139" s="10"/>
      <c r="B139" s="10"/>
      <c r="C139" s="10"/>
      <c r="D139" s="10"/>
      <c r="E139" s="10"/>
      <c r="F139" s="9"/>
    </row>
    <row r="140">
      <c r="A140" s="10"/>
      <c r="B140" s="10"/>
      <c r="C140" s="10"/>
      <c r="D140" s="10"/>
      <c r="E140" s="10"/>
      <c r="F140" s="9"/>
    </row>
    <row r="141">
      <c r="A141" s="10"/>
      <c r="B141" s="10"/>
      <c r="C141" s="10"/>
      <c r="D141" s="10"/>
      <c r="E141" s="10"/>
      <c r="F141" s="9"/>
    </row>
    <row r="142">
      <c r="A142" s="10"/>
      <c r="B142" s="10"/>
      <c r="C142" s="10"/>
      <c r="D142" s="10"/>
      <c r="E142" s="10"/>
      <c r="F142" s="9"/>
    </row>
    <row r="143">
      <c r="A143" s="10"/>
      <c r="B143" s="10"/>
      <c r="C143" s="10"/>
      <c r="D143" s="10"/>
      <c r="E143" s="10"/>
      <c r="F143" s="9"/>
    </row>
    <row r="144">
      <c r="A144" s="10"/>
      <c r="B144" s="10"/>
      <c r="C144" s="10"/>
      <c r="D144" s="10"/>
      <c r="E144" s="10"/>
      <c r="F144" s="9"/>
    </row>
    <row r="145">
      <c r="A145" s="10"/>
      <c r="B145" s="10"/>
      <c r="C145" s="10"/>
      <c r="D145" s="10"/>
      <c r="E145" s="10"/>
      <c r="F145" s="9"/>
    </row>
    <row r="146">
      <c r="A146" s="10"/>
      <c r="B146" s="10"/>
      <c r="C146" s="10"/>
      <c r="D146" s="10"/>
      <c r="E146" s="10"/>
      <c r="F146" s="9"/>
    </row>
    <row r="147">
      <c r="A147" s="10"/>
      <c r="B147" s="10"/>
      <c r="C147" s="10"/>
      <c r="D147" s="10"/>
      <c r="E147" s="10"/>
      <c r="F147" s="9"/>
    </row>
    <row r="148">
      <c r="A148" s="10"/>
      <c r="B148" s="10"/>
      <c r="C148" s="10"/>
      <c r="D148" s="10"/>
      <c r="E148" s="10"/>
      <c r="F148" s="9"/>
    </row>
    <row r="149">
      <c r="A149" s="10"/>
      <c r="B149" s="10"/>
      <c r="C149" s="10"/>
      <c r="D149" s="10"/>
      <c r="E149" s="10"/>
      <c r="F149" s="9"/>
    </row>
    <row r="150">
      <c r="A150" s="10"/>
      <c r="B150" s="10"/>
      <c r="C150" s="10"/>
      <c r="D150" s="10"/>
      <c r="E150" s="10"/>
      <c r="F150" s="9"/>
    </row>
    <row r="151">
      <c r="A151" s="10"/>
      <c r="B151" s="10"/>
      <c r="C151" s="10"/>
      <c r="D151" s="10"/>
      <c r="E151" s="10"/>
      <c r="F151" s="9"/>
    </row>
    <row r="152">
      <c r="A152" s="10"/>
      <c r="B152" s="10"/>
      <c r="C152" s="10"/>
      <c r="D152" s="10"/>
      <c r="E152" s="10"/>
      <c r="F152" s="9"/>
    </row>
    <row r="153">
      <c r="A153" s="10"/>
      <c r="B153" s="10"/>
      <c r="C153" s="10"/>
      <c r="D153" s="10"/>
      <c r="E153" s="10"/>
      <c r="F153" s="9"/>
    </row>
    <row r="154">
      <c r="A154" s="10"/>
      <c r="B154" s="10"/>
      <c r="C154" s="10"/>
      <c r="D154" s="10"/>
      <c r="E154" s="10"/>
      <c r="F154" s="9"/>
    </row>
    <row r="155">
      <c r="A155" s="10"/>
      <c r="B155" s="10"/>
      <c r="C155" s="10"/>
      <c r="D155" s="10"/>
      <c r="E155" s="10"/>
      <c r="F155" s="9"/>
    </row>
    <row r="156">
      <c r="A156" s="10"/>
      <c r="B156" s="10"/>
      <c r="C156" s="10"/>
      <c r="D156" s="10"/>
      <c r="E156" s="10"/>
      <c r="F156" s="9"/>
    </row>
    <row r="157">
      <c r="A157" s="10"/>
      <c r="B157" s="10"/>
      <c r="C157" s="10"/>
      <c r="D157" s="10"/>
      <c r="E157" s="10"/>
      <c r="F157" s="9"/>
    </row>
    <row r="158">
      <c r="A158" s="10"/>
      <c r="B158" s="10"/>
      <c r="C158" s="10"/>
      <c r="D158" s="10"/>
      <c r="E158" s="10"/>
      <c r="F158" s="9"/>
    </row>
    <row r="159">
      <c r="A159" s="10"/>
      <c r="B159" s="10"/>
      <c r="C159" s="10"/>
      <c r="D159" s="10"/>
      <c r="E159" s="10"/>
      <c r="F159" s="9"/>
    </row>
    <row r="160">
      <c r="A160" s="10"/>
      <c r="B160" s="10"/>
      <c r="C160" s="10"/>
      <c r="D160" s="10"/>
      <c r="E160" s="10"/>
      <c r="F160" s="9"/>
    </row>
    <row r="161">
      <c r="A161" s="10"/>
      <c r="B161" s="10"/>
      <c r="C161" s="10"/>
      <c r="D161" s="10"/>
      <c r="E161" s="10"/>
      <c r="F161" s="9"/>
    </row>
    <row r="162">
      <c r="A162" s="10"/>
      <c r="B162" s="10"/>
      <c r="C162" s="10"/>
      <c r="D162" s="10"/>
      <c r="E162" s="10"/>
      <c r="F162" s="9"/>
    </row>
    <row r="163">
      <c r="A163" s="10"/>
      <c r="B163" s="10"/>
      <c r="C163" s="10"/>
      <c r="D163" s="10"/>
      <c r="E163" s="10"/>
      <c r="F163" s="9"/>
    </row>
    <row r="164">
      <c r="A164" s="10"/>
      <c r="B164" s="10"/>
      <c r="C164" s="10"/>
      <c r="D164" s="10"/>
      <c r="E164" s="10"/>
      <c r="F164" s="9"/>
    </row>
    <row r="165">
      <c r="A165" s="10"/>
      <c r="B165" s="10"/>
      <c r="C165" s="10"/>
      <c r="D165" s="10"/>
      <c r="E165" s="10"/>
      <c r="F165" s="9"/>
    </row>
    <row r="166">
      <c r="A166" s="10"/>
      <c r="B166" s="10"/>
      <c r="C166" s="10"/>
      <c r="D166" s="10"/>
      <c r="E166" s="10"/>
      <c r="F166" s="9"/>
    </row>
    <row r="167">
      <c r="A167" s="10"/>
      <c r="B167" s="10"/>
      <c r="C167" s="10"/>
      <c r="D167" s="10"/>
      <c r="E167" s="10"/>
      <c r="F167" s="9"/>
    </row>
    <row r="168">
      <c r="A168" s="10"/>
      <c r="B168" s="10"/>
      <c r="C168" s="10"/>
      <c r="D168" s="10"/>
      <c r="E168" s="10"/>
      <c r="F168" s="9"/>
    </row>
    <row r="169">
      <c r="A169" s="10"/>
      <c r="B169" s="10"/>
      <c r="C169" s="10"/>
      <c r="D169" s="10"/>
      <c r="E169" s="10"/>
      <c r="F169" s="9"/>
    </row>
    <row r="170">
      <c r="A170" s="10"/>
      <c r="B170" s="10"/>
      <c r="C170" s="10"/>
      <c r="D170" s="10"/>
      <c r="E170" s="10"/>
      <c r="F170" s="9"/>
    </row>
    <row r="171">
      <c r="A171" s="10"/>
      <c r="B171" s="10"/>
      <c r="C171" s="10"/>
      <c r="D171" s="10"/>
      <c r="E171" s="10"/>
      <c r="F171" s="9"/>
    </row>
    <row r="172">
      <c r="A172" s="10"/>
      <c r="B172" s="10"/>
      <c r="C172" s="10"/>
      <c r="D172" s="10"/>
      <c r="E172" s="10"/>
      <c r="F172" s="9"/>
    </row>
    <row r="173">
      <c r="A173" s="10"/>
      <c r="B173" s="10"/>
      <c r="C173" s="10"/>
      <c r="D173" s="10"/>
      <c r="E173" s="10"/>
      <c r="F173" s="9"/>
    </row>
    <row r="174">
      <c r="A174" s="10"/>
      <c r="B174" s="10"/>
      <c r="C174" s="10"/>
      <c r="D174" s="10"/>
      <c r="E174" s="10"/>
      <c r="F174" s="9"/>
    </row>
    <row r="175">
      <c r="A175" s="10"/>
      <c r="B175" s="10"/>
      <c r="C175" s="10"/>
      <c r="D175" s="10"/>
      <c r="E175" s="10"/>
      <c r="F175" s="9"/>
    </row>
    <row r="176">
      <c r="A176" s="10"/>
      <c r="B176" s="10"/>
      <c r="C176" s="10"/>
      <c r="D176" s="10"/>
      <c r="E176" s="10"/>
      <c r="F176" s="9"/>
    </row>
    <row r="177">
      <c r="A177" s="10"/>
      <c r="B177" s="10"/>
      <c r="C177" s="10"/>
      <c r="D177" s="10"/>
      <c r="E177" s="10"/>
      <c r="F177" s="9"/>
    </row>
    <row r="178">
      <c r="A178" s="10"/>
      <c r="B178" s="10"/>
      <c r="C178" s="10"/>
      <c r="D178" s="10"/>
      <c r="E178" s="10"/>
      <c r="F178" s="9"/>
    </row>
    <row r="179">
      <c r="A179" s="10"/>
      <c r="B179" s="10"/>
      <c r="C179" s="10"/>
      <c r="D179" s="10"/>
      <c r="E179" s="10"/>
      <c r="F179" s="9"/>
    </row>
    <row r="180">
      <c r="A180" s="10"/>
      <c r="B180" s="10"/>
      <c r="C180" s="10"/>
      <c r="D180" s="10"/>
      <c r="E180" s="10"/>
      <c r="F180" s="9"/>
    </row>
    <row r="181">
      <c r="A181" s="10"/>
      <c r="B181" s="10"/>
      <c r="C181" s="10"/>
      <c r="D181" s="10"/>
      <c r="E181" s="10"/>
      <c r="F181" s="9"/>
    </row>
    <row r="182">
      <c r="A182" s="10"/>
      <c r="B182" s="10"/>
      <c r="C182" s="10"/>
      <c r="D182" s="10"/>
      <c r="E182" s="10"/>
      <c r="F182" s="9"/>
    </row>
    <row r="183">
      <c r="A183" s="10"/>
      <c r="B183" s="10"/>
      <c r="C183" s="10"/>
      <c r="D183" s="10"/>
      <c r="E183" s="10"/>
      <c r="F183" s="9"/>
    </row>
    <row r="184">
      <c r="A184" s="10"/>
      <c r="B184" s="10"/>
      <c r="C184" s="10"/>
      <c r="D184" s="10"/>
      <c r="E184" s="10"/>
      <c r="F184" s="9"/>
    </row>
    <row r="185">
      <c r="A185" s="10"/>
      <c r="B185" s="10"/>
      <c r="C185" s="10"/>
      <c r="D185" s="10"/>
      <c r="E185" s="10"/>
      <c r="F185" s="9"/>
    </row>
    <row r="186">
      <c r="A186" s="10"/>
      <c r="B186" s="10"/>
      <c r="C186" s="10"/>
      <c r="D186" s="10"/>
      <c r="E186" s="10"/>
      <c r="F186" s="9"/>
    </row>
    <row r="187">
      <c r="A187" s="10"/>
      <c r="B187" s="10"/>
      <c r="C187" s="10"/>
      <c r="D187" s="10"/>
      <c r="E187" s="10"/>
      <c r="F187" s="9"/>
    </row>
    <row r="188">
      <c r="A188" s="10"/>
      <c r="B188" s="10"/>
      <c r="C188" s="10"/>
      <c r="D188" s="10"/>
      <c r="E188" s="10"/>
      <c r="F188" s="9"/>
    </row>
    <row r="189">
      <c r="A189" s="10"/>
      <c r="B189" s="10"/>
      <c r="C189" s="10"/>
      <c r="D189" s="10"/>
      <c r="E189" s="10"/>
      <c r="F189" s="9"/>
    </row>
    <row r="190">
      <c r="A190" s="10"/>
      <c r="B190" s="10"/>
      <c r="C190" s="10"/>
      <c r="D190" s="10"/>
      <c r="E190" s="10"/>
      <c r="F190" s="9"/>
    </row>
    <row r="191">
      <c r="A191" s="10"/>
      <c r="B191" s="10"/>
      <c r="C191" s="10"/>
      <c r="D191" s="10"/>
      <c r="E191" s="10"/>
      <c r="F191" s="9"/>
    </row>
    <row r="192">
      <c r="A192" s="10"/>
      <c r="B192" s="10"/>
      <c r="C192" s="10"/>
      <c r="D192" s="10"/>
      <c r="E192" s="10"/>
      <c r="F192" s="9"/>
    </row>
    <row r="193">
      <c r="A193" s="10"/>
      <c r="B193" s="10"/>
      <c r="C193" s="10"/>
      <c r="D193" s="10"/>
      <c r="E193" s="10"/>
      <c r="F193" s="9"/>
    </row>
    <row r="194">
      <c r="A194" s="10"/>
      <c r="B194" s="10"/>
      <c r="C194" s="10"/>
      <c r="D194" s="10"/>
      <c r="E194" s="10"/>
      <c r="F194" s="9"/>
    </row>
    <row r="195">
      <c r="A195" s="10"/>
      <c r="B195" s="10"/>
      <c r="C195" s="10"/>
      <c r="D195" s="10"/>
      <c r="E195" s="10"/>
      <c r="F195" s="9"/>
    </row>
    <row r="196">
      <c r="A196" s="10"/>
      <c r="B196" s="10"/>
      <c r="C196" s="10"/>
      <c r="D196" s="10"/>
      <c r="E196" s="10"/>
      <c r="F196" s="9"/>
    </row>
    <row r="197">
      <c r="A197" s="10"/>
      <c r="B197" s="10"/>
      <c r="C197" s="10"/>
      <c r="D197" s="10"/>
      <c r="E197" s="10"/>
      <c r="F197" s="9"/>
    </row>
    <row r="198">
      <c r="A198" s="10"/>
      <c r="B198" s="10"/>
      <c r="C198" s="10"/>
      <c r="D198" s="10"/>
      <c r="E198" s="10"/>
      <c r="F198" s="9"/>
    </row>
    <row r="199">
      <c r="A199" s="10"/>
      <c r="B199" s="10"/>
      <c r="C199" s="10"/>
      <c r="D199" s="10"/>
      <c r="E199" s="10"/>
      <c r="F199" s="9"/>
    </row>
    <row r="200">
      <c r="A200" s="10"/>
      <c r="B200" s="10"/>
      <c r="C200" s="10"/>
      <c r="D200" s="10"/>
      <c r="E200" s="10"/>
      <c r="F200" s="9"/>
    </row>
    <row r="201">
      <c r="A201" s="10"/>
      <c r="B201" s="10"/>
      <c r="C201" s="10"/>
      <c r="D201" s="10"/>
      <c r="E201" s="10"/>
      <c r="F201" s="9"/>
    </row>
    <row r="202">
      <c r="A202" s="10"/>
      <c r="B202" s="10"/>
      <c r="C202" s="10"/>
      <c r="D202" s="10"/>
      <c r="E202" s="10"/>
      <c r="F202" s="9"/>
    </row>
    <row r="203">
      <c r="A203" s="10"/>
      <c r="B203" s="10"/>
      <c r="C203" s="10"/>
      <c r="D203" s="10"/>
      <c r="E203" s="10"/>
      <c r="F203" s="9"/>
    </row>
    <row r="204">
      <c r="A204" s="10"/>
      <c r="B204" s="10"/>
      <c r="C204" s="10"/>
      <c r="D204" s="10"/>
      <c r="E204" s="10"/>
      <c r="F204" s="9"/>
    </row>
    <row r="205">
      <c r="A205" s="10"/>
      <c r="B205" s="10"/>
      <c r="C205" s="10"/>
      <c r="D205" s="10"/>
      <c r="E205" s="10"/>
      <c r="F205" s="9"/>
    </row>
    <row r="206">
      <c r="A206" s="10"/>
      <c r="B206" s="10"/>
      <c r="C206" s="10"/>
      <c r="D206" s="10"/>
      <c r="E206" s="10"/>
      <c r="F206" s="9"/>
    </row>
    <row r="207">
      <c r="A207" s="10"/>
      <c r="B207" s="10"/>
      <c r="C207" s="10"/>
      <c r="D207" s="10"/>
      <c r="E207" s="10"/>
      <c r="F207" s="9"/>
    </row>
    <row r="208">
      <c r="A208" s="10"/>
      <c r="B208" s="10"/>
      <c r="C208" s="10"/>
      <c r="D208" s="10"/>
      <c r="E208" s="10"/>
      <c r="F208" s="9"/>
    </row>
    <row r="209">
      <c r="A209" s="10"/>
      <c r="B209" s="10"/>
      <c r="C209" s="10"/>
      <c r="D209" s="10"/>
      <c r="E209" s="10"/>
      <c r="F209" s="9"/>
    </row>
    <row r="210">
      <c r="A210" s="10"/>
      <c r="B210" s="10"/>
      <c r="C210" s="10"/>
      <c r="D210" s="10"/>
      <c r="E210" s="10"/>
      <c r="F210" s="9"/>
    </row>
    <row r="211">
      <c r="A211" s="10"/>
      <c r="B211" s="10"/>
      <c r="C211" s="10"/>
      <c r="D211" s="10"/>
      <c r="E211" s="10"/>
      <c r="F211" s="9"/>
    </row>
    <row r="212">
      <c r="A212" s="10"/>
      <c r="B212" s="10"/>
      <c r="C212" s="10"/>
      <c r="D212" s="10"/>
      <c r="E212" s="10"/>
      <c r="F212" s="9"/>
    </row>
    <row r="213">
      <c r="A213" s="10"/>
      <c r="B213" s="10"/>
      <c r="C213" s="10"/>
      <c r="D213" s="10"/>
      <c r="E213" s="10"/>
      <c r="F213" s="9"/>
    </row>
    <row r="214">
      <c r="A214" s="10"/>
      <c r="B214" s="10"/>
      <c r="C214" s="10"/>
      <c r="D214" s="10"/>
      <c r="E214" s="10"/>
      <c r="F214" s="9"/>
    </row>
    <row r="215">
      <c r="A215" s="10"/>
      <c r="B215" s="10"/>
      <c r="C215" s="10"/>
      <c r="D215" s="10"/>
      <c r="E215" s="10"/>
      <c r="F215" s="9"/>
    </row>
    <row r="216">
      <c r="A216" s="10"/>
      <c r="B216" s="10"/>
      <c r="C216" s="10"/>
      <c r="D216" s="10"/>
      <c r="E216" s="10"/>
      <c r="F216" s="9"/>
    </row>
    <row r="217">
      <c r="A217" s="10"/>
      <c r="B217" s="10"/>
      <c r="C217" s="10"/>
      <c r="D217" s="10"/>
      <c r="E217" s="10"/>
      <c r="F217" s="9"/>
    </row>
    <row r="218">
      <c r="A218" s="10"/>
      <c r="B218" s="10"/>
      <c r="C218" s="10"/>
      <c r="D218" s="10"/>
      <c r="E218" s="10"/>
      <c r="F218" s="9"/>
    </row>
    <row r="219">
      <c r="A219" s="10"/>
      <c r="B219" s="10"/>
      <c r="C219" s="10"/>
      <c r="D219" s="10"/>
      <c r="E219" s="10"/>
      <c r="F219" s="9"/>
    </row>
    <row r="220">
      <c r="A220" s="10"/>
      <c r="B220" s="10"/>
      <c r="C220" s="10"/>
      <c r="D220" s="10"/>
      <c r="E220" s="10"/>
      <c r="F220" s="9"/>
    </row>
    <row r="221">
      <c r="A221" s="10"/>
      <c r="B221" s="10"/>
      <c r="C221" s="10"/>
      <c r="D221" s="10"/>
      <c r="E221" s="10"/>
      <c r="F221" s="9"/>
    </row>
    <row r="222">
      <c r="A222" s="10"/>
      <c r="B222" s="10"/>
      <c r="C222" s="10"/>
      <c r="D222" s="10"/>
      <c r="E222" s="10"/>
      <c r="F222" s="9"/>
    </row>
    <row r="223">
      <c r="A223" s="10"/>
      <c r="B223" s="10"/>
      <c r="C223" s="10"/>
      <c r="D223" s="10"/>
      <c r="E223" s="10"/>
      <c r="F223" s="9"/>
    </row>
    <row r="224">
      <c r="A224" s="10"/>
      <c r="B224" s="10"/>
      <c r="C224" s="10"/>
      <c r="D224" s="10"/>
      <c r="E224" s="10"/>
      <c r="F224" s="9"/>
    </row>
    <row r="225">
      <c r="A225" s="10"/>
      <c r="B225" s="10"/>
      <c r="C225" s="10"/>
      <c r="D225" s="10"/>
      <c r="E225" s="10"/>
      <c r="F225" s="9"/>
    </row>
    <row r="226">
      <c r="A226" s="10"/>
      <c r="B226" s="10"/>
      <c r="C226" s="10"/>
      <c r="D226" s="10"/>
      <c r="E226" s="10"/>
      <c r="F226" s="9"/>
    </row>
    <row r="227">
      <c r="A227" s="10"/>
      <c r="B227" s="10"/>
      <c r="C227" s="10"/>
      <c r="D227" s="10"/>
      <c r="E227" s="10"/>
      <c r="F227" s="9"/>
    </row>
    <row r="228">
      <c r="A228" s="10"/>
      <c r="B228" s="10"/>
      <c r="C228" s="10"/>
      <c r="D228" s="10"/>
      <c r="E228" s="10"/>
      <c r="F228" s="9"/>
    </row>
    <row r="229">
      <c r="A229" s="10"/>
      <c r="B229" s="10"/>
      <c r="C229" s="10"/>
      <c r="D229" s="10"/>
      <c r="E229" s="10"/>
      <c r="F229" s="9"/>
    </row>
    <row r="230">
      <c r="A230" s="10"/>
      <c r="B230" s="10"/>
      <c r="C230" s="10"/>
      <c r="D230" s="10"/>
      <c r="E230" s="10"/>
      <c r="F230" s="9"/>
    </row>
    <row r="231">
      <c r="A231" s="10"/>
      <c r="B231" s="10"/>
      <c r="C231" s="10"/>
      <c r="D231" s="10"/>
      <c r="E231" s="10"/>
      <c r="F231" s="9"/>
    </row>
    <row r="232">
      <c r="A232" s="10"/>
      <c r="B232" s="10"/>
      <c r="C232" s="10"/>
      <c r="D232" s="10"/>
      <c r="E232" s="10"/>
      <c r="F232" s="9"/>
    </row>
    <row r="233">
      <c r="A233" s="10"/>
      <c r="B233" s="10"/>
      <c r="C233" s="10"/>
      <c r="D233" s="10"/>
      <c r="E233" s="10"/>
      <c r="F233" s="9"/>
    </row>
    <row r="234">
      <c r="A234" s="10"/>
      <c r="B234" s="10"/>
      <c r="C234" s="10"/>
      <c r="D234" s="10"/>
      <c r="E234" s="10"/>
      <c r="F234" s="9"/>
    </row>
    <row r="235">
      <c r="A235" s="10"/>
      <c r="B235" s="10"/>
      <c r="C235" s="10"/>
      <c r="D235" s="10"/>
      <c r="E235" s="10"/>
      <c r="F235" s="9"/>
    </row>
    <row r="236">
      <c r="A236" s="10"/>
      <c r="B236" s="10"/>
      <c r="C236" s="10"/>
      <c r="D236" s="10"/>
      <c r="E236" s="10"/>
      <c r="F236" s="9"/>
    </row>
    <row r="237">
      <c r="A237" s="10"/>
      <c r="B237" s="10"/>
      <c r="C237" s="10"/>
      <c r="D237" s="10"/>
      <c r="E237" s="10"/>
      <c r="F237" s="9"/>
    </row>
    <row r="238">
      <c r="A238" s="10"/>
      <c r="B238" s="10"/>
      <c r="C238" s="10"/>
      <c r="D238" s="10"/>
      <c r="E238" s="10"/>
      <c r="F238" s="9"/>
    </row>
    <row r="239">
      <c r="A239" s="10"/>
      <c r="B239" s="10"/>
      <c r="C239" s="10"/>
      <c r="D239" s="10"/>
      <c r="E239" s="10"/>
      <c r="F239" s="9"/>
    </row>
    <row r="240">
      <c r="A240" s="10"/>
      <c r="B240" s="10"/>
      <c r="C240" s="10"/>
      <c r="D240" s="10"/>
      <c r="E240" s="10"/>
      <c r="F240" s="9"/>
    </row>
    <row r="241">
      <c r="A241" s="10"/>
      <c r="B241" s="10"/>
      <c r="C241" s="10"/>
      <c r="D241" s="10"/>
      <c r="E241" s="10"/>
      <c r="F241" s="9"/>
    </row>
    <row r="242">
      <c r="A242" s="10"/>
      <c r="B242" s="10"/>
      <c r="C242" s="10"/>
      <c r="D242" s="10"/>
      <c r="E242" s="10"/>
      <c r="F242" s="9"/>
    </row>
    <row r="243">
      <c r="A243" s="10"/>
      <c r="B243" s="10"/>
      <c r="C243" s="10"/>
      <c r="D243" s="10"/>
      <c r="E243" s="10"/>
      <c r="F243" s="9"/>
    </row>
    <row r="244">
      <c r="A244" s="10"/>
      <c r="B244" s="10"/>
      <c r="C244" s="10"/>
      <c r="D244" s="10"/>
      <c r="E244" s="10"/>
      <c r="F244" s="9"/>
    </row>
    <row r="245">
      <c r="A245" s="10"/>
      <c r="B245" s="10"/>
      <c r="C245" s="10"/>
      <c r="D245" s="10"/>
      <c r="E245" s="10"/>
      <c r="F245" s="9"/>
    </row>
    <row r="246">
      <c r="A246" s="10"/>
      <c r="B246" s="10"/>
      <c r="C246" s="10"/>
      <c r="D246" s="10"/>
      <c r="E246" s="10"/>
      <c r="F246" s="9"/>
    </row>
    <row r="247">
      <c r="A247" s="10"/>
      <c r="B247" s="10"/>
      <c r="C247" s="10"/>
      <c r="D247" s="10"/>
      <c r="E247" s="10"/>
      <c r="F247" s="9"/>
    </row>
    <row r="248">
      <c r="A248" s="10"/>
      <c r="B248" s="10"/>
      <c r="C248" s="10"/>
      <c r="D248" s="10"/>
      <c r="E248" s="10"/>
      <c r="F248" s="9"/>
    </row>
    <row r="249">
      <c r="A249" s="10"/>
      <c r="B249" s="10"/>
      <c r="C249" s="10"/>
      <c r="D249" s="10"/>
      <c r="E249" s="10"/>
      <c r="F249" s="9"/>
    </row>
    <row r="250">
      <c r="A250" s="10"/>
      <c r="B250" s="10"/>
      <c r="C250" s="10"/>
      <c r="D250" s="10"/>
      <c r="E250" s="10"/>
      <c r="F250" s="9"/>
    </row>
    <row r="251">
      <c r="A251" s="10"/>
      <c r="B251" s="10"/>
      <c r="C251" s="10"/>
      <c r="D251" s="10"/>
      <c r="E251" s="10"/>
      <c r="F251" s="9"/>
    </row>
    <row r="252">
      <c r="A252" s="10"/>
      <c r="B252" s="10"/>
      <c r="C252" s="10"/>
      <c r="D252" s="10"/>
      <c r="E252" s="10"/>
      <c r="F252" s="9"/>
    </row>
    <row r="253">
      <c r="A253" s="10"/>
      <c r="B253" s="10"/>
      <c r="C253" s="10"/>
      <c r="D253" s="10"/>
      <c r="E253" s="10"/>
      <c r="F253" s="9"/>
    </row>
    <row r="254">
      <c r="A254" s="10"/>
      <c r="B254" s="10"/>
      <c r="C254" s="10"/>
      <c r="D254" s="10"/>
      <c r="E254" s="10"/>
      <c r="F254" s="9"/>
    </row>
    <row r="255">
      <c r="A255" s="10"/>
      <c r="B255" s="10"/>
      <c r="C255" s="10"/>
      <c r="D255" s="10"/>
      <c r="E255" s="10"/>
      <c r="F255" s="9"/>
    </row>
    <row r="256">
      <c r="A256" s="10"/>
      <c r="B256" s="10"/>
      <c r="C256" s="10"/>
      <c r="D256" s="10"/>
      <c r="E256" s="10"/>
      <c r="F256" s="9"/>
    </row>
    <row r="257">
      <c r="A257" s="10"/>
      <c r="B257" s="10"/>
      <c r="C257" s="10"/>
      <c r="D257" s="10"/>
      <c r="E257" s="10"/>
      <c r="F257" s="9"/>
    </row>
    <row r="258">
      <c r="A258" s="10"/>
      <c r="B258" s="10"/>
      <c r="C258" s="10"/>
      <c r="D258" s="10"/>
      <c r="E258" s="10"/>
      <c r="F258" s="9"/>
    </row>
    <row r="259">
      <c r="A259" s="10"/>
      <c r="B259" s="10"/>
      <c r="C259" s="10"/>
      <c r="D259" s="10"/>
      <c r="E259" s="10"/>
      <c r="F259" s="9"/>
    </row>
    <row r="260">
      <c r="A260" s="10"/>
      <c r="B260" s="10"/>
      <c r="C260" s="10"/>
      <c r="D260" s="10"/>
      <c r="E260" s="10"/>
      <c r="F260" s="9"/>
    </row>
    <row r="261">
      <c r="A261" s="10"/>
      <c r="B261" s="10"/>
      <c r="C261" s="10"/>
      <c r="D261" s="10"/>
      <c r="E261" s="10"/>
      <c r="F261" s="9"/>
    </row>
    <row r="262">
      <c r="A262" s="10"/>
      <c r="B262" s="10"/>
      <c r="C262" s="10"/>
      <c r="D262" s="10"/>
      <c r="E262" s="10"/>
      <c r="F262" s="9"/>
    </row>
    <row r="263">
      <c r="A263" s="10"/>
      <c r="B263" s="10"/>
      <c r="C263" s="10"/>
      <c r="D263" s="10"/>
      <c r="E263" s="10"/>
      <c r="F263" s="9"/>
    </row>
    <row r="264">
      <c r="A264" s="10"/>
      <c r="B264" s="10"/>
      <c r="C264" s="10"/>
      <c r="D264" s="10"/>
      <c r="E264" s="10"/>
      <c r="F264" s="9"/>
    </row>
    <row r="265">
      <c r="A265" s="10"/>
      <c r="B265" s="10"/>
      <c r="C265" s="10"/>
      <c r="D265" s="10"/>
      <c r="E265" s="10"/>
      <c r="F265" s="9"/>
    </row>
    <row r="266">
      <c r="A266" s="10"/>
      <c r="B266" s="10"/>
      <c r="C266" s="10"/>
      <c r="D266" s="10"/>
      <c r="E266" s="10"/>
      <c r="F266" s="9"/>
    </row>
    <row r="267">
      <c r="A267" s="10"/>
      <c r="B267" s="10"/>
      <c r="C267" s="10"/>
      <c r="D267" s="10"/>
      <c r="E267" s="10"/>
      <c r="F267" s="9"/>
    </row>
    <row r="268">
      <c r="A268" s="10"/>
      <c r="B268" s="10"/>
      <c r="C268" s="10"/>
      <c r="D268" s="10"/>
      <c r="E268" s="10"/>
      <c r="F268" s="9"/>
    </row>
    <row r="269">
      <c r="A269" s="10"/>
      <c r="B269" s="10"/>
      <c r="C269" s="10"/>
      <c r="D269" s="10"/>
      <c r="E269" s="10"/>
      <c r="F269" s="9"/>
    </row>
    <row r="270">
      <c r="A270" s="10"/>
      <c r="B270" s="10"/>
      <c r="C270" s="10"/>
      <c r="D270" s="10"/>
      <c r="E270" s="10"/>
      <c r="F270" s="9"/>
    </row>
    <row r="271">
      <c r="A271" s="10"/>
      <c r="B271" s="10"/>
      <c r="C271" s="10"/>
      <c r="D271" s="10"/>
      <c r="E271" s="10"/>
      <c r="F271" s="9"/>
    </row>
    <row r="272">
      <c r="A272" s="10"/>
      <c r="B272" s="10"/>
      <c r="C272" s="10"/>
      <c r="D272" s="10"/>
      <c r="E272" s="10"/>
      <c r="F272" s="9"/>
    </row>
    <row r="273">
      <c r="A273" s="10"/>
      <c r="B273" s="10"/>
      <c r="C273" s="10"/>
      <c r="D273" s="10"/>
      <c r="E273" s="10"/>
      <c r="F273" s="9"/>
    </row>
    <row r="274">
      <c r="A274" s="10"/>
      <c r="B274" s="10"/>
      <c r="C274" s="10"/>
      <c r="D274" s="10"/>
      <c r="E274" s="10"/>
      <c r="F274" s="9"/>
    </row>
    <row r="275">
      <c r="A275" s="10"/>
      <c r="B275" s="10"/>
      <c r="C275" s="10"/>
      <c r="D275" s="10"/>
      <c r="E275" s="10"/>
      <c r="F275" s="9"/>
    </row>
    <row r="276">
      <c r="A276" s="10"/>
      <c r="B276" s="10"/>
      <c r="C276" s="10"/>
      <c r="D276" s="10"/>
      <c r="E276" s="10"/>
      <c r="F276" s="9"/>
    </row>
    <row r="277">
      <c r="A277" s="10"/>
      <c r="B277" s="10"/>
      <c r="C277" s="10"/>
      <c r="D277" s="10"/>
      <c r="E277" s="10"/>
      <c r="F277" s="9"/>
    </row>
    <row r="278">
      <c r="A278" s="10"/>
      <c r="B278" s="10"/>
      <c r="C278" s="10"/>
      <c r="D278" s="10"/>
      <c r="E278" s="10"/>
      <c r="F278" s="9"/>
    </row>
    <row r="279">
      <c r="A279" s="10"/>
      <c r="B279" s="10"/>
      <c r="C279" s="10"/>
      <c r="D279" s="10"/>
      <c r="E279" s="10"/>
      <c r="F279" s="9"/>
    </row>
    <row r="280">
      <c r="A280" s="10"/>
      <c r="B280" s="10"/>
      <c r="C280" s="10"/>
      <c r="D280" s="10"/>
      <c r="E280" s="10"/>
      <c r="F280" s="9"/>
    </row>
    <row r="281">
      <c r="A281" s="10"/>
      <c r="B281" s="10"/>
      <c r="C281" s="10"/>
      <c r="D281" s="10"/>
      <c r="E281" s="10"/>
      <c r="F281" s="9"/>
    </row>
    <row r="282">
      <c r="A282" s="10"/>
      <c r="B282" s="10"/>
      <c r="C282" s="10"/>
      <c r="D282" s="10"/>
      <c r="E282" s="10"/>
      <c r="F282" s="9"/>
    </row>
    <row r="283">
      <c r="A283" s="10"/>
      <c r="B283" s="10"/>
      <c r="C283" s="10"/>
      <c r="D283" s="10"/>
      <c r="E283" s="10"/>
      <c r="F283" s="9"/>
    </row>
    <row r="284">
      <c r="A284" s="10"/>
      <c r="B284" s="10"/>
      <c r="C284" s="10"/>
      <c r="D284" s="10"/>
      <c r="E284" s="10"/>
      <c r="F284" s="9"/>
    </row>
    <row r="285">
      <c r="A285" s="10"/>
      <c r="B285" s="10"/>
      <c r="C285" s="10"/>
      <c r="D285" s="10"/>
      <c r="E285" s="10"/>
      <c r="F285" s="9"/>
    </row>
    <row r="286">
      <c r="A286" s="10"/>
      <c r="B286" s="10"/>
      <c r="C286" s="10"/>
      <c r="D286" s="10"/>
      <c r="E286" s="10"/>
      <c r="F286" s="9"/>
    </row>
    <row r="287">
      <c r="A287" s="10"/>
      <c r="B287" s="10"/>
      <c r="C287" s="10"/>
      <c r="D287" s="10"/>
      <c r="E287" s="10"/>
      <c r="F287" s="9"/>
    </row>
    <row r="288">
      <c r="A288" s="10"/>
      <c r="B288" s="10"/>
      <c r="C288" s="10"/>
      <c r="D288" s="10"/>
      <c r="E288" s="10"/>
      <c r="F288" s="9"/>
    </row>
    <row r="289">
      <c r="A289" s="10"/>
      <c r="B289" s="10"/>
      <c r="C289" s="10"/>
      <c r="D289" s="10"/>
      <c r="E289" s="10"/>
      <c r="F289" s="9"/>
    </row>
    <row r="290">
      <c r="A290" s="10"/>
      <c r="B290" s="10"/>
      <c r="C290" s="10"/>
      <c r="D290" s="10"/>
      <c r="E290" s="10"/>
      <c r="F290" s="9"/>
    </row>
    <row r="291">
      <c r="A291" s="10"/>
      <c r="B291" s="10"/>
      <c r="C291" s="10"/>
      <c r="D291" s="10"/>
      <c r="E291" s="10"/>
      <c r="F291" s="9"/>
    </row>
    <row r="292">
      <c r="A292" s="10"/>
      <c r="B292" s="10"/>
      <c r="C292" s="10"/>
      <c r="D292" s="10"/>
      <c r="E292" s="10"/>
      <c r="F292" s="9"/>
    </row>
    <row r="293">
      <c r="A293" s="10"/>
      <c r="B293" s="10"/>
      <c r="C293" s="10"/>
      <c r="D293" s="10"/>
      <c r="E293" s="10"/>
      <c r="F293" s="9"/>
    </row>
    <row r="294">
      <c r="A294" s="10"/>
      <c r="B294" s="10"/>
      <c r="C294" s="10"/>
      <c r="D294" s="10"/>
      <c r="E294" s="10"/>
      <c r="F294" s="9"/>
    </row>
    <row r="295">
      <c r="A295" s="10"/>
      <c r="B295" s="10"/>
      <c r="C295" s="10"/>
      <c r="D295" s="10"/>
      <c r="E295" s="10"/>
      <c r="F295" s="9"/>
    </row>
    <row r="296">
      <c r="A296" s="10"/>
      <c r="B296" s="10"/>
      <c r="C296" s="10"/>
      <c r="D296" s="10"/>
      <c r="E296" s="10"/>
      <c r="F296" s="9"/>
    </row>
    <row r="297">
      <c r="A297" s="10"/>
      <c r="B297" s="10"/>
      <c r="C297" s="10"/>
      <c r="D297" s="10"/>
      <c r="E297" s="10"/>
      <c r="F297" s="9"/>
    </row>
    <row r="298">
      <c r="A298" s="10"/>
      <c r="B298" s="10"/>
      <c r="C298" s="10"/>
      <c r="D298" s="10"/>
      <c r="E298" s="10"/>
      <c r="F298" s="9"/>
    </row>
    <row r="299">
      <c r="A299" s="10"/>
      <c r="B299" s="10"/>
      <c r="C299" s="10"/>
      <c r="D299" s="10"/>
      <c r="E299" s="10"/>
      <c r="F299" s="9"/>
    </row>
    <row r="300">
      <c r="A300" s="10"/>
      <c r="B300" s="10"/>
      <c r="C300" s="10"/>
      <c r="D300" s="10"/>
      <c r="E300" s="10"/>
      <c r="F300" s="9"/>
    </row>
    <row r="301">
      <c r="A301" s="10"/>
      <c r="B301" s="10"/>
      <c r="C301" s="10"/>
      <c r="D301" s="10"/>
      <c r="E301" s="10"/>
      <c r="F301" s="9"/>
    </row>
    <row r="302">
      <c r="A302" s="10"/>
      <c r="B302" s="10"/>
      <c r="C302" s="10"/>
      <c r="D302" s="10"/>
      <c r="E302" s="10"/>
      <c r="F302" s="9"/>
    </row>
    <row r="303">
      <c r="A303" s="10"/>
      <c r="B303" s="10"/>
      <c r="C303" s="10"/>
      <c r="D303" s="10"/>
      <c r="E303" s="10"/>
      <c r="F303" s="9"/>
    </row>
    <row r="304">
      <c r="A304" s="10"/>
      <c r="B304" s="10"/>
      <c r="C304" s="10"/>
      <c r="D304" s="10"/>
      <c r="E304" s="10"/>
      <c r="F304" s="9"/>
    </row>
    <row r="305">
      <c r="A305" s="10"/>
      <c r="B305" s="10"/>
      <c r="C305" s="10"/>
      <c r="D305" s="10"/>
      <c r="E305" s="10"/>
      <c r="F305" s="9"/>
    </row>
    <row r="306">
      <c r="A306" s="10"/>
      <c r="B306" s="10"/>
      <c r="C306" s="10"/>
      <c r="D306" s="10"/>
      <c r="E306" s="10"/>
      <c r="F306" s="9"/>
    </row>
    <row r="307">
      <c r="A307" s="10"/>
      <c r="B307" s="10"/>
      <c r="C307" s="10"/>
      <c r="D307" s="10"/>
      <c r="E307" s="10"/>
      <c r="F307" s="9"/>
    </row>
    <row r="308">
      <c r="A308" s="10"/>
      <c r="B308" s="10"/>
      <c r="C308" s="10"/>
      <c r="D308" s="10"/>
      <c r="E308" s="10"/>
      <c r="F308" s="9"/>
    </row>
    <row r="309">
      <c r="A309" s="10"/>
      <c r="B309" s="10"/>
      <c r="C309" s="10"/>
      <c r="D309" s="10"/>
      <c r="E309" s="10"/>
      <c r="F309" s="9"/>
    </row>
    <row r="310">
      <c r="A310" s="10"/>
      <c r="B310" s="10"/>
      <c r="C310" s="10"/>
      <c r="D310" s="10"/>
      <c r="E310" s="10"/>
      <c r="F310" s="9"/>
    </row>
    <row r="311">
      <c r="A311" s="10"/>
      <c r="B311" s="10"/>
      <c r="C311" s="10"/>
      <c r="D311" s="10"/>
      <c r="E311" s="10"/>
      <c r="F311" s="9"/>
    </row>
    <row r="312">
      <c r="A312" s="10"/>
      <c r="B312" s="10"/>
      <c r="C312" s="10"/>
      <c r="D312" s="10"/>
      <c r="E312" s="10"/>
      <c r="F312" s="9"/>
    </row>
    <row r="313">
      <c r="A313" s="10"/>
      <c r="B313" s="10"/>
      <c r="C313" s="10"/>
      <c r="D313" s="10"/>
      <c r="E313" s="10"/>
      <c r="F313" s="9"/>
    </row>
    <row r="314">
      <c r="A314" s="10"/>
      <c r="B314" s="10"/>
      <c r="C314" s="10"/>
      <c r="D314" s="10"/>
      <c r="E314" s="10"/>
      <c r="F314" s="9"/>
    </row>
    <row r="315">
      <c r="A315" s="10"/>
      <c r="B315" s="10"/>
      <c r="C315" s="10"/>
      <c r="D315" s="10"/>
      <c r="E315" s="10"/>
      <c r="F315" s="9"/>
    </row>
    <row r="316">
      <c r="A316" s="10"/>
      <c r="B316" s="10"/>
      <c r="C316" s="10"/>
      <c r="D316" s="10"/>
      <c r="E316" s="10"/>
      <c r="F316" s="9"/>
    </row>
    <row r="317">
      <c r="A317" s="10"/>
      <c r="B317" s="10"/>
      <c r="C317" s="10"/>
      <c r="D317" s="10"/>
      <c r="E317" s="10"/>
      <c r="F317" s="9"/>
    </row>
    <row r="318">
      <c r="A318" s="10"/>
      <c r="B318" s="10"/>
      <c r="C318" s="10"/>
      <c r="D318" s="10"/>
      <c r="E318" s="10"/>
      <c r="F318" s="9"/>
    </row>
    <row r="319">
      <c r="A319" s="10"/>
      <c r="B319" s="10"/>
      <c r="C319" s="10"/>
      <c r="D319" s="10"/>
      <c r="E319" s="10"/>
      <c r="F319" s="9"/>
    </row>
    <row r="320">
      <c r="A320" s="10"/>
      <c r="B320" s="10"/>
      <c r="C320" s="10"/>
      <c r="D320" s="10"/>
      <c r="E320" s="10"/>
      <c r="F320" s="9"/>
    </row>
    <row r="321">
      <c r="A321" s="10"/>
      <c r="B321" s="10"/>
      <c r="C321" s="10"/>
      <c r="D321" s="10"/>
      <c r="E321" s="10"/>
      <c r="F321" s="9"/>
    </row>
    <row r="322">
      <c r="A322" s="10"/>
      <c r="B322" s="10"/>
      <c r="C322" s="10"/>
      <c r="D322" s="10"/>
      <c r="E322" s="10"/>
      <c r="F322" s="9"/>
    </row>
    <row r="323">
      <c r="A323" s="10"/>
      <c r="B323" s="10"/>
      <c r="C323" s="10"/>
      <c r="D323" s="10"/>
      <c r="E323" s="10"/>
      <c r="F323" s="9"/>
    </row>
    <row r="324">
      <c r="A324" s="10"/>
      <c r="B324" s="10"/>
      <c r="C324" s="10"/>
      <c r="D324" s="10"/>
      <c r="E324" s="10"/>
      <c r="F324" s="9"/>
    </row>
    <row r="325">
      <c r="A325" s="10"/>
      <c r="B325" s="10"/>
      <c r="C325" s="10"/>
      <c r="D325" s="10"/>
      <c r="E325" s="10"/>
      <c r="F325" s="9"/>
    </row>
    <row r="326">
      <c r="A326" s="10"/>
      <c r="B326" s="10"/>
      <c r="C326" s="10"/>
      <c r="D326" s="10"/>
      <c r="E326" s="10"/>
      <c r="F326" s="9"/>
    </row>
    <row r="327">
      <c r="A327" s="10"/>
      <c r="B327" s="10"/>
      <c r="C327" s="10"/>
      <c r="D327" s="10"/>
      <c r="E327" s="10"/>
      <c r="F327" s="9"/>
    </row>
    <row r="328">
      <c r="A328" s="10"/>
      <c r="B328" s="10"/>
      <c r="C328" s="10"/>
      <c r="D328" s="10"/>
      <c r="E328" s="10"/>
      <c r="F328" s="9"/>
    </row>
    <row r="329">
      <c r="A329" s="10"/>
      <c r="B329" s="10"/>
      <c r="C329" s="10"/>
      <c r="D329" s="10"/>
      <c r="E329" s="10"/>
      <c r="F329" s="9"/>
    </row>
    <row r="330">
      <c r="A330" s="10"/>
      <c r="B330" s="10"/>
      <c r="C330" s="10"/>
      <c r="D330" s="10"/>
      <c r="E330" s="10"/>
      <c r="F330" s="9"/>
    </row>
    <row r="331">
      <c r="A331" s="10"/>
      <c r="B331" s="10"/>
      <c r="C331" s="10"/>
      <c r="D331" s="10"/>
      <c r="E331" s="10"/>
      <c r="F331" s="9"/>
    </row>
    <row r="332">
      <c r="A332" s="10"/>
      <c r="B332" s="10"/>
      <c r="C332" s="10"/>
      <c r="D332" s="10"/>
      <c r="E332" s="10"/>
      <c r="F332" s="9"/>
    </row>
    <row r="333">
      <c r="A333" s="10"/>
      <c r="B333" s="10"/>
      <c r="C333" s="10"/>
      <c r="D333" s="10"/>
      <c r="E333" s="10"/>
      <c r="F333" s="9"/>
    </row>
    <row r="334">
      <c r="A334" s="10"/>
      <c r="B334" s="10"/>
      <c r="C334" s="10"/>
      <c r="D334" s="10"/>
      <c r="E334" s="10"/>
      <c r="F334" s="9"/>
    </row>
    <row r="335">
      <c r="A335" s="10"/>
      <c r="B335" s="10"/>
      <c r="C335" s="10"/>
      <c r="D335" s="10"/>
      <c r="E335" s="10"/>
      <c r="F335" s="9"/>
    </row>
    <row r="336">
      <c r="A336" s="10"/>
      <c r="B336" s="10"/>
      <c r="C336" s="10"/>
      <c r="D336" s="10"/>
      <c r="E336" s="10"/>
      <c r="F336" s="9"/>
    </row>
    <row r="337">
      <c r="A337" s="10"/>
      <c r="B337" s="10"/>
      <c r="C337" s="10"/>
      <c r="D337" s="10"/>
      <c r="E337" s="10"/>
      <c r="F337" s="9"/>
    </row>
    <row r="338">
      <c r="A338" s="10"/>
      <c r="B338" s="10"/>
      <c r="C338" s="10"/>
      <c r="D338" s="10"/>
      <c r="E338" s="10"/>
      <c r="F338" s="9"/>
    </row>
    <row r="339">
      <c r="A339" s="10"/>
      <c r="B339" s="10"/>
      <c r="C339" s="10"/>
      <c r="D339" s="10"/>
      <c r="E339" s="10"/>
      <c r="F339" s="9"/>
    </row>
    <row r="340">
      <c r="A340" s="10"/>
      <c r="B340" s="10"/>
      <c r="C340" s="10"/>
      <c r="D340" s="10"/>
      <c r="E340" s="10"/>
      <c r="F340" s="9"/>
    </row>
    <row r="341">
      <c r="A341" s="10"/>
      <c r="B341" s="10"/>
      <c r="C341" s="10"/>
      <c r="D341" s="10"/>
      <c r="E341" s="10"/>
      <c r="F341" s="9"/>
    </row>
    <row r="342">
      <c r="A342" s="10"/>
      <c r="B342" s="10"/>
      <c r="C342" s="10"/>
      <c r="D342" s="10"/>
      <c r="E342" s="10"/>
      <c r="F342" s="9"/>
    </row>
    <row r="343">
      <c r="A343" s="10"/>
      <c r="B343" s="10"/>
      <c r="C343" s="10"/>
      <c r="D343" s="10"/>
      <c r="E343" s="10"/>
      <c r="F343" s="9"/>
    </row>
    <row r="344">
      <c r="A344" s="10"/>
      <c r="B344" s="10"/>
      <c r="C344" s="10"/>
      <c r="D344" s="10"/>
      <c r="E344" s="10"/>
      <c r="F344" s="9"/>
    </row>
    <row r="345">
      <c r="A345" s="10"/>
      <c r="B345" s="10"/>
      <c r="C345" s="10"/>
      <c r="D345" s="10"/>
      <c r="E345" s="10"/>
      <c r="F345" s="9"/>
    </row>
    <row r="346">
      <c r="A346" s="10"/>
      <c r="B346" s="10"/>
      <c r="C346" s="10"/>
      <c r="D346" s="10"/>
      <c r="E346" s="10"/>
      <c r="F346" s="9"/>
    </row>
    <row r="347">
      <c r="A347" s="10"/>
      <c r="B347" s="10"/>
      <c r="C347" s="10"/>
      <c r="D347" s="10"/>
      <c r="E347" s="10"/>
      <c r="F347" s="9"/>
    </row>
    <row r="348">
      <c r="A348" s="10"/>
      <c r="B348" s="10"/>
      <c r="C348" s="10"/>
      <c r="D348" s="10"/>
      <c r="E348" s="10"/>
      <c r="F348" s="9"/>
    </row>
    <row r="349">
      <c r="A349" s="10"/>
      <c r="B349" s="10"/>
      <c r="C349" s="10"/>
      <c r="D349" s="10"/>
      <c r="E349" s="10"/>
      <c r="F349" s="9"/>
    </row>
    <row r="350">
      <c r="A350" s="10"/>
      <c r="B350" s="10"/>
      <c r="C350" s="10"/>
      <c r="D350" s="10"/>
      <c r="E350" s="10"/>
      <c r="F350" s="9"/>
    </row>
    <row r="351">
      <c r="A351" s="10"/>
      <c r="B351" s="10"/>
      <c r="C351" s="10"/>
      <c r="D351" s="10"/>
      <c r="E351" s="10"/>
      <c r="F351" s="9"/>
    </row>
    <row r="352">
      <c r="A352" s="10"/>
      <c r="B352" s="10"/>
      <c r="C352" s="10"/>
      <c r="D352" s="10"/>
      <c r="E352" s="10"/>
      <c r="F352" s="9"/>
    </row>
    <row r="353">
      <c r="A353" s="10"/>
      <c r="B353" s="10"/>
      <c r="C353" s="10"/>
      <c r="D353" s="10"/>
      <c r="E353" s="10"/>
      <c r="F353" s="9"/>
    </row>
    <row r="354">
      <c r="A354" s="10"/>
      <c r="B354" s="10"/>
      <c r="C354" s="10"/>
      <c r="D354" s="10"/>
      <c r="E354" s="10"/>
      <c r="F354" s="9"/>
    </row>
    <row r="355">
      <c r="A355" s="10"/>
      <c r="B355" s="10"/>
      <c r="C355" s="10"/>
      <c r="D355" s="10"/>
      <c r="E355" s="10"/>
      <c r="F355" s="9"/>
    </row>
    <row r="356">
      <c r="A356" s="10"/>
      <c r="B356" s="10"/>
      <c r="C356" s="10"/>
      <c r="D356" s="10"/>
      <c r="E356" s="10"/>
      <c r="F356" s="9"/>
    </row>
    <row r="357">
      <c r="A357" s="10"/>
      <c r="B357" s="10"/>
      <c r="C357" s="10"/>
      <c r="D357" s="10"/>
      <c r="E357" s="10"/>
      <c r="F357" s="9"/>
    </row>
    <row r="358">
      <c r="A358" s="10"/>
      <c r="B358" s="10"/>
      <c r="C358" s="10"/>
      <c r="D358" s="10"/>
      <c r="E358" s="10"/>
      <c r="F358" s="9"/>
    </row>
    <row r="359">
      <c r="A359" s="10"/>
      <c r="B359" s="10"/>
      <c r="C359" s="10"/>
      <c r="D359" s="10"/>
      <c r="E359" s="10"/>
      <c r="F359" s="9"/>
    </row>
    <row r="360">
      <c r="A360" s="10"/>
      <c r="B360" s="10"/>
      <c r="C360" s="10"/>
      <c r="D360" s="10"/>
      <c r="E360" s="10"/>
      <c r="F360" s="9"/>
    </row>
    <row r="361">
      <c r="A361" s="10"/>
      <c r="B361" s="10"/>
      <c r="C361" s="10"/>
      <c r="D361" s="10"/>
      <c r="E361" s="10"/>
      <c r="F361" s="9"/>
    </row>
    <row r="362">
      <c r="A362" s="10"/>
      <c r="B362" s="10"/>
      <c r="C362" s="10"/>
      <c r="D362" s="10"/>
      <c r="E362" s="10"/>
      <c r="F362" s="9"/>
    </row>
    <row r="363">
      <c r="A363" s="10"/>
      <c r="B363" s="10"/>
      <c r="C363" s="10"/>
      <c r="D363" s="10"/>
      <c r="E363" s="10"/>
      <c r="F363" s="9"/>
    </row>
    <row r="364">
      <c r="A364" s="10"/>
      <c r="B364" s="10"/>
      <c r="C364" s="10"/>
      <c r="D364" s="10"/>
      <c r="E364" s="10"/>
      <c r="F364" s="9"/>
    </row>
    <row r="365">
      <c r="A365" s="10"/>
      <c r="B365" s="10"/>
      <c r="C365" s="10"/>
      <c r="D365" s="10"/>
      <c r="E365" s="10"/>
      <c r="F365" s="9"/>
    </row>
    <row r="366">
      <c r="A366" s="10"/>
      <c r="B366" s="10"/>
      <c r="C366" s="10"/>
      <c r="D366" s="10"/>
      <c r="E366" s="10"/>
      <c r="F366" s="9"/>
    </row>
    <row r="367">
      <c r="A367" s="10"/>
      <c r="B367" s="10"/>
      <c r="C367" s="10"/>
      <c r="D367" s="10"/>
      <c r="E367" s="10"/>
      <c r="F367" s="9"/>
    </row>
    <row r="368">
      <c r="A368" s="10"/>
      <c r="B368" s="10"/>
      <c r="C368" s="10"/>
      <c r="D368" s="10"/>
      <c r="E368" s="10"/>
      <c r="F368" s="9"/>
    </row>
    <row r="369">
      <c r="A369" s="10"/>
      <c r="B369" s="10"/>
      <c r="C369" s="10"/>
      <c r="D369" s="10"/>
      <c r="E369" s="10"/>
      <c r="F369" s="9"/>
    </row>
    <row r="370">
      <c r="A370" s="10"/>
      <c r="B370" s="10"/>
      <c r="C370" s="10"/>
      <c r="D370" s="10"/>
      <c r="E370" s="10"/>
      <c r="F370" s="9"/>
    </row>
    <row r="371">
      <c r="A371" s="10"/>
      <c r="B371" s="10"/>
      <c r="C371" s="10"/>
      <c r="D371" s="10"/>
      <c r="E371" s="10"/>
      <c r="F371" s="9"/>
    </row>
    <row r="372">
      <c r="A372" s="10"/>
      <c r="B372" s="10"/>
      <c r="C372" s="10"/>
      <c r="D372" s="10"/>
      <c r="E372" s="10"/>
      <c r="F372" s="9"/>
    </row>
    <row r="373">
      <c r="A373" s="10"/>
      <c r="B373" s="10"/>
      <c r="C373" s="10"/>
      <c r="D373" s="10"/>
      <c r="E373" s="10"/>
      <c r="F373" s="9"/>
    </row>
    <row r="374">
      <c r="A374" s="10"/>
      <c r="B374" s="10"/>
      <c r="C374" s="10"/>
      <c r="D374" s="10"/>
      <c r="E374" s="10"/>
      <c r="F374" s="9"/>
    </row>
    <row r="375">
      <c r="A375" s="10"/>
      <c r="B375" s="10"/>
      <c r="C375" s="10"/>
      <c r="D375" s="10"/>
      <c r="E375" s="10"/>
      <c r="F375" s="9"/>
    </row>
    <row r="376">
      <c r="A376" s="10"/>
      <c r="B376" s="10"/>
      <c r="C376" s="10"/>
      <c r="D376" s="10"/>
      <c r="E376" s="10"/>
      <c r="F376" s="9"/>
    </row>
    <row r="377">
      <c r="A377" s="10"/>
      <c r="B377" s="10"/>
      <c r="C377" s="10"/>
      <c r="D377" s="10"/>
      <c r="E377" s="10"/>
      <c r="F377" s="9"/>
    </row>
    <row r="378">
      <c r="A378" s="10"/>
      <c r="B378" s="10"/>
      <c r="C378" s="10"/>
      <c r="D378" s="10"/>
      <c r="E378" s="10"/>
      <c r="F378" s="9"/>
    </row>
    <row r="379">
      <c r="A379" s="10"/>
      <c r="B379" s="10"/>
      <c r="C379" s="10"/>
      <c r="D379" s="10"/>
      <c r="E379" s="10"/>
      <c r="F379" s="9"/>
    </row>
    <row r="380">
      <c r="A380" s="10"/>
      <c r="B380" s="10"/>
      <c r="C380" s="10"/>
      <c r="D380" s="10"/>
      <c r="E380" s="10"/>
      <c r="F380" s="9"/>
    </row>
    <row r="381">
      <c r="A381" s="10"/>
      <c r="B381" s="10"/>
      <c r="C381" s="10"/>
      <c r="D381" s="10"/>
      <c r="E381" s="10"/>
      <c r="F381" s="9"/>
    </row>
    <row r="382">
      <c r="A382" s="10"/>
      <c r="B382" s="10"/>
      <c r="C382" s="10"/>
      <c r="D382" s="10"/>
      <c r="E382" s="10"/>
      <c r="F382" s="9"/>
    </row>
    <row r="383">
      <c r="A383" s="10"/>
      <c r="B383" s="10"/>
      <c r="C383" s="10"/>
      <c r="D383" s="10"/>
      <c r="E383" s="10"/>
      <c r="F383" s="9"/>
    </row>
    <row r="384">
      <c r="A384" s="10"/>
      <c r="B384" s="10"/>
      <c r="C384" s="10"/>
      <c r="D384" s="10"/>
      <c r="E384" s="10"/>
      <c r="F384" s="9"/>
    </row>
    <row r="385">
      <c r="A385" s="10"/>
      <c r="B385" s="10"/>
      <c r="C385" s="10"/>
      <c r="D385" s="10"/>
      <c r="E385" s="10"/>
      <c r="F385" s="9"/>
    </row>
    <row r="386">
      <c r="A386" s="10"/>
      <c r="B386" s="10"/>
      <c r="C386" s="10"/>
      <c r="D386" s="10"/>
      <c r="E386" s="10"/>
      <c r="F386" s="9"/>
    </row>
    <row r="387">
      <c r="A387" s="10"/>
      <c r="B387" s="10"/>
      <c r="C387" s="10"/>
      <c r="D387" s="10"/>
      <c r="E387" s="10"/>
      <c r="F387" s="9"/>
    </row>
    <row r="388">
      <c r="A388" s="10"/>
      <c r="B388" s="10"/>
      <c r="C388" s="10"/>
      <c r="D388" s="10"/>
      <c r="E388" s="10"/>
      <c r="F388" s="9"/>
    </row>
    <row r="389">
      <c r="A389" s="10"/>
      <c r="B389" s="10"/>
      <c r="C389" s="10"/>
      <c r="D389" s="10"/>
      <c r="E389" s="10"/>
      <c r="F389" s="9"/>
    </row>
    <row r="390">
      <c r="A390" s="10"/>
      <c r="B390" s="10"/>
      <c r="C390" s="10"/>
      <c r="D390" s="10"/>
      <c r="E390" s="10"/>
      <c r="F390" s="9"/>
    </row>
    <row r="391">
      <c r="A391" s="10"/>
      <c r="B391" s="10"/>
      <c r="C391" s="10"/>
      <c r="D391" s="10"/>
      <c r="E391" s="10"/>
      <c r="F391" s="9"/>
    </row>
    <row r="392">
      <c r="A392" s="10"/>
      <c r="B392" s="10"/>
      <c r="C392" s="10"/>
      <c r="D392" s="10"/>
      <c r="E392" s="10"/>
      <c r="F392" s="9"/>
    </row>
    <row r="393">
      <c r="A393" s="10"/>
      <c r="B393" s="10"/>
      <c r="C393" s="10"/>
      <c r="D393" s="10"/>
      <c r="E393" s="10"/>
      <c r="F393" s="9"/>
    </row>
    <row r="394">
      <c r="A394" s="10"/>
      <c r="B394" s="10"/>
      <c r="C394" s="10"/>
      <c r="D394" s="10"/>
      <c r="E394" s="10"/>
      <c r="F394" s="9"/>
    </row>
    <row r="395">
      <c r="A395" s="10"/>
      <c r="B395" s="10"/>
      <c r="C395" s="10"/>
      <c r="D395" s="10"/>
      <c r="E395" s="10"/>
      <c r="F395" s="9"/>
    </row>
    <row r="396">
      <c r="A396" s="10"/>
      <c r="B396" s="10"/>
      <c r="C396" s="10"/>
      <c r="D396" s="10"/>
      <c r="E396" s="10"/>
      <c r="F396" s="9"/>
    </row>
    <row r="397">
      <c r="A397" s="10"/>
      <c r="B397" s="10"/>
      <c r="C397" s="10"/>
      <c r="D397" s="10"/>
      <c r="E397" s="10"/>
      <c r="F397" s="9"/>
    </row>
    <row r="398">
      <c r="A398" s="10"/>
      <c r="B398" s="10"/>
      <c r="C398" s="10"/>
      <c r="D398" s="10"/>
      <c r="E398" s="10"/>
      <c r="F398" s="9"/>
    </row>
    <row r="399">
      <c r="A399" s="10"/>
      <c r="B399" s="10"/>
      <c r="C399" s="10"/>
      <c r="D399" s="10"/>
      <c r="E399" s="10"/>
      <c r="F399" s="9"/>
    </row>
    <row r="400">
      <c r="A400" s="10"/>
      <c r="B400" s="10"/>
      <c r="C400" s="10"/>
      <c r="D400" s="10"/>
      <c r="E400" s="10"/>
      <c r="F400" s="9"/>
    </row>
    <row r="401">
      <c r="A401" s="10"/>
      <c r="B401" s="10"/>
      <c r="C401" s="10"/>
      <c r="D401" s="10"/>
      <c r="E401" s="10"/>
      <c r="F401" s="9"/>
    </row>
    <row r="402">
      <c r="A402" s="10"/>
      <c r="B402" s="10"/>
      <c r="C402" s="10"/>
      <c r="D402" s="10"/>
      <c r="E402" s="10"/>
      <c r="F402" s="9"/>
    </row>
    <row r="403">
      <c r="A403" s="10"/>
      <c r="B403" s="10"/>
      <c r="C403" s="10"/>
      <c r="D403" s="10"/>
      <c r="E403" s="10"/>
      <c r="F403" s="9"/>
    </row>
    <row r="404">
      <c r="A404" s="10"/>
      <c r="B404" s="10"/>
      <c r="C404" s="10"/>
      <c r="D404" s="10"/>
      <c r="E404" s="10"/>
      <c r="F404" s="9"/>
    </row>
    <row r="405">
      <c r="A405" s="10"/>
      <c r="B405" s="10"/>
      <c r="C405" s="10"/>
      <c r="D405" s="10"/>
      <c r="E405" s="10"/>
      <c r="F405" s="9"/>
    </row>
    <row r="406">
      <c r="A406" s="10"/>
      <c r="B406" s="10"/>
      <c r="C406" s="10"/>
      <c r="D406" s="10"/>
      <c r="E406" s="10"/>
      <c r="F406" s="9"/>
    </row>
    <row r="407">
      <c r="A407" s="10"/>
      <c r="B407" s="10"/>
      <c r="C407" s="10"/>
      <c r="D407" s="10"/>
      <c r="E407" s="10"/>
      <c r="F407" s="9"/>
    </row>
    <row r="408">
      <c r="A408" s="10"/>
      <c r="B408" s="10"/>
      <c r="C408" s="10"/>
      <c r="D408" s="10"/>
      <c r="E408" s="10"/>
      <c r="F408" s="9"/>
    </row>
    <row r="409">
      <c r="A409" s="10"/>
      <c r="B409" s="10"/>
      <c r="C409" s="10"/>
      <c r="D409" s="10"/>
      <c r="E409" s="10"/>
      <c r="F409" s="9"/>
    </row>
    <row r="410">
      <c r="A410" s="10"/>
      <c r="B410" s="10"/>
      <c r="C410" s="10"/>
      <c r="D410" s="10"/>
      <c r="E410" s="10"/>
      <c r="F410" s="9"/>
    </row>
    <row r="411">
      <c r="A411" s="10"/>
      <c r="B411" s="10"/>
      <c r="C411" s="10"/>
      <c r="D411" s="10"/>
      <c r="E411" s="10"/>
      <c r="F411" s="9"/>
    </row>
    <row r="412">
      <c r="A412" s="10"/>
      <c r="B412" s="10"/>
      <c r="C412" s="10"/>
      <c r="D412" s="10"/>
      <c r="E412" s="10"/>
      <c r="F412" s="9"/>
    </row>
    <row r="413">
      <c r="A413" s="10"/>
      <c r="B413" s="10"/>
      <c r="C413" s="10"/>
      <c r="D413" s="10"/>
      <c r="E413" s="10"/>
      <c r="F413" s="9"/>
    </row>
    <row r="414">
      <c r="A414" s="10"/>
      <c r="B414" s="10"/>
      <c r="C414" s="10"/>
      <c r="D414" s="10"/>
      <c r="E414" s="10"/>
      <c r="F414" s="9"/>
    </row>
    <row r="415">
      <c r="A415" s="10"/>
      <c r="B415" s="10"/>
      <c r="C415" s="10"/>
      <c r="D415" s="10"/>
      <c r="E415" s="10"/>
      <c r="F415" s="9"/>
    </row>
    <row r="416">
      <c r="A416" s="10"/>
      <c r="B416" s="10"/>
      <c r="C416" s="10"/>
      <c r="D416" s="10"/>
      <c r="E416" s="10"/>
      <c r="F416" s="9"/>
    </row>
    <row r="417">
      <c r="A417" s="10"/>
      <c r="B417" s="10"/>
      <c r="C417" s="10"/>
      <c r="D417" s="10"/>
      <c r="E417" s="10"/>
      <c r="F417" s="9"/>
    </row>
    <row r="418">
      <c r="A418" s="10"/>
      <c r="B418" s="10"/>
      <c r="C418" s="10"/>
      <c r="D418" s="10"/>
      <c r="E418" s="10"/>
      <c r="F418" s="9"/>
    </row>
    <row r="419">
      <c r="A419" s="10"/>
      <c r="B419" s="10"/>
      <c r="C419" s="10"/>
      <c r="D419" s="10"/>
      <c r="E419" s="10"/>
      <c r="F419" s="9"/>
    </row>
    <row r="420">
      <c r="A420" s="10"/>
      <c r="B420" s="10"/>
      <c r="C420" s="10"/>
      <c r="D420" s="10"/>
      <c r="E420" s="10"/>
      <c r="F420" s="9"/>
    </row>
    <row r="421">
      <c r="A421" s="10"/>
      <c r="B421" s="10"/>
      <c r="C421" s="10"/>
      <c r="D421" s="10"/>
      <c r="E421" s="10"/>
      <c r="F421" s="9"/>
    </row>
    <row r="422">
      <c r="A422" s="10"/>
      <c r="B422" s="10"/>
      <c r="C422" s="10"/>
      <c r="D422" s="10"/>
      <c r="E422" s="10"/>
      <c r="F422" s="9"/>
    </row>
    <row r="423">
      <c r="A423" s="10"/>
      <c r="B423" s="10"/>
      <c r="C423" s="10"/>
      <c r="D423" s="10"/>
      <c r="E423" s="10"/>
      <c r="F423" s="9"/>
    </row>
    <row r="424">
      <c r="A424" s="10"/>
      <c r="B424" s="10"/>
      <c r="C424" s="10"/>
      <c r="D424" s="10"/>
      <c r="E424" s="10"/>
      <c r="F424" s="9"/>
    </row>
    <row r="425">
      <c r="A425" s="10"/>
      <c r="B425" s="10"/>
      <c r="C425" s="10"/>
      <c r="D425" s="10"/>
      <c r="E425" s="10"/>
      <c r="F425" s="9"/>
    </row>
    <row r="426">
      <c r="A426" s="10"/>
      <c r="B426" s="10"/>
      <c r="C426" s="10"/>
      <c r="D426" s="10"/>
      <c r="E426" s="10"/>
      <c r="F426" s="9"/>
    </row>
    <row r="427">
      <c r="A427" s="10"/>
      <c r="B427" s="10"/>
      <c r="C427" s="10"/>
      <c r="D427" s="10"/>
      <c r="E427" s="10"/>
      <c r="F427" s="9"/>
    </row>
    <row r="428">
      <c r="A428" s="10"/>
      <c r="B428" s="10"/>
      <c r="C428" s="10"/>
      <c r="D428" s="10"/>
      <c r="E428" s="10"/>
      <c r="F428" s="9"/>
    </row>
    <row r="429">
      <c r="A429" s="10"/>
      <c r="B429" s="10"/>
      <c r="C429" s="10"/>
      <c r="D429" s="10"/>
      <c r="E429" s="10"/>
      <c r="F429" s="9"/>
    </row>
    <row r="430">
      <c r="A430" s="10"/>
      <c r="B430" s="10"/>
      <c r="C430" s="10"/>
      <c r="D430" s="10"/>
      <c r="E430" s="10"/>
      <c r="F430" s="9"/>
    </row>
    <row r="431">
      <c r="A431" s="10"/>
      <c r="B431" s="10"/>
      <c r="C431" s="10"/>
      <c r="D431" s="10"/>
      <c r="E431" s="10"/>
      <c r="F431" s="9"/>
    </row>
    <row r="432">
      <c r="A432" s="10"/>
      <c r="B432" s="10"/>
      <c r="C432" s="10"/>
      <c r="D432" s="10"/>
      <c r="E432" s="10"/>
      <c r="F432" s="9"/>
    </row>
    <row r="433">
      <c r="A433" s="10"/>
      <c r="B433" s="10"/>
      <c r="C433" s="10"/>
      <c r="D433" s="10"/>
      <c r="E433" s="10"/>
      <c r="F433" s="9"/>
    </row>
    <row r="434">
      <c r="A434" s="10"/>
      <c r="B434" s="10"/>
      <c r="C434" s="10"/>
      <c r="D434" s="10"/>
      <c r="E434" s="10"/>
      <c r="F434" s="9"/>
    </row>
    <row r="435">
      <c r="A435" s="10"/>
      <c r="B435" s="10"/>
      <c r="C435" s="10"/>
      <c r="D435" s="10"/>
      <c r="E435" s="10"/>
      <c r="F435" s="9"/>
    </row>
    <row r="436">
      <c r="A436" s="10"/>
      <c r="B436" s="10"/>
      <c r="C436" s="10"/>
      <c r="D436" s="10"/>
      <c r="E436" s="10"/>
      <c r="F436" s="9"/>
    </row>
    <row r="437">
      <c r="A437" s="10"/>
      <c r="B437" s="10"/>
      <c r="C437" s="10"/>
      <c r="D437" s="10"/>
      <c r="E437" s="10"/>
      <c r="F437" s="9"/>
    </row>
    <row r="438">
      <c r="A438" s="10"/>
      <c r="B438" s="10"/>
      <c r="C438" s="10"/>
      <c r="D438" s="10"/>
      <c r="E438" s="10"/>
      <c r="F438" s="9"/>
    </row>
    <row r="439">
      <c r="A439" s="10"/>
      <c r="B439" s="10"/>
      <c r="C439" s="10"/>
      <c r="D439" s="10"/>
      <c r="E439" s="10"/>
      <c r="F439" s="9"/>
    </row>
    <row r="440">
      <c r="A440" s="10"/>
      <c r="B440" s="10"/>
      <c r="C440" s="10"/>
      <c r="D440" s="10"/>
      <c r="E440" s="10"/>
      <c r="F440" s="9"/>
    </row>
    <row r="441">
      <c r="A441" s="10"/>
      <c r="B441" s="10"/>
      <c r="C441" s="10"/>
      <c r="D441" s="10"/>
      <c r="E441" s="10"/>
      <c r="F441" s="9"/>
    </row>
    <row r="442">
      <c r="A442" s="10"/>
      <c r="B442" s="10"/>
      <c r="C442" s="10"/>
      <c r="D442" s="10"/>
      <c r="E442" s="10"/>
      <c r="F442" s="9"/>
    </row>
    <row r="443">
      <c r="A443" s="10"/>
      <c r="B443" s="10"/>
      <c r="C443" s="10"/>
      <c r="D443" s="10"/>
      <c r="E443" s="10"/>
      <c r="F443" s="9"/>
    </row>
    <row r="444">
      <c r="A444" s="10"/>
      <c r="B444" s="10"/>
      <c r="C444" s="10"/>
      <c r="D444" s="10"/>
      <c r="E444" s="10"/>
      <c r="F444" s="9"/>
    </row>
    <row r="445">
      <c r="A445" s="10"/>
      <c r="B445" s="10"/>
      <c r="C445" s="10"/>
      <c r="D445" s="10"/>
      <c r="E445" s="10"/>
      <c r="F445" s="9"/>
    </row>
    <row r="446">
      <c r="A446" s="10"/>
      <c r="B446" s="10"/>
      <c r="C446" s="10"/>
      <c r="D446" s="10"/>
      <c r="E446" s="10"/>
      <c r="F446" s="9"/>
    </row>
    <row r="447">
      <c r="A447" s="10"/>
      <c r="B447" s="10"/>
      <c r="C447" s="10"/>
      <c r="D447" s="10"/>
      <c r="E447" s="10"/>
      <c r="F447" s="9"/>
    </row>
    <row r="448">
      <c r="A448" s="10"/>
      <c r="B448" s="10"/>
      <c r="C448" s="10"/>
      <c r="D448" s="10"/>
      <c r="E448" s="10"/>
      <c r="F448" s="9"/>
    </row>
    <row r="449">
      <c r="A449" s="10"/>
      <c r="B449" s="10"/>
      <c r="C449" s="10"/>
      <c r="D449" s="10"/>
      <c r="E449" s="10"/>
      <c r="F449" s="9"/>
    </row>
    <row r="450">
      <c r="A450" s="10"/>
      <c r="B450" s="10"/>
      <c r="C450" s="10"/>
      <c r="D450" s="10"/>
      <c r="E450" s="10"/>
      <c r="F450" s="9"/>
    </row>
    <row r="451">
      <c r="A451" s="10"/>
      <c r="B451" s="10"/>
      <c r="C451" s="10"/>
      <c r="D451" s="10"/>
      <c r="E451" s="10"/>
      <c r="F451" s="9"/>
    </row>
    <row r="452">
      <c r="A452" s="10"/>
      <c r="B452" s="10"/>
      <c r="C452" s="10"/>
      <c r="D452" s="10"/>
      <c r="E452" s="10"/>
      <c r="F452" s="9"/>
    </row>
    <row r="453">
      <c r="A453" s="10"/>
      <c r="B453" s="10"/>
      <c r="C453" s="10"/>
      <c r="D453" s="10"/>
      <c r="E453" s="10"/>
      <c r="F453" s="9"/>
    </row>
    <row r="454">
      <c r="A454" s="10"/>
      <c r="B454" s="10"/>
      <c r="C454" s="10"/>
      <c r="D454" s="10"/>
      <c r="E454" s="10"/>
      <c r="F454" s="9"/>
    </row>
    <row r="455">
      <c r="A455" s="10"/>
      <c r="B455" s="10"/>
      <c r="C455" s="10"/>
      <c r="D455" s="10"/>
      <c r="E455" s="10"/>
      <c r="F455" s="9"/>
    </row>
    <row r="456">
      <c r="A456" s="10"/>
      <c r="B456" s="10"/>
      <c r="C456" s="10"/>
      <c r="D456" s="10"/>
      <c r="E456" s="10"/>
      <c r="F456" s="9"/>
    </row>
    <row r="457">
      <c r="A457" s="10"/>
      <c r="B457" s="10"/>
      <c r="C457" s="10"/>
      <c r="D457" s="10"/>
      <c r="E457" s="10"/>
      <c r="F457" s="9"/>
    </row>
    <row r="458">
      <c r="A458" s="10"/>
      <c r="B458" s="10"/>
      <c r="C458" s="10"/>
      <c r="D458" s="10"/>
      <c r="E458" s="10"/>
      <c r="F458" s="9"/>
    </row>
    <row r="459">
      <c r="A459" s="10"/>
      <c r="B459" s="10"/>
      <c r="C459" s="10"/>
      <c r="D459" s="10"/>
      <c r="E459" s="10"/>
      <c r="F459" s="9"/>
    </row>
    <row r="460">
      <c r="A460" s="10"/>
      <c r="B460" s="10"/>
      <c r="C460" s="10"/>
      <c r="D460" s="10"/>
      <c r="E460" s="10"/>
      <c r="F460" s="9"/>
    </row>
    <row r="461">
      <c r="A461" s="10"/>
      <c r="B461" s="10"/>
      <c r="C461" s="10"/>
      <c r="D461" s="10"/>
      <c r="E461" s="10"/>
      <c r="F461" s="9"/>
    </row>
    <row r="462">
      <c r="A462" s="10"/>
      <c r="B462" s="10"/>
      <c r="C462" s="10"/>
      <c r="D462" s="10"/>
      <c r="E462" s="10"/>
      <c r="F462" s="9"/>
    </row>
    <row r="463">
      <c r="A463" s="10"/>
      <c r="B463" s="10"/>
      <c r="C463" s="10"/>
      <c r="D463" s="10"/>
      <c r="E463" s="10"/>
      <c r="F463" s="9"/>
    </row>
    <row r="464">
      <c r="A464" s="10"/>
      <c r="B464" s="10"/>
      <c r="C464" s="10"/>
      <c r="D464" s="10"/>
      <c r="E464" s="10"/>
      <c r="F464" s="9"/>
    </row>
    <row r="465">
      <c r="A465" s="10"/>
      <c r="B465" s="10"/>
      <c r="C465" s="10"/>
      <c r="D465" s="10"/>
      <c r="E465" s="10"/>
      <c r="F465" s="9"/>
    </row>
    <row r="466">
      <c r="A466" s="10"/>
      <c r="B466" s="10"/>
      <c r="C466" s="10"/>
      <c r="D466" s="10"/>
      <c r="E466" s="10"/>
      <c r="F466" s="9"/>
    </row>
    <row r="467">
      <c r="A467" s="10"/>
      <c r="B467" s="10"/>
      <c r="C467" s="10"/>
      <c r="D467" s="10"/>
      <c r="E467" s="10"/>
      <c r="F467" s="9"/>
    </row>
    <row r="468">
      <c r="A468" s="10"/>
      <c r="B468" s="10"/>
      <c r="C468" s="10"/>
      <c r="D468" s="10"/>
      <c r="E468" s="10"/>
      <c r="F468" s="9"/>
    </row>
    <row r="469">
      <c r="A469" s="10"/>
      <c r="B469" s="10"/>
      <c r="C469" s="10"/>
      <c r="D469" s="10"/>
      <c r="E469" s="10"/>
      <c r="F469" s="9"/>
    </row>
    <row r="470">
      <c r="A470" s="10"/>
      <c r="B470" s="10"/>
      <c r="C470" s="10"/>
      <c r="D470" s="10"/>
      <c r="E470" s="10"/>
      <c r="F470" s="9"/>
    </row>
    <row r="471">
      <c r="A471" s="10"/>
      <c r="B471" s="10"/>
      <c r="C471" s="10"/>
      <c r="D471" s="10"/>
      <c r="E471" s="10"/>
      <c r="F471" s="9"/>
    </row>
    <row r="472">
      <c r="A472" s="10"/>
      <c r="B472" s="10"/>
      <c r="C472" s="10"/>
      <c r="D472" s="10"/>
      <c r="E472" s="10"/>
      <c r="F472" s="9"/>
    </row>
    <row r="473">
      <c r="A473" s="10"/>
      <c r="B473" s="10"/>
      <c r="C473" s="10"/>
      <c r="D473" s="10"/>
      <c r="E473" s="10"/>
      <c r="F473" s="9"/>
    </row>
    <row r="474">
      <c r="A474" s="10"/>
      <c r="B474" s="10"/>
      <c r="C474" s="10"/>
      <c r="D474" s="10"/>
      <c r="E474" s="10"/>
      <c r="F474" s="9"/>
    </row>
    <row r="475">
      <c r="A475" s="10"/>
      <c r="B475" s="10"/>
      <c r="C475" s="10"/>
      <c r="D475" s="10"/>
      <c r="E475" s="10"/>
      <c r="F475" s="9"/>
    </row>
    <row r="476">
      <c r="A476" s="10"/>
      <c r="B476" s="10"/>
      <c r="C476" s="10"/>
      <c r="D476" s="10"/>
      <c r="E476" s="10"/>
      <c r="F476" s="9"/>
    </row>
    <row r="477">
      <c r="A477" s="10"/>
      <c r="B477" s="10"/>
      <c r="C477" s="10"/>
      <c r="D477" s="10"/>
      <c r="E477" s="10"/>
      <c r="F477" s="9"/>
    </row>
    <row r="478">
      <c r="A478" s="10"/>
      <c r="B478" s="10"/>
      <c r="C478" s="10"/>
      <c r="D478" s="10"/>
      <c r="E478" s="10"/>
      <c r="F478" s="9"/>
    </row>
    <row r="479">
      <c r="A479" s="10"/>
      <c r="B479" s="10"/>
      <c r="C479" s="10"/>
      <c r="D479" s="10"/>
      <c r="E479" s="10"/>
      <c r="F479" s="9"/>
    </row>
    <row r="480">
      <c r="A480" s="10"/>
      <c r="B480" s="10"/>
      <c r="C480" s="10"/>
      <c r="D480" s="10"/>
      <c r="E480" s="10"/>
      <c r="F480" s="9"/>
    </row>
    <row r="481">
      <c r="A481" s="10"/>
      <c r="B481" s="10"/>
      <c r="C481" s="10"/>
      <c r="D481" s="10"/>
      <c r="E481" s="10"/>
      <c r="F481" s="9"/>
    </row>
    <row r="482">
      <c r="A482" s="10"/>
      <c r="B482" s="10"/>
      <c r="C482" s="10"/>
      <c r="D482" s="10"/>
      <c r="E482" s="10"/>
      <c r="F482" s="9"/>
    </row>
    <row r="483">
      <c r="A483" s="10"/>
      <c r="B483" s="10"/>
      <c r="C483" s="10"/>
      <c r="D483" s="10"/>
      <c r="E483" s="10"/>
      <c r="F483" s="9"/>
    </row>
    <row r="484">
      <c r="A484" s="10"/>
      <c r="B484" s="10"/>
      <c r="C484" s="10"/>
      <c r="D484" s="10"/>
      <c r="E484" s="10"/>
      <c r="F484" s="9"/>
    </row>
    <row r="485">
      <c r="A485" s="10"/>
      <c r="B485" s="10"/>
      <c r="C485" s="10"/>
      <c r="D485" s="10"/>
      <c r="E485" s="10"/>
      <c r="F485" s="9"/>
    </row>
    <row r="486">
      <c r="A486" s="10"/>
      <c r="B486" s="10"/>
      <c r="C486" s="10"/>
      <c r="D486" s="10"/>
      <c r="E486" s="10"/>
      <c r="F486" s="9"/>
    </row>
    <row r="487">
      <c r="A487" s="10"/>
      <c r="B487" s="10"/>
      <c r="C487" s="10"/>
      <c r="D487" s="10"/>
      <c r="E487" s="10"/>
      <c r="F487" s="9"/>
    </row>
    <row r="488">
      <c r="A488" s="10"/>
      <c r="B488" s="10"/>
      <c r="C488" s="10"/>
      <c r="D488" s="10"/>
      <c r="E488" s="10"/>
      <c r="F488" s="9"/>
    </row>
    <row r="489">
      <c r="A489" s="10"/>
      <c r="B489" s="10"/>
      <c r="C489" s="10"/>
      <c r="D489" s="10"/>
      <c r="E489" s="10"/>
      <c r="F489" s="9"/>
    </row>
    <row r="490">
      <c r="A490" s="10"/>
      <c r="B490" s="10"/>
      <c r="C490" s="10"/>
      <c r="D490" s="10"/>
      <c r="E490" s="10"/>
      <c r="F490" s="9"/>
    </row>
    <row r="491">
      <c r="A491" s="10"/>
      <c r="B491" s="10"/>
      <c r="C491" s="10"/>
      <c r="D491" s="10"/>
      <c r="E491" s="10"/>
      <c r="F491" s="9"/>
    </row>
    <row r="492">
      <c r="A492" s="10"/>
      <c r="B492" s="10"/>
      <c r="C492" s="10"/>
      <c r="D492" s="10"/>
      <c r="E492" s="10"/>
      <c r="F492" s="9"/>
    </row>
    <row r="493">
      <c r="A493" s="10"/>
      <c r="B493" s="10"/>
      <c r="C493" s="10"/>
      <c r="D493" s="10"/>
      <c r="E493" s="10"/>
      <c r="F493" s="9"/>
    </row>
    <row r="494">
      <c r="A494" s="10"/>
      <c r="B494" s="10"/>
      <c r="C494" s="10"/>
      <c r="D494" s="10"/>
      <c r="E494" s="10"/>
      <c r="F494" s="9"/>
    </row>
    <row r="495">
      <c r="A495" s="10"/>
      <c r="B495" s="10"/>
      <c r="C495" s="10"/>
      <c r="D495" s="10"/>
      <c r="E495" s="10"/>
      <c r="F495" s="9"/>
    </row>
    <row r="496">
      <c r="A496" s="10"/>
      <c r="B496" s="10"/>
      <c r="C496" s="10"/>
      <c r="D496" s="10"/>
      <c r="E496" s="10"/>
      <c r="F496" s="9"/>
    </row>
    <row r="497">
      <c r="A497" s="10"/>
      <c r="B497" s="10"/>
      <c r="C497" s="10"/>
      <c r="D497" s="10"/>
      <c r="E497" s="10"/>
      <c r="F497" s="9"/>
    </row>
    <row r="498">
      <c r="A498" s="10"/>
      <c r="B498" s="10"/>
      <c r="C498" s="10"/>
      <c r="D498" s="10"/>
      <c r="E498" s="10"/>
      <c r="F498" s="9"/>
    </row>
    <row r="499">
      <c r="A499" s="10"/>
      <c r="B499" s="10"/>
      <c r="C499" s="10"/>
      <c r="D499" s="10"/>
      <c r="E499" s="10"/>
      <c r="F499" s="9"/>
    </row>
    <row r="500">
      <c r="A500" s="10"/>
      <c r="B500" s="10"/>
      <c r="C500" s="10"/>
      <c r="D500" s="10"/>
      <c r="E500" s="10"/>
      <c r="F500" s="9"/>
    </row>
    <row r="501">
      <c r="A501" s="10"/>
      <c r="B501" s="10"/>
      <c r="C501" s="10"/>
      <c r="D501" s="10"/>
      <c r="E501" s="10"/>
      <c r="F501" s="9"/>
    </row>
    <row r="502">
      <c r="A502" s="10"/>
      <c r="B502" s="10"/>
      <c r="C502" s="10"/>
      <c r="D502" s="10"/>
      <c r="E502" s="10"/>
      <c r="F502" s="9"/>
    </row>
    <row r="503">
      <c r="A503" s="10"/>
      <c r="B503" s="10"/>
      <c r="C503" s="10"/>
      <c r="D503" s="10"/>
      <c r="E503" s="10"/>
      <c r="F503" s="9"/>
    </row>
    <row r="504">
      <c r="A504" s="10"/>
      <c r="B504" s="10"/>
      <c r="C504" s="10"/>
      <c r="D504" s="10"/>
      <c r="E504" s="10"/>
      <c r="F504" s="9"/>
    </row>
    <row r="505">
      <c r="A505" s="10"/>
      <c r="B505" s="10"/>
      <c r="C505" s="10"/>
      <c r="D505" s="10"/>
      <c r="E505" s="10"/>
      <c r="F505" s="9"/>
    </row>
    <row r="506">
      <c r="A506" s="10"/>
      <c r="B506" s="10"/>
      <c r="C506" s="10"/>
      <c r="D506" s="10"/>
      <c r="E506" s="10"/>
      <c r="F506" s="9"/>
    </row>
    <row r="507">
      <c r="A507" s="10"/>
      <c r="B507" s="10"/>
      <c r="C507" s="10"/>
      <c r="D507" s="10"/>
      <c r="E507" s="10"/>
      <c r="F507" s="9"/>
    </row>
    <row r="508">
      <c r="A508" s="10"/>
      <c r="B508" s="10"/>
      <c r="C508" s="10"/>
      <c r="D508" s="10"/>
      <c r="E508" s="10"/>
      <c r="F508" s="9"/>
    </row>
    <row r="509">
      <c r="A509" s="10"/>
      <c r="B509" s="10"/>
      <c r="C509" s="10"/>
      <c r="D509" s="10"/>
      <c r="E509" s="10"/>
      <c r="F509" s="9"/>
    </row>
    <row r="510">
      <c r="A510" s="10"/>
      <c r="B510" s="10"/>
      <c r="C510" s="10"/>
      <c r="D510" s="10"/>
      <c r="E510" s="10"/>
      <c r="F510" s="9"/>
    </row>
    <row r="511">
      <c r="A511" s="10"/>
      <c r="B511" s="10"/>
      <c r="C511" s="10"/>
      <c r="D511" s="10"/>
      <c r="E511" s="10"/>
      <c r="F511" s="9"/>
    </row>
    <row r="512">
      <c r="A512" s="10"/>
      <c r="B512" s="10"/>
      <c r="C512" s="10"/>
      <c r="D512" s="10"/>
      <c r="E512" s="10"/>
      <c r="F512" s="9"/>
    </row>
    <row r="513">
      <c r="A513" s="10"/>
      <c r="B513" s="10"/>
      <c r="C513" s="10"/>
      <c r="D513" s="10"/>
      <c r="E513" s="10"/>
      <c r="F513" s="9"/>
    </row>
    <row r="514">
      <c r="A514" s="10"/>
      <c r="B514" s="10"/>
      <c r="C514" s="10"/>
      <c r="D514" s="10"/>
      <c r="E514" s="10"/>
      <c r="F514" s="9"/>
    </row>
    <row r="515">
      <c r="A515" s="10"/>
      <c r="B515" s="10"/>
      <c r="C515" s="10"/>
      <c r="D515" s="10"/>
      <c r="E515" s="10"/>
      <c r="F515" s="9"/>
    </row>
    <row r="516">
      <c r="A516" s="10"/>
      <c r="B516" s="10"/>
      <c r="C516" s="10"/>
      <c r="D516" s="10"/>
      <c r="E516" s="10"/>
      <c r="F516" s="9"/>
    </row>
    <row r="517">
      <c r="A517" s="10"/>
      <c r="B517" s="10"/>
      <c r="C517" s="10"/>
      <c r="D517" s="10"/>
      <c r="E517" s="10"/>
      <c r="F517" s="9"/>
    </row>
    <row r="518">
      <c r="A518" s="10"/>
      <c r="B518" s="10"/>
      <c r="C518" s="10"/>
      <c r="D518" s="10"/>
      <c r="E518" s="10"/>
      <c r="F518" s="9"/>
    </row>
    <row r="519">
      <c r="A519" s="10"/>
      <c r="B519" s="10"/>
      <c r="C519" s="10"/>
      <c r="D519" s="10"/>
      <c r="E519" s="10"/>
      <c r="F519" s="9"/>
    </row>
    <row r="520">
      <c r="A520" s="10"/>
      <c r="B520" s="10"/>
      <c r="C520" s="10"/>
      <c r="D520" s="10"/>
      <c r="E520" s="10"/>
      <c r="F520" s="9"/>
    </row>
    <row r="521">
      <c r="A521" s="10"/>
      <c r="B521" s="10"/>
      <c r="C521" s="10"/>
      <c r="D521" s="10"/>
      <c r="E521" s="10"/>
      <c r="F521" s="9"/>
    </row>
    <row r="522">
      <c r="A522" s="10"/>
      <c r="B522" s="10"/>
      <c r="C522" s="10"/>
      <c r="D522" s="10"/>
      <c r="E522" s="10"/>
      <c r="F522" s="9"/>
    </row>
    <row r="523">
      <c r="A523" s="10"/>
      <c r="B523" s="10"/>
      <c r="C523" s="10"/>
      <c r="D523" s="10"/>
      <c r="E523" s="10"/>
      <c r="F523" s="9"/>
    </row>
    <row r="524">
      <c r="A524" s="10"/>
      <c r="B524" s="10"/>
      <c r="C524" s="10"/>
      <c r="D524" s="10"/>
      <c r="E524" s="10"/>
      <c r="F524" s="9"/>
    </row>
    <row r="525">
      <c r="A525" s="10"/>
      <c r="B525" s="10"/>
      <c r="C525" s="10"/>
      <c r="D525" s="10"/>
      <c r="E525" s="10"/>
      <c r="F525" s="9"/>
    </row>
    <row r="526">
      <c r="A526" s="10"/>
      <c r="B526" s="10"/>
      <c r="C526" s="10"/>
      <c r="D526" s="10"/>
      <c r="E526" s="10"/>
      <c r="F526" s="9"/>
    </row>
    <row r="527">
      <c r="A527" s="10"/>
      <c r="B527" s="10"/>
      <c r="C527" s="10"/>
      <c r="D527" s="10"/>
      <c r="E527" s="10"/>
      <c r="F527" s="9"/>
    </row>
    <row r="528">
      <c r="A528" s="10"/>
      <c r="B528" s="10"/>
      <c r="C528" s="10"/>
      <c r="D528" s="10"/>
      <c r="E528" s="10"/>
      <c r="F528" s="9"/>
    </row>
    <row r="529">
      <c r="A529" s="10"/>
      <c r="B529" s="10"/>
      <c r="C529" s="10"/>
      <c r="D529" s="10"/>
      <c r="E529" s="10"/>
      <c r="F529" s="9"/>
    </row>
    <row r="530">
      <c r="A530" s="10"/>
      <c r="B530" s="10"/>
      <c r="C530" s="10"/>
      <c r="D530" s="10"/>
      <c r="E530" s="10"/>
      <c r="F530" s="9"/>
    </row>
    <row r="531">
      <c r="A531" s="10"/>
      <c r="B531" s="10"/>
      <c r="C531" s="10"/>
      <c r="D531" s="10"/>
      <c r="E531" s="10"/>
      <c r="F531" s="9"/>
    </row>
    <row r="532">
      <c r="A532" s="10"/>
      <c r="B532" s="10"/>
      <c r="C532" s="10"/>
      <c r="D532" s="10"/>
      <c r="E532" s="10"/>
      <c r="F532" s="9"/>
    </row>
    <row r="533">
      <c r="A533" s="10"/>
      <c r="B533" s="10"/>
      <c r="C533" s="10"/>
      <c r="D533" s="10"/>
      <c r="E533" s="10"/>
      <c r="F533" s="9"/>
    </row>
    <row r="534">
      <c r="A534" s="10"/>
      <c r="B534" s="10"/>
      <c r="C534" s="10"/>
      <c r="D534" s="10"/>
      <c r="E534" s="10"/>
      <c r="F534" s="9"/>
    </row>
    <row r="535">
      <c r="A535" s="10"/>
      <c r="B535" s="10"/>
      <c r="C535" s="10"/>
      <c r="D535" s="10"/>
      <c r="E535" s="10"/>
      <c r="F535" s="9"/>
    </row>
    <row r="536">
      <c r="A536" s="10"/>
      <c r="B536" s="10"/>
      <c r="C536" s="10"/>
      <c r="D536" s="10"/>
      <c r="E536" s="10"/>
      <c r="F536" s="9"/>
    </row>
    <row r="537">
      <c r="A537" s="10"/>
      <c r="B537" s="10"/>
      <c r="C537" s="10"/>
      <c r="D537" s="10"/>
      <c r="E537" s="10"/>
      <c r="F537" s="9"/>
    </row>
    <row r="538">
      <c r="A538" s="10"/>
      <c r="B538" s="10"/>
      <c r="C538" s="10"/>
      <c r="D538" s="10"/>
      <c r="E538" s="10"/>
      <c r="F538" s="9"/>
    </row>
    <row r="539">
      <c r="A539" s="10"/>
      <c r="B539" s="10"/>
      <c r="C539" s="10"/>
      <c r="D539" s="10"/>
      <c r="E539" s="10"/>
      <c r="F539" s="9"/>
    </row>
    <row r="540">
      <c r="A540" s="10"/>
      <c r="B540" s="10"/>
      <c r="C540" s="10"/>
      <c r="D540" s="10"/>
      <c r="E540" s="10"/>
      <c r="F540" s="9"/>
    </row>
    <row r="541">
      <c r="A541" s="10"/>
      <c r="B541" s="10"/>
      <c r="C541" s="10"/>
      <c r="D541" s="10"/>
      <c r="E541" s="10"/>
      <c r="F541" s="9"/>
    </row>
    <row r="542">
      <c r="A542" s="10"/>
      <c r="B542" s="10"/>
      <c r="C542" s="10"/>
      <c r="D542" s="10"/>
      <c r="E542" s="10"/>
      <c r="F542" s="9"/>
    </row>
    <row r="543">
      <c r="A543" s="10"/>
      <c r="B543" s="10"/>
      <c r="C543" s="10"/>
      <c r="D543" s="10"/>
      <c r="E543" s="10"/>
      <c r="F543" s="9"/>
    </row>
    <row r="544">
      <c r="A544" s="10"/>
      <c r="B544" s="10"/>
      <c r="C544" s="10"/>
      <c r="D544" s="10"/>
      <c r="E544" s="10"/>
      <c r="F544" s="9"/>
    </row>
    <row r="545">
      <c r="A545" s="10"/>
      <c r="B545" s="10"/>
      <c r="C545" s="10"/>
      <c r="D545" s="10"/>
      <c r="E545" s="10"/>
      <c r="F545" s="9"/>
    </row>
    <row r="546">
      <c r="A546" s="10"/>
      <c r="B546" s="10"/>
      <c r="C546" s="10"/>
      <c r="D546" s="10"/>
      <c r="E546" s="10"/>
      <c r="F546" s="9"/>
    </row>
    <row r="547">
      <c r="A547" s="10"/>
      <c r="B547" s="10"/>
      <c r="C547" s="10"/>
      <c r="D547" s="10"/>
      <c r="E547" s="10"/>
      <c r="F547" s="9"/>
    </row>
    <row r="548">
      <c r="A548" s="10"/>
      <c r="B548" s="10"/>
      <c r="C548" s="10"/>
      <c r="D548" s="10"/>
      <c r="E548" s="10"/>
      <c r="F548" s="9"/>
    </row>
    <row r="549">
      <c r="A549" s="10"/>
      <c r="B549" s="10"/>
      <c r="C549" s="10"/>
      <c r="D549" s="10"/>
      <c r="E549" s="10"/>
      <c r="F549" s="9"/>
    </row>
    <row r="550">
      <c r="A550" s="10"/>
      <c r="B550" s="10"/>
      <c r="C550" s="10"/>
      <c r="D550" s="10"/>
      <c r="E550" s="10"/>
      <c r="F550" s="9"/>
    </row>
    <row r="551">
      <c r="A551" s="10"/>
      <c r="B551" s="10"/>
      <c r="C551" s="10"/>
      <c r="D551" s="10"/>
      <c r="E551" s="10"/>
      <c r="F551" s="9"/>
    </row>
    <row r="552">
      <c r="A552" s="10"/>
      <c r="B552" s="10"/>
      <c r="C552" s="10"/>
      <c r="D552" s="10"/>
      <c r="E552" s="10"/>
      <c r="F552" s="9"/>
    </row>
    <row r="553">
      <c r="A553" s="10"/>
      <c r="B553" s="10"/>
      <c r="C553" s="10"/>
      <c r="D553" s="10"/>
      <c r="E553" s="10"/>
      <c r="F553" s="9"/>
    </row>
    <row r="554">
      <c r="A554" s="10"/>
      <c r="B554" s="10"/>
      <c r="C554" s="10"/>
      <c r="D554" s="10"/>
      <c r="E554" s="10"/>
      <c r="F554" s="9"/>
    </row>
    <row r="555">
      <c r="A555" s="10"/>
      <c r="B555" s="10"/>
      <c r="C555" s="10"/>
      <c r="D555" s="10"/>
      <c r="E555" s="10"/>
      <c r="F555" s="9"/>
    </row>
    <row r="556">
      <c r="A556" s="10"/>
      <c r="B556" s="10"/>
      <c r="C556" s="10"/>
      <c r="D556" s="10"/>
      <c r="E556" s="10"/>
      <c r="F556" s="9"/>
    </row>
    <row r="557">
      <c r="A557" s="10"/>
      <c r="B557" s="10"/>
      <c r="C557" s="10"/>
      <c r="D557" s="10"/>
      <c r="E557" s="10"/>
      <c r="F557" s="9"/>
    </row>
    <row r="558">
      <c r="A558" s="10"/>
      <c r="B558" s="10"/>
      <c r="C558" s="10"/>
      <c r="D558" s="10"/>
      <c r="E558" s="10"/>
      <c r="F558" s="9"/>
    </row>
    <row r="559">
      <c r="A559" s="10"/>
      <c r="B559" s="10"/>
      <c r="C559" s="10"/>
      <c r="D559" s="10"/>
      <c r="E559" s="10"/>
      <c r="F559" s="9"/>
    </row>
    <row r="560">
      <c r="A560" s="10"/>
      <c r="B560" s="10"/>
      <c r="C560" s="10"/>
      <c r="D560" s="10"/>
      <c r="E560" s="10"/>
      <c r="F560" s="9"/>
    </row>
    <row r="561">
      <c r="A561" s="10"/>
      <c r="B561" s="10"/>
      <c r="C561" s="10"/>
      <c r="D561" s="10"/>
      <c r="E561" s="10"/>
      <c r="F561" s="9"/>
    </row>
    <row r="562">
      <c r="A562" s="10"/>
      <c r="B562" s="10"/>
      <c r="C562" s="10"/>
      <c r="D562" s="10"/>
      <c r="E562" s="10"/>
      <c r="F562" s="9"/>
    </row>
    <row r="563">
      <c r="A563" s="10"/>
      <c r="B563" s="10"/>
      <c r="C563" s="10"/>
      <c r="D563" s="10"/>
      <c r="E563" s="10"/>
      <c r="F563" s="9"/>
    </row>
    <row r="564">
      <c r="A564" s="10"/>
      <c r="B564" s="10"/>
      <c r="C564" s="10"/>
      <c r="D564" s="10"/>
      <c r="E564" s="10"/>
      <c r="F564" s="9"/>
    </row>
    <row r="565">
      <c r="A565" s="10"/>
      <c r="B565" s="10"/>
      <c r="C565" s="10"/>
      <c r="D565" s="10"/>
      <c r="E565" s="10"/>
      <c r="F565" s="9"/>
    </row>
    <row r="566">
      <c r="A566" s="10"/>
      <c r="B566" s="10"/>
      <c r="C566" s="10"/>
      <c r="D566" s="10"/>
      <c r="E566" s="10"/>
      <c r="F566" s="9"/>
    </row>
    <row r="567">
      <c r="A567" s="10"/>
      <c r="B567" s="10"/>
      <c r="C567" s="10"/>
      <c r="D567" s="10"/>
      <c r="E567" s="10"/>
      <c r="F567" s="9"/>
    </row>
    <row r="568">
      <c r="A568" s="10"/>
      <c r="B568" s="10"/>
      <c r="C568" s="10"/>
      <c r="D568" s="10"/>
      <c r="E568" s="10"/>
      <c r="F568" s="9"/>
    </row>
    <row r="569">
      <c r="A569" s="10"/>
      <c r="B569" s="10"/>
      <c r="C569" s="10"/>
      <c r="D569" s="10"/>
      <c r="E569" s="10"/>
      <c r="F569" s="9"/>
    </row>
    <row r="570">
      <c r="A570" s="10"/>
      <c r="B570" s="10"/>
      <c r="C570" s="10"/>
      <c r="D570" s="10"/>
      <c r="E570" s="10"/>
      <c r="F570" s="9"/>
    </row>
    <row r="571">
      <c r="A571" s="10"/>
      <c r="B571" s="10"/>
      <c r="C571" s="10"/>
      <c r="D571" s="10"/>
      <c r="E571" s="10"/>
      <c r="F571" s="9"/>
    </row>
    <row r="572">
      <c r="A572" s="10"/>
      <c r="B572" s="10"/>
      <c r="C572" s="10"/>
      <c r="D572" s="10"/>
      <c r="E572" s="10"/>
      <c r="F572" s="9"/>
    </row>
    <row r="573">
      <c r="A573" s="10"/>
      <c r="B573" s="10"/>
      <c r="C573" s="10"/>
      <c r="D573" s="10"/>
      <c r="E573" s="10"/>
      <c r="F573" s="9"/>
    </row>
    <row r="574">
      <c r="A574" s="10"/>
      <c r="B574" s="10"/>
      <c r="C574" s="10"/>
      <c r="D574" s="10"/>
      <c r="E574" s="10"/>
      <c r="F574" s="9"/>
    </row>
    <row r="575">
      <c r="A575" s="10"/>
      <c r="B575" s="10"/>
      <c r="C575" s="10"/>
      <c r="D575" s="10"/>
      <c r="E575" s="10"/>
      <c r="F575" s="9"/>
    </row>
    <row r="576">
      <c r="A576" s="10"/>
      <c r="B576" s="10"/>
      <c r="C576" s="10"/>
      <c r="D576" s="10"/>
      <c r="E576" s="10"/>
      <c r="F576" s="9"/>
    </row>
    <row r="577">
      <c r="A577" s="10"/>
      <c r="B577" s="10"/>
      <c r="C577" s="10"/>
      <c r="D577" s="10"/>
      <c r="E577" s="10"/>
      <c r="F577" s="9"/>
    </row>
    <row r="578">
      <c r="A578" s="10"/>
      <c r="B578" s="10"/>
      <c r="C578" s="10"/>
      <c r="D578" s="10"/>
      <c r="E578" s="10"/>
      <c r="F578" s="9"/>
    </row>
    <row r="579">
      <c r="A579" s="10"/>
      <c r="B579" s="10"/>
      <c r="C579" s="10"/>
      <c r="D579" s="10"/>
      <c r="E579" s="10"/>
      <c r="F579" s="9"/>
    </row>
    <row r="580">
      <c r="A580" s="10"/>
      <c r="B580" s="10"/>
      <c r="C580" s="10"/>
      <c r="D580" s="10"/>
      <c r="E580" s="10"/>
      <c r="F580" s="9"/>
    </row>
    <row r="581">
      <c r="A581" s="10"/>
      <c r="B581" s="10"/>
      <c r="C581" s="10"/>
      <c r="D581" s="10"/>
      <c r="E581" s="10"/>
      <c r="F581" s="9"/>
    </row>
    <row r="582">
      <c r="A582" s="10"/>
      <c r="B582" s="10"/>
      <c r="C582" s="10"/>
      <c r="D582" s="10"/>
      <c r="E582" s="10"/>
      <c r="F582" s="9"/>
    </row>
    <row r="583">
      <c r="A583" s="10"/>
      <c r="B583" s="10"/>
      <c r="C583" s="10"/>
      <c r="D583" s="10"/>
      <c r="E583" s="10"/>
      <c r="F583" s="9"/>
    </row>
    <row r="584">
      <c r="A584" s="10"/>
      <c r="B584" s="10"/>
      <c r="C584" s="10"/>
      <c r="D584" s="10"/>
      <c r="E584" s="10"/>
      <c r="F584" s="9"/>
    </row>
    <row r="585">
      <c r="A585" s="10"/>
      <c r="B585" s="10"/>
      <c r="C585" s="10"/>
      <c r="D585" s="10"/>
      <c r="E585" s="10"/>
      <c r="F585" s="9"/>
    </row>
    <row r="586">
      <c r="A586" s="10"/>
      <c r="B586" s="10"/>
      <c r="C586" s="10"/>
      <c r="D586" s="10"/>
      <c r="E586" s="10"/>
      <c r="F586" s="9"/>
    </row>
    <row r="587">
      <c r="A587" s="10"/>
      <c r="B587" s="10"/>
      <c r="C587" s="10"/>
      <c r="D587" s="10"/>
      <c r="E587" s="10"/>
      <c r="F587" s="9"/>
    </row>
    <row r="588">
      <c r="A588" s="10"/>
      <c r="B588" s="10"/>
      <c r="C588" s="10"/>
      <c r="D588" s="10"/>
      <c r="E588" s="10"/>
      <c r="F588" s="9"/>
    </row>
    <row r="589">
      <c r="A589" s="10"/>
      <c r="B589" s="10"/>
      <c r="C589" s="10"/>
      <c r="D589" s="10"/>
      <c r="E589" s="10"/>
      <c r="F589" s="9"/>
    </row>
    <row r="590">
      <c r="A590" s="10"/>
      <c r="B590" s="10"/>
      <c r="C590" s="10"/>
      <c r="D590" s="10"/>
      <c r="E590" s="10"/>
      <c r="F590" s="9"/>
    </row>
    <row r="591">
      <c r="A591" s="10"/>
      <c r="B591" s="10"/>
      <c r="C591" s="10"/>
      <c r="D591" s="10"/>
      <c r="E591" s="10"/>
      <c r="F591" s="9"/>
    </row>
    <row r="592">
      <c r="A592" s="10"/>
      <c r="B592" s="10"/>
      <c r="C592" s="10"/>
      <c r="D592" s="10"/>
      <c r="E592" s="10"/>
      <c r="F592" s="9"/>
    </row>
    <row r="593">
      <c r="A593" s="10"/>
      <c r="B593" s="10"/>
      <c r="C593" s="10"/>
      <c r="D593" s="10"/>
      <c r="E593" s="10"/>
      <c r="F593" s="9"/>
    </row>
    <row r="594">
      <c r="A594" s="10"/>
      <c r="B594" s="10"/>
      <c r="C594" s="10"/>
      <c r="D594" s="10"/>
      <c r="E594" s="10"/>
      <c r="F594" s="9"/>
    </row>
    <row r="595">
      <c r="A595" s="10"/>
      <c r="B595" s="10"/>
      <c r="C595" s="10"/>
      <c r="D595" s="10"/>
      <c r="E595" s="10"/>
      <c r="F595" s="9"/>
    </row>
    <row r="596">
      <c r="A596" s="10"/>
      <c r="B596" s="10"/>
      <c r="C596" s="10"/>
      <c r="D596" s="10"/>
      <c r="E596" s="10"/>
      <c r="F596" s="9"/>
    </row>
    <row r="597">
      <c r="A597" s="10"/>
      <c r="B597" s="10"/>
      <c r="C597" s="10"/>
      <c r="D597" s="10"/>
      <c r="E597" s="10"/>
      <c r="F597" s="9"/>
    </row>
    <row r="598">
      <c r="A598" s="10"/>
      <c r="B598" s="10"/>
      <c r="C598" s="10"/>
      <c r="D598" s="10"/>
      <c r="E598" s="10"/>
      <c r="F598" s="9"/>
    </row>
    <row r="599">
      <c r="A599" s="10"/>
      <c r="B599" s="10"/>
      <c r="C599" s="10"/>
      <c r="D599" s="10"/>
      <c r="E599" s="10"/>
      <c r="F599" s="9"/>
    </row>
    <row r="600">
      <c r="A600" s="10"/>
      <c r="B600" s="10"/>
      <c r="C600" s="10"/>
      <c r="D600" s="10"/>
      <c r="E600" s="10"/>
      <c r="F600" s="9"/>
    </row>
    <row r="601">
      <c r="A601" s="10"/>
      <c r="B601" s="10"/>
      <c r="C601" s="10"/>
      <c r="D601" s="10"/>
      <c r="E601" s="10"/>
      <c r="F601" s="9"/>
    </row>
    <row r="602">
      <c r="A602" s="10"/>
      <c r="B602" s="10"/>
      <c r="C602" s="10"/>
      <c r="D602" s="10"/>
      <c r="E602" s="10"/>
      <c r="F602" s="9"/>
    </row>
    <row r="603">
      <c r="A603" s="10"/>
      <c r="B603" s="10"/>
      <c r="C603" s="10"/>
      <c r="D603" s="10"/>
      <c r="E603" s="10"/>
      <c r="F603" s="9"/>
    </row>
    <row r="604">
      <c r="A604" s="10"/>
      <c r="B604" s="10"/>
      <c r="C604" s="10"/>
      <c r="D604" s="10"/>
      <c r="E604" s="10"/>
      <c r="F604" s="9"/>
    </row>
    <row r="605">
      <c r="A605" s="10"/>
      <c r="B605" s="10"/>
      <c r="C605" s="10"/>
      <c r="D605" s="10"/>
      <c r="E605" s="10"/>
      <c r="F605" s="9"/>
    </row>
    <row r="606">
      <c r="A606" s="10"/>
      <c r="B606" s="10"/>
      <c r="C606" s="10"/>
      <c r="D606" s="10"/>
      <c r="E606" s="10"/>
      <c r="F606" s="9"/>
    </row>
    <row r="607">
      <c r="A607" s="10"/>
      <c r="B607" s="10"/>
      <c r="C607" s="10"/>
      <c r="D607" s="10"/>
      <c r="E607" s="10"/>
      <c r="F607" s="9"/>
    </row>
    <row r="608">
      <c r="A608" s="10"/>
      <c r="B608" s="10"/>
      <c r="C608" s="10"/>
      <c r="D608" s="10"/>
      <c r="E608" s="10"/>
      <c r="F608" s="9"/>
    </row>
    <row r="609">
      <c r="A609" s="10"/>
      <c r="B609" s="10"/>
      <c r="C609" s="10"/>
      <c r="D609" s="10"/>
      <c r="E609" s="10"/>
      <c r="F609" s="9"/>
    </row>
    <row r="610">
      <c r="A610" s="10"/>
      <c r="B610" s="10"/>
      <c r="C610" s="10"/>
      <c r="D610" s="10"/>
      <c r="E610" s="10"/>
      <c r="F610" s="9"/>
    </row>
    <row r="611">
      <c r="A611" s="10"/>
      <c r="B611" s="10"/>
      <c r="C611" s="10"/>
      <c r="D611" s="10"/>
      <c r="E611" s="10"/>
      <c r="F611" s="9"/>
    </row>
    <row r="612">
      <c r="A612" s="10"/>
      <c r="B612" s="10"/>
      <c r="C612" s="10"/>
      <c r="D612" s="10"/>
      <c r="E612" s="10"/>
      <c r="F612" s="9"/>
    </row>
    <row r="613">
      <c r="A613" s="10"/>
      <c r="B613" s="10"/>
      <c r="C613" s="10"/>
      <c r="D613" s="10"/>
      <c r="E613" s="10"/>
      <c r="F613" s="9"/>
    </row>
    <row r="614">
      <c r="A614" s="10"/>
      <c r="B614" s="10"/>
      <c r="C614" s="10"/>
      <c r="D614" s="10"/>
      <c r="E614" s="10"/>
      <c r="F614" s="9"/>
    </row>
    <row r="615">
      <c r="A615" s="10"/>
      <c r="B615" s="10"/>
      <c r="C615" s="10"/>
      <c r="D615" s="10"/>
      <c r="E615" s="10"/>
      <c r="F615" s="9"/>
    </row>
    <row r="616">
      <c r="A616" s="10"/>
      <c r="B616" s="10"/>
      <c r="C616" s="10"/>
      <c r="D616" s="10"/>
      <c r="E616" s="10"/>
      <c r="F616" s="9"/>
    </row>
    <row r="617">
      <c r="A617" s="10"/>
      <c r="B617" s="10"/>
      <c r="C617" s="10"/>
      <c r="D617" s="10"/>
      <c r="E617" s="10"/>
      <c r="F617" s="9"/>
    </row>
    <row r="618">
      <c r="A618" s="10"/>
      <c r="B618" s="10"/>
      <c r="C618" s="10"/>
      <c r="D618" s="10"/>
      <c r="E618" s="10"/>
      <c r="F618" s="9"/>
    </row>
    <row r="619">
      <c r="A619" s="10"/>
      <c r="B619" s="10"/>
      <c r="C619" s="10"/>
      <c r="D619" s="10"/>
      <c r="E619" s="10"/>
      <c r="F619" s="9"/>
    </row>
    <row r="620">
      <c r="A620" s="10"/>
      <c r="B620" s="10"/>
      <c r="C620" s="10"/>
      <c r="D620" s="10"/>
      <c r="E620" s="10"/>
      <c r="F620" s="9"/>
    </row>
    <row r="621">
      <c r="A621" s="10"/>
      <c r="B621" s="10"/>
      <c r="C621" s="10"/>
      <c r="D621" s="10"/>
      <c r="E621" s="10"/>
      <c r="F621" s="9"/>
    </row>
    <row r="622">
      <c r="A622" s="10"/>
      <c r="B622" s="10"/>
      <c r="C622" s="10"/>
      <c r="D622" s="10"/>
      <c r="E622" s="10"/>
      <c r="F622" s="9"/>
    </row>
    <row r="623">
      <c r="A623" s="10"/>
      <c r="B623" s="10"/>
      <c r="C623" s="10"/>
      <c r="D623" s="10"/>
      <c r="E623" s="10"/>
      <c r="F623" s="9"/>
    </row>
    <row r="624">
      <c r="A624" s="10"/>
      <c r="B624" s="10"/>
      <c r="C624" s="10"/>
      <c r="D624" s="10"/>
      <c r="E624" s="10"/>
      <c r="F624" s="9"/>
    </row>
    <row r="625">
      <c r="A625" s="10"/>
      <c r="B625" s="10"/>
      <c r="C625" s="10"/>
      <c r="D625" s="10"/>
      <c r="E625" s="10"/>
      <c r="F625" s="9"/>
    </row>
    <row r="626">
      <c r="A626" s="10"/>
      <c r="B626" s="10"/>
      <c r="C626" s="10"/>
      <c r="D626" s="10"/>
      <c r="E626" s="10"/>
      <c r="F626" s="9"/>
    </row>
    <row r="627">
      <c r="A627" s="10"/>
      <c r="B627" s="10"/>
      <c r="C627" s="10"/>
      <c r="D627" s="10"/>
      <c r="E627" s="10"/>
      <c r="F627" s="9"/>
    </row>
    <row r="628">
      <c r="A628" s="10"/>
      <c r="B628" s="10"/>
      <c r="C628" s="10"/>
      <c r="D628" s="10"/>
      <c r="E628" s="10"/>
      <c r="F628" s="9"/>
    </row>
    <row r="629">
      <c r="A629" s="10"/>
      <c r="B629" s="10"/>
      <c r="C629" s="10"/>
      <c r="D629" s="10"/>
      <c r="E629" s="10"/>
      <c r="F629" s="9"/>
    </row>
    <row r="630">
      <c r="A630" s="10"/>
      <c r="B630" s="10"/>
      <c r="C630" s="10"/>
      <c r="D630" s="10"/>
      <c r="E630" s="10"/>
      <c r="F630" s="9"/>
    </row>
    <row r="631">
      <c r="A631" s="10"/>
      <c r="B631" s="10"/>
      <c r="C631" s="10"/>
      <c r="D631" s="10"/>
      <c r="E631" s="10"/>
      <c r="F631" s="9"/>
    </row>
    <row r="632">
      <c r="A632" s="10"/>
      <c r="B632" s="10"/>
      <c r="C632" s="10"/>
      <c r="D632" s="10"/>
      <c r="E632" s="10"/>
      <c r="F632" s="9"/>
    </row>
    <row r="633">
      <c r="A633" s="10"/>
      <c r="B633" s="10"/>
      <c r="C633" s="10"/>
      <c r="D633" s="10"/>
      <c r="E633" s="10"/>
      <c r="F633" s="9"/>
    </row>
    <row r="634">
      <c r="A634" s="10"/>
      <c r="B634" s="10"/>
      <c r="C634" s="10"/>
      <c r="D634" s="10"/>
      <c r="E634" s="10"/>
      <c r="F634" s="9"/>
    </row>
    <row r="635">
      <c r="A635" s="10"/>
      <c r="B635" s="10"/>
      <c r="C635" s="10"/>
      <c r="D635" s="10"/>
      <c r="E635" s="10"/>
      <c r="F635" s="9"/>
    </row>
    <row r="636">
      <c r="A636" s="10"/>
      <c r="B636" s="10"/>
      <c r="C636" s="10"/>
      <c r="D636" s="10"/>
      <c r="E636" s="10"/>
      <c r="F636" s="9"/>
    </row>
    <row r="637">
      <c r="A637" s="10"/>
      <c r="B637" s="10"/>
      <c r="C637" s="10"/>
      <c r="D637" s="10"/>
      <c r="E637" s="10"/>
      <c r="F637" s="9"/>
    </row>
    <row r="638">
      <c r="A638" s="10"/>
      <c r="B638" s="10"/>
      <c r="C638" s="10"/>
      <c r="D638" s="10"/>
      <c r="E638" s="10"/>
      <c r="F638" s="9"/>
    </row>
    <row r="639">
      <c r="A639" s="10"/>
      <c r="B639" s="10"/>
      <c r="C639" s="10"/>
      <c r="D639" s="10"/>
      <c r="E639" s="10"/>
      <c r="F639" s="9"/>
    </row>
    <row r="640">
      <c r="A640" s="10"/>
      <c r="B640" s="10"/>
      <c r="C640" s="10"/>
      <c r="D640" s="10"/>
      <c r="E640" s="10"/>
      <c r="F640" s="9"/>
    </row>
    <row r="641">
      <c r="A641" s="10"/>
      <c r="B641" s="10"/>
      <c r="C641" s="10"/>
      <c r="D641" s="10"/>
      <c r="E641" s="10"/>
      <c r="F641" s="9"/>
    </row>
    <row r="642">
      <c r="A642" s="10"/>
      <c r="B642" s="10"/>
      <c r="C642" s="10"/>
      <c r="D642" s="10"/>
      <c r="E642" s="10"/>
      <c r="F642" s="9"/>
    </row>
    <row r="643">
      <c r="A643" s="10"/>
      <c r="B643" s="10"/>
      <c r="C643" s="10"/>
      <c r="D643" s="10"/>
      <c r="E643" s="10"/>
      <c r="F643" s="9"/>
    </row>
    <row r="644">
      <c r="A644" s="10"/>
      <c r="B644" s="10"/>
      <c r="C644" s="10"/>
      <c r="D644" s="10"/>
      <c r="E644" s="10"/>
      <c r="F644" s="9"/>
    </row>
    <row r="645">
      <c r="A645" s="10"/>
      <c r="B645" s="10"/>
      <c r="C645" s="10"/>
      <c r="D645" s="10"/>
      <c r="E645" s="10"/>
      <c r="F645" s="9"/>
    </row>
    <row r="646">
      <c r="A646" s="10"/>
      <c r="B646" s="10"/>
      <c r="C646" s="10"/>
      <c r="D646" s="10"/>
      <c r="E646" s="10"/>
      <c r="F646" s="9"/>
    </row>
    <row r="647">
      <c r="A647" s="10"/>
      <c r="B647" s="10"/>
      <c r="C647" s="10"/>
      <c r="D647" s="10"/>
      <c r="E647" s="10"/>
      <c r="F647" s="9"/>
    </row>
    <row r="648">
      <c r="A648" s="10"/>
      <c r="B648" s="10"/>
      <c r="C648" s="10"/>
      <c r="D648" s="10"/>
      <c r="E648" s="10"/>
      <c r="F648" s="9"/>
    </row>
    <row r="649">
      <c r="A649" s="10"/>
      <c r="B649" s="10"/>
      <c r="C649" s="10"/>
      <c r="D649" s="10"/>
      <c r="E649" s="10"/>
      <c r="F649" s="9"/>
    </row>
    <row r="650">
      <c r="A650" s="10"/>
      <c r="B650" s="10"/>
      <c r="C650" s="10"/>
      <c r="D650" s="10"/>
      <c r="E650" s="10"/>
      <c r="F650" s="9"/>
    </row>
    <row r="651">
      <c r="A651" s="10"/>
      <c r="B651" s="10"/>
      <c r="C651" s="10"/>
      <c r="D651" s="10"/>
      <c r="E651" s="10"/>
      <c r="F651" s="9"/>
    </row>
    <row r="652">
      <c r="A652" s="10"/>
      <c r="B652" s="10"/>
      <c r="C652" s="10"/>
      <c r="D652" s="10"/>
      <c r="E652" s="10"/>
      <c r="F652" s="9"/>
    </row>
    <row r="653">
      <c r="A653" s="10"/>
      <c r="B653" s="10"/>
      <c r="C653" s="10"/>
      <c r="D653" s="10"/>
      <c r="E653" s="10"/>
      <c r="F653" s="9"/>
    </row>
    <row r="654">
      <c r="A654" s="10"/>
      <c r="B654" s="10"/>
      <c r="C654" s="10"/>
      <c r="D654" s="10"/>
      <c r="E654" s="10"/>
      <c r="F654" s="9"/>
    </row>
    <row r="655">
      <c r="A655" s="10"/>
      <c r="B655" s="10"/>
      <c r="C655" s="10"/>
      <c r="D655" s="10"/>
      <c r="E655" s="10"/>
      <c r="F655" s="9"/>
    </row>
    <row r="656">
      <c r="A656" s="10"/>
      <c r="B656" s="10"/>
      <c r="C656" s="10"/>
      <c r="D656" s="10"/>
      <c r="E656" s="10"/>
      <c r="F656" s="9"/>
    </row>
    <row r="657">
      <c r="A657" s="10"/>
      <c r="B657" s="10"/>
      <c r="C657" s="10"/>
      <c r="D657" s="10"/>
      <c r="E657" s="10"/>
      <c r="F657" s="9"/>
    </row>
    <row r="658">
      <c r="A658" s="10"/>
      <c r="B658" s="10"/>
      <c r="C658" s="10"/>
      <c r="D658" s="10"/>
      <c r="E658" s="10"/>
      <c r="F658" s="9"/>
    </row>
    <row r="659">
      <c r="A659" s="10"/>
      <c r="B659" s="10"/>
      <c r="C659" s="10"/>
      <c r="D659" s="10"/>
      <c r="E659" s="10"/>
      <c r="F659" s="9"/>
    </row>
    <row r="660">
      <c r="A660" s="10"/>
      <c r="B660" s="10"/>
      <c r="C660" s="10"/>
      <c r="D660" s="10"/>
      <c r="E660" s="10"/>
      <c r="F660" s="9"/>
    </row>
    <row r="661">
      <c r="A661" s="10"/>
      <c r="B661" s="10"/>
      <c r="C661" s="10"/>
      <c r="D661" s="10"/>
      <c r="E661" s="10"/>
      <c r="F661" s="9"/>
    </row>
    <row r="662">
      <c r="A662" s="10"/>
      <c r="B662" s="10"/>
      <c r="C662" s="10"/>
      <c r="D662" s="10"/>
      <c r="E662" s="10"/>
      <c r="F662" s="9"/>
    </row>
    <row r="663">
      <c r="A663" s="10"/>
      <c r="B663" s="10"/>
      <c r="C663" s="10"/>
      <c r="D663" s="10"/>
      <c r="E663" s="10"/>
      <c r="F663" s="9"/>
    </row>
    <row r="664">
      <c r="A664" s="10"/>
      <c r="B664" s="10"/>
      <c r="C664" s="10"/>
      <c r="D664" s="10"/>
      <c r="E664" s="10"/>
      <c r="F664" s="9"/>
    </row>
    <row r="665">
      <c r="A665" s="10"/>
      <c r="B665" s="10"/>
      <c r="C665" s="10"/>
      <c r="D665" s="10"/>
      <c r="E665" s="10"/>
      <c r="F665" s="9"/>
    </row>
    <row r="666">
      <c r="A666" s="10"/>
      <c r="B666" s="10"/>
      <c r="C666" s="10"/>
      <c r="D666" s="10"/>
      <c r="E666" s="10"/>
      <c r="F666" s="9"/>
    </row>
    <row r="667">
      <c r="A667" s="10"/>
      <c r="B667" s="10"/>
      <c r="C667" s="10"/>
      <c r="D667" s="10"/>
      <c r="E667" s="10"/>
      <c r="F667" s="9"/>
    </row>
    <row r="668">
      <c r="A668" s="10"/>
      <c r="B668" s="10"/>
      <c r="C668" s="10"/>
      <c r="D668" s="10"/>
      <c r="E668" s="10"/>
      <c r="F668" s="9"/>
    </row>
    <row r="669">
      <c r="A669" s="10"/>
      <c r="B669" s="10"/>
      <c r="C669" s="10"/>
      <c r="D669" s="10"/>
      <c r="E669" s="10"/>
      <c r="F669" s="9"/>
    </row>
    <row r="670">
      <c r="A670" s="10"/>
      <c r="B670" s="10"/>
      <c r="C670" s="10"/>
      <c r="D670" s="10"/>
      <c r="E670" s="10"/>
      <c r="F670" s="9"/>
    </row>
    <row r="671">
      <c r="A671" s="10"/>
      <c r="B671" s="10"/>
      <c r="C671" s="10"/>
      <c r="D671" s="10"/>
      <c r="E671" s="10"/>
      <c r="F671" s="9"/>
    </row>
    <row r="672">
      <c r="A672" s="10"/>
      <c r="B672" s="10"/>
      <c r="C672" s="10"/>
      <c r="D672" s="10"/>
      <c r="E672" s="10"/>
      <c r="F672" s="9"/>
    </row>
    <row r="673">
      <c r="A673" s="10"/>
      <c r="B673" s="10"/>
      <c r="C673" s="10"/>
      <c r="D673" s="10"/>
      <c r="E673" s="10"/>
      <c r="F673" s="9"/>
    </row>
    <row r="674">
      <c r="A674" s="10"/>
      <c r="B674" s="10"/>
      <c r="C674" s="10"/>
      <c r="D674" s="10"/>
      <c r="E674" s="10"/>
      <c r="F674" s="9"/>
    </row>
    <row r="675">
      <c r="A675" s="10"/>
      <c r="B675" s="10"/>
      <c r="C675" s="10"/>
      <c r="D675" s="10"/>
      <c r="E675" s="10"/>
      <c r="F675" s="9"/>
    </row>
    <row r="676">
      <c r="A676" s="10"/>
      <c r="B676" s="10"/>
      <c r="C676" s="10"/>
      <c r="D676" s="10"/>
      <c r="E676" s="10"/>
      <c r="F676" s="9"/>
    </row>
    <row r="677">
      <c r="A677" s="10"/>
      <c r="B677" s="10"/>
      <c r="C677" s="10"/>
      <c r="D677" s="10"/>
      <c r="E677" s="10"/>
      <c r="F677" s="9"/>
    </row>
    <row r="678">
      <c r="A678" s="10"/>
      <c r="B678" s="10"/>
      <c r="C678" s="10"/>
      <c r="D678" s="10"/>
      <c r="E678" s="10"/>
      <c r="F678" s="9"/>
    </row>
    <row r="679">
      <c r="A679" s="10"/>
      <c r="B679" s="10"/>
      <c r="C679" s="10"/>
      <c r="D679" s="10"/>
      <c r="E679" s="10"/>
      <c r="F679" s="9"/>
    </row>
    <row r="680">
      <c r="A680" s="10"/>
      <c r="B680" s="10"/>
      <c r="C680" s="10"/>
      <c r="D680" s="10"/>
      <c r="E680" s="10"/>
      <c r="F680" s="9"/>
    </row>
    <row r="681">
      <c r="A681" s="10"/>
      <c r="B681" s="10"/>
      <c r="C681" s="10"/>
      <c r="D681" s="10"/>
      <c r="E681" s="10"/>
      <c r="F681" s="9"/>
    </row>
    <row r="682">
      <c r="A682" s="10"/>
      <c r="B682" s="10"/>
      <c r="C682" s="10"/>
      <c r="D682" s="10"/>
      <c r="E682" s="10"/>
      <c r="F682" s="9"/>
    </row>
    <row r="683">
      <c r="A683" s="10"/>
      <c r="B683" s="10"/>
      <c r="C683" s="10"/>
      <c r="D683" s="10"/>
      <c r="E683" s="10"/>
      <c r="F683" s="9"/>
    </row>
    <row r="684">
      <c r="A684" s="10"/>
      <c r="B684" s="10"/>
      <c r="C684" s="10"/>
      <c r="D684" s="10"/>
      <c r="E684" s="10"/>
      <c r="F684" s="9"/>
    </row>
    <row r="685">
      <c r="A685" s="10"/>
      <c r="B685" s="10"/>
      <c r="C685" s="10"/>
      <c r="D685" s="10"/>
      <c r="E685" s="10"/>
      <c r="F685" s="9"/>
    </row>
    <row r="686">
      <c r="A686" s="10"/>
      <c r="B686" s="10"/>
      <c r="C686" s="10"/>
      <c r="D686" s="10"/>
      <c r="E686" s="10"/>
      <c r="F686" s="9"/>
    </row>
    <row r="687">
      <c r="A687" s="10"/>
      <c r="B687" s="10"/>
      <c r="C687" s="10"/>
      <c r="D687" s="10"/>
      <c r="E687" s="10"/>
      <c r="F687" s="9"/>
    </row>
    <row r="688">
      <c r="A688" s="10"/>
      <c r="B688" s="10"/>
      <c r="C688" s="10"/>
      <c r="D688" s="10"/>
      <c r="E688" s="10"/>
      <c r="F688" s="9"/>
    </row>
    <row r="689">
      <c r="A689" s="10"/>
      <c r="B689" s="10"/>
      <c r="C689" s="10"/>
      <c r="D689" s="10"/>
      <c r="E689" s="10"/>
      <c r="F689" s="9"/>
    </row>
    <row r="690">
      <c r="A690" s="10"/>
      <c r="B690" s="10"/>
      <c r="C690" s="10"/>
      <c r="D690" s="10"/>
      <c r="E690" s="10"/>
      <c r="F690" s="9"/>
    </row>
    <row r="691">
      <c r="A691" s="10"/>
      <c r="B691" s="10"/>
      <c r="C691" s="10"/>
      <c r="D691" s="10"/>
      <c r="E691" s="10"/>
      <c r="F691" s="9"/>
    </row>
    <row r="692">
      <c r="A692" s="10"/>
      <c r="B692" s="10"/>
      <c r="C692" s="10"/>
      <c r="D692" s="10"/>
      <c r="E692" s="10"/>
      <c r="F692" s="9"/>
    </row>
    <row r="693">
      <c r="A693" s="10"/>
      <c r="B693" s="10"/>
      <c r="C693" s="10"/>
      <c r="D693" s="10"/>
      <c r="E693" s="10"/>
      <c r="F693" s="9"/>
    </row>
    <row r="694">
      <c r="A694" s="10"/>
      <c r="B694" s="10"/>
      <c r="C694" s="10"/>
      <c r="D694" s="10"/>
      <c r="E694" s="10"/>
      <c r="F694" s="9"/>
    </row>
    <row r="695">
      <c r="A695" s="10"/>
      <c r="B695" s="10"/>
      <c r="C695" s="10"/>
      <c r="D695" s="10"/>
      <c r="E695" s="10"/>
      <c r="F695" s="9"/>
    </row>
    <row r="696">
      <c r="A696" s="10"/>
      <c r="B696" s="10"/>
      <c r="C696" s="10"/>
      <c r="D696" s="10"/>
      <c r="E696" s="10"/>
      <c r="F696" s="9"/>
    </row>
    <row r="697">
      <c r="A697" s="10"/>
      <c r="B697" s="10"/>
      <c r="C697" s="10"/>
      <c r="D697" s="10"/>
      <c r="E697" s="10"/>
      <c r="F697" s="9"/>
    </row>
    <row r="698">
      <c r="A698" s="10"/>
      <c r="B698" s="10"/>
      <c r="C698" s="10"/>
      <c r="D698" s="10"/>
      <c r="E698" s="10"/>
      <c r="F698" s="9"/>
    </row>
    <row r="699">
      <c r="A699" s="10"/>
      <c r="B699" s="10"/>
      <c r="C699" s="10"/>
      <c r="D699" s="10"/>
      <c r="E699" s="10"/>
      <c r="F699" s="9"/>
    </row>
    <row r="700">
      <c r="A700" s="10"/>
      <c r="B700" s="10"/>
      <c r="C700" s="10"/>
      <c r="D700" s="10"/>
      <c r="E700" s="10"/>
      <c r="F700" s="9"/>
    </row>
    <row r="701">
      <c r="A701" s="10"/>
      <c r="B701" s="10"/>
      <c r="C701" s="10"/>
      <c r="D701" s="10"/>
      <c r="E701" s="10"/>
      <c r="F701" s="9"/>
    </row>
    <row r="702">
      <c r="A702" s="10"/>
      <c r="B702" s="10"/>
      <c r="C702" s="10"/>
      <c r="D702" s="10"/>
      <c r="E702" s="10"/>
      <c r="F702" s="9"/>
    </row>
    <row r="703">
      <c r="A703" s="10"/>
      <c r="B703" s="10"/>
      <c r="C703" s="10"/>
      <c r="D703" s="10"/>
      <c r="E703" s="10"/>
      <c r="F703" s="9"/>
    </row>
    <row r="704">
      <c r="A704" s="10"/>
      <c r="B704" s="10"/>
      <c r="C704" s="10"/>
      <c r="D704" s="10"/>
      <c r="E704" s="10"/>
      <c r="F704" s="9"/>
    </row>
    <row r="705">
      <c r="A705" s="10"/>
      <c r="B705" s="10"/>
      <c r="C705" s="10"/>
      <c r="D705" s="10"/>
      <c r="E705" s="10"/>
      <c r="F705" s="9"/>
    </row>
    <row r="706">
      <c r="A706" s="10"/>
      <c r="B706" s="10"/>
      <c r="C706" s="10"/>
      <c r="D706" s="10"/>
      <c r="E706" s="10"/>
      <c r="F706" s="9"/>
    </row>
    <row r="707">
      <c r="A707" s="10"/>
      <c r="B707" s="10"/>
      <c r="C707" s="10"/>
      <c r="D707" s="10"/>
      <c r="E707" s="10"/>
      <c r="F707" s="9"/>
    </row>
    <row r="708">
      <c r="A708" s="10"/>
      <c r="B708" s="10"/>
      <c r="C708" s="10"/>
      <c r="D708" s="10"/>
      <c r="E708" s="10"/>
      <c r="F708" s="9"/>
    </row>
    <row r="709">
      <c r="A709" s="10"/>
      <c r="B709" s="10"/>
      <c r="C709" s="10"/>
      <c r="D709" s="10"/>
      <c r="E709" s="10"/>
      <c r="F709" s="9"/>
    </row>
    <row r="710">
      <c r="A710" s="10"/>
      <c r="B710" s="10"/>
      <c r="C710" s="10"/>
      <c r="D710" s="10"/>
      <c r="E710" s="10"/>
      <c r="F710" s="9"/>
    </row>
    <row r="711">
      <c r="A711" s="10"/>
      <c r="B711" s="10"/>
      <c r="C711" s="10"/>
      <c r="D711" s="10"/>
      <c r="E711" s="10"/>
      <c r="F711" s="9"/>
    </row>
    <row r="712">
      <c r="A712" s="10"/>
      <c r="B712" s="10"/>
      <c r="C712" s="10"/>
      <c r="D712" s="10"/>
      <c r="E712" s="10"/>
      <c r="F712" s="9"/>
    </row>
    <row r="713">
      <c r="A713" s="10"/>
      <c r="B713" s="10"/>
      <c r="C713" s="10"/>
      <c r="D713" s="10"/>
      <c r="E713" s="10"/>
      <c r="F713" s="9"/>
    </row>
    <row r="714">
      <c r="A714" s="10"/>
      <c r="B714" s="10"/>
      <c r="C714" s="10"/>
      <c r="D714" s="10"/>
      <c r="E714" s="10"/>
      <c r="F714" s="9"/>
    </row>
    <row r="715">
      <c r="A715" s="10"/>
      <c r="B715" s="10"/>
      <c r="C715" s="10"/>
      <c r="D715" s="10"/>
      <c r="E715" s="10"/>
      <c r="F715" s="9"/>
    </row>
    <row r="716">
      <c r="A716" s="10"/>
      <c r="B716" s="10"/>
      <c r="C716" s="10"/>
      <c r="D716" s="10"/>
      <c r="E716" s="10"/>
      <c r="F716" s="9"/>
    </row>
    <row r="717">
      <c r="A717" s="10"/>
      <c r="B717" s="10"/>
      <c r="C717" s="10"/>
      <c r="D717" s="10"/>
      <c r="E717" s="10"/>
      <c r="F717" s="9"/>
    </row>
    <row r="718">
      <c r="A718" s="10"/>
      <c r="B718" s="10"/>
      <c r="C718" s="10"/>
      <c r="D718" s="10"/>
      <c r="E718" s="10"/>
      <c r="F718" s="9"/>
    </row>
    <row r="719">
      <c r="A719" s="10"/>
      <c r="B719" s="10"/>
      <c r="C719" s="10"/>
      <c r="D719" s="10"/>
      <c r="E719" s="10"/>
      <c r="F719" s="9"/>
    </row>
    <row r="720">
      <c r="A720" s="10"/>
      <c r="B720" s="10"/>
      <c r="C720" s="10"/>
      <c r="D720" s="10"/>
      <c r="E720" s="10"/>
      <c r="F720" s="9"/>
    </row>
    <row r="721">
      <c r="A721" s="10"/>
      <c r="B721" s="10"/>
      <c r="C721" s="10"/>
      <c r="D721" s="10"/>
      <c r="E721" s="10"/>
      <c r="F721" s="9"/>
    </row>
    <row r="722">
      <c r="A722" s="10"/>
      <c r="B722" s="10"/>
      <c r="C722" s="10"/>
      <c r="D722" s="10"/>
      <c r="E722" s="10"/>
      <c r="F722" s="9"/>
    </row>
    <row r="723">
      <c r="A723" s="10"/>
      <c r="B723" s="10"/>
      <c r="C723" s="10"/>
      <c r="D723" s="10"/>
      <c r="E723" s="10"/>
      <c r="F723" s="9"/>
    </row>
    <row r="724">
      <c r="A724" s="10"/>
      <c r="B724" s="10"/>
      <c r="C724" s="10"/>
      <c r="D724" s="10"/>
      <c r="E724" s="10"/>
      <c r="F724" s="9"/>
    </row>
    <row r="725">
      <c r="A725" s="10"/>
      <c r="B725" s="10"/>
      <c r="C725" s="10"/>
      <c r="D725" s="10"/>
      <c r="E725" s="10"/>
      <c r="F725" s="9"/>
    </row>
    <row r="726">
      <c r="A726" s="10"/>
      <c r="B726" s="10"/>
      <c r="C726" s="10"/>
      <c r="D726" s="10"/>
      <c r="E726" s="10"/>
      <c r="F726" s="9"/>
    </row>
    <row r="727">
      <c r="A727" s="10"/>
      <c r="B727" s="10"/>
      <c r="C727" s="10"/>
      <c r="D727" s="10"/>
      <c r="E727" s="10"/>
      <c r="F727" s="9"/>
    </row>
    <row r="728">
      <c r="A728" s="10"/>
      <c r="B728" s="10"/>
      <c r="C728" s="10"/>
      <c r="D728" s="10"/>
      <c r="E728" s="10"/>
      <c r="F728" s="9"/>
    </row>
    <row r="729">
      <c r="A729" s="10"/>
      <c r="B729" s="10"/>
      <c r="C729" s="10"/>
      <c r="D729" s="10"/>
      <c r="E729" s="10"/>
      <c r="F729" s="9"/>
    </row>
    <row r="730">
      <c r="A730" s="10"/>
      <c r="B730" s="10"/>
      <c r="C730" s="10"/>
      <c r="D730" s="10"/>
      <c r="E730" s="10"/>
      <c r="F730" s="9"/>
    </row>
    <row r="731">
      <c r="A731" s="10"/>
      <c r="B731" s="10"/>
      <c r="C731" s="10"/>
      <c r="D731" s="10"/>
      <c r="E731" s="10"/>
      <c r="F731" s="9"/>
    </row>
    <row r="732">
      <c r="A732" s="10"/>
      <c r="B732" s="10"/>
      <c r="C732" s="10"/>
      <c r="D732" s="10"/>
      <c r="E732" s="10"/>
      <c r="F732" s="9"/>
    </row>
    <row r="733">
      <c r="A733" s="10"/>
      <c r="B733" s="10"/>
      <c r="C733" s="10"/>
      <c r="D733" s="10"/>
      <c r="E733" s="10"/>
      <c r="F733" s="9"/>
    </row>
    <row r="734">
      <c r="A734" s="10"/>
      <c r="B734" s="10"/>
      <c r="C734" s="10"/>
      <c r="D734" s="10"/>
      <c r="E734" s="10"/>
      <c r="F734" s="9"/>
    </row>
    <row r="735">
      <c r="A735" s="10"/>
      <c r="B735" s="10"/>
      <c r="C735" s="10"/>
      <c r="D735" s="10"/>
      <c r="E735" s="10"/>
      <c r="F735" s="9"/>
    </row>
    <row r="736">
      <c r="A736" s="10"/>
      <c r="B736" s="10"/>
      <c r="C736" s="10"/>
      <c r="D736" s="10"/>
      <c r="E736" s="10"/>
      <c r="F736" s="9"/>
    </row>
    <row r="737">
      <c r="A737" s="10"/>
      <c r="B737" s="10"/>
      <c r="C737" s="10"/>
      <c r="D737" s="10"/>
      <c r="E737" s="10"/>
      <c r="F737" s="9"/>
    </row>
    <row r="738">
      <c r="A738" s="10"/>
      <c r="B738" s="10"/>
      <c r="C738" s="10"/>
      <c r="D738" s="10"/>
      <c r="E738" s="10"/>
      <c r="F738" s="9"/>
    </row>
    <row r="739">
      <c r="A739" s="10"/>
      <c r="B739" s="10"/>
      <c r="C739" s="10"/>
      <c r="D739" s="10"/>
      <c r="E739" s="10"/>
      <c r="F739" s="9"/>
    </row>
    <row r="740">
      <c r="A740" s="10"/>
      <c r="B740" s="10"/>
      <c r="C740" s="10"/>
      <c r="D740" s="10"/>
      <c r="E740" s="10"/>
      <c r="F740" s="9"/>
    </row>
    <row r="741">
      <c r="A741" s="10"/>
      <c r="B741" s="10"/>
      <c r="C741" s="10"/>
      <c r="D741" s="10"/>
      <c r="E741" s="10"/>
      <c r="F741" s="9"/>
    </row>
    <row r="742">
      <c r="A742" s="10"/>
      <c r="B742" s="10"/>
      <c r="C742" s="10"/>
      <c r="D742" s="10"/>
      <c r="E742" s="10"/>
      <c r="F742" s="9"/>
    </row>
    <row r="743">
      <c r="A743" s="10"/>
      <c r="B743" s="10"/>
      <c r="C743" s="10"/>
      <c r="D743" s="10"/>
      <c r="E743" s="10"/>
      <c r="F743" s="9"/>
    </row>
    <row r="744">
      <c r="A744" s="10"/>
      <c r="B744" s="10"/>
      <c r="C744" s="10"/>
      <c r="D744" s="10"/>
      <c r="E744" s="10"/>
      <c r="F744" s="9"/>
    </row>
    <row r="745">
      <c r="A745" s="10"/>
      <c r="B745" s="10"/>
      <c r="C745" s="10"/>
      <c r="D745" s="10"/>
      <c r="E745" s="10"/>
      <c r="F745" s="9"/>
    </row>
    <row r="746">
      <c r="A746" s="10"/>
      <c r="B746" s="10"/>
      <c r="C746" s="10"/>
      <c r="D746" s="10"/>
      <c r="E746" s="10"/>
      <c r="F746" s="9"/>
    </row>
    <row r="747">
      <c r="A747" s="10"/>
      <c r="B747" s="10"/>
      <c r="C747" s="10"/>
      <c r="D747" s="10"/>
      <c r="E747" s="10"/>
      <c r="F747" s="9"/>
    </row>
    <row r="748">
      <c r="A748" s="10"/>
      <c r="B748" s="10"/>
      <c r="C748" s="10"/>
      <c r="D748" s="10"/>
      <c r="E748" s="10"/>
      <c r="F748" s="9"/>
    </row>
    <row r="749">
      <c r="A749" s="10"/>
      <c r="B749" s="10"/>
      <c r="C749" s="10"/>
      <c r="D749" s="10"/>
      <c r="E749" s="10"/>
      <c r="F749" s="9"/>
    </row>
    <row r="750">
      <c r="A750" s="10"/>
      <c r="B750" s="10"/>
      <c r="C750" s="10"/>
      <c r="D750" s="10"/>
      <c r="E750" s="10"/>
      <c r="F750" s="9"/>
    </row>
    <row r="751">
      <c r="A751" s="10"/>
      <c r="B751" s="10"/>
      <c r="C751" s="10"/>
      <c r="D751" s="10"/>
      <c r="E751" s="10"/>
      <c r="F751" s="9"/>
    </row>
    <row r="752">
      <c r="A752" s="10"/>
      <c r="B752" s="10"/>
      <c r="C752" s="10"/>
      <c r="D752" s="10"/>
      <c r="E752" s="10"/>
      <c r="F752" s="9"/>
    </row>
    <row r="753">
      <c r="A753" s="10"/>
      <c r="B753" s="10"/>
      <c r="C753" s="10"/>
      <c r="D753" s="10"/>
      <c r="E753" s="10"/>
      <c r="F753" s="9"/>
    </row>
    <row r="754">
      <c r="A754" s="10"/>
      <c r="B754" s="10"/>
      <c r="C754" s="10"/>
      <c r="D754" s="10"/>
      <c r="E754" s="10"/>
      <c r="F754" s="9"/>
    </row>
    <row r="755">
      <c r="A755" s="10"/>
      <c r="B755" s="10"/>
      <c r="C755" s="10"/>
      <c r="D755" s="10"/>
      <c r="E755" s="10"/>
      <c r="F755" s="9"/>
    </row>
    <row r="756">
      <c r="A756" s="10"/>
      <c r="B756" s="10"/>
      <c r="C756" s="10"/>
      <c r="D756" s="10"/>
      <c r="E756" s="10"/>
      <c r="F756" s="9"/>
    </row>
    <row r="757">
      <c r="A757" s="10"/>
      <c r="B757" s="10"/>
      <c r="C757" s="10"/>
      <c r="D757" s="10"/>
      <c r="E757" s="10"/>
      <c r="F757" s="9"/>
    </row>
    <row r="758">
      <c r="A758" s="10"/>
      <c r="B758" s="10"/>
      <c r="C758" s="10"/>
      <c r="D758" s="10"/>
      <c r="E758" s="10"/>
      <c r="F758" s="9"/>
    </row>
    <row r="759">
      <c r="A759" s="10"/>
      <c r="B759" s="10"/>
      <c r="C759" s="10"/>
      <c r="D759" s="10"/>
      <c r="E759" s="10"/>
      <c r="F759" s="9"/>
    </row>
    <row r="760">
      <c r="A760" s="10"/>
      <c r="B760" s="10"/>
      <c r="C760" s="10"/>
      <c r="D760" s="10"/>
      <c r="E760" s="10"/>
      <c r="F760" s="9"/>
    </row>
    <row r="761">
      <c r="A761" s="10"/>
      <c r="B761" s="10"/>
      <c r="C761" s="10"/>
      <c r="D761" s="10"/>
      <c r="E761" s="10"/>
      <c r="F761" s="9"/>
    </row>
    <row r="762">
      <c r="A762" s="10"/>
      <c r="B762" s="10"/>
      <c r="C762" s="10"/>
      <c r="D762" s="10"/>
      <c r="E762" s="10"/>
      <c r="F762" s="9"/>
    </row>
    <row r="763">
      <c r="A763" s="10"/>
      <c r="B763" s="10"/>
      <c r="C763" s="10"/>
      <c r="D763" s="10"/>
      <c r="E763" s="10"/>
      <c r="F763" s="9"/>
    </row>
    <row r="764">
      <c r="A764" s="10"/>
      <c r="B764" s="10"/>
      <c r="C764" s="10"/>
      <c r="D764" s="10"/>
      <c r="E764" s="10"/>
      <c r="F764" s="9"/>
    </row>
    <row r="765">
      <c r="A765" s="10"/>
      <c r="B765" s="10"/>
      <c r="C765" s="10"/>
      <c r="D765" s="10"/>
      <c r="E765" s="10"/>
      <c r="F765" s="9"/>
    </row>
    <row r="766">
      <c r="A766" s="10"/>
      <c r="B766" s="10"/>
      <c r="C766" s="10"/>
      <c r="D766" s="10"/>
      <c r="E766" s="10"/>
      <c r="F766" s="9"/>
    </row>
    <row r="767">
      <c r="A767" s="10"/>
      <c r="B767" s="10"/>
      <c r="C767" s="10"/>
      <c r="D767" s="10"/>
      <c r="E767" s="10"/>
      <c r="F767" s="9"/>
    </row>
    <row r="768">
      <c r="A768" s="10"/>
      <c r="B768" s="10"/>
      <c r="C768" s="10"/>
      <c r="D768" s="10"/>
      <c r="E768" s="10"/>
      <c r="F768" s="9"/>
    </row>
    <row r="769">
      <c r="A769" s="10"/>
      <c r="B769" s="10"/>
      <c r="C769" s="10"/>
      <c r="D769" s="10"/>
      <c r="E769" s="10"/>
      <c r="F769" s="9"/>
    </row>
    <row r="770">
      <c r="A770" s="10"/>
      <c r="B770" s="10"/>
      <c r="C770" s="10"/>
      <c r="D770" s="10"/>
      <c r="E770" s="10"/>
      <c r="F770" s="9"/>
    </row>
    <row r="771">
      <c r="A771" s="10"/>
      <c r="B771" s="10"/>
      <c r="C771" s="10"/>
      <c r="D771" s="10"/>
      <c r="E771" s="10"/>
      <c r="F771" s="9"/>
    </row>
    <row r="772">
      <c r="A772" s="10"/>
      <c r="B772" s="10"/>
      <c r="C772" s="10"/>
      <c r="D772" s="10"/>
      <c r="E772" s="10"/>
      <c r="F772" s="9"/>
    </row>
    <row r="773">
      <c r="A773" s="10"/>
      <c r="B773" s="10"/>
      <c r="C773" s="10"/>
      <c r="D773" s="10"/>
      <c r="E773" s="10"/>
      <c r="F773" s="9"/>
    </row>
    <row r="774">
      <c r="A774" s="10"/>
      <c r="B774" s="10"/>
      <c r="C774" s="10"/>
      <c r="D774" s="10"/>
      <c r="E774" s="10"/>
      <c r="F774" s="9"/>
    </row>
    <row r="775">
      <c r="A775" s="10"/>
      <c r="B775" s="10"/>
      <c r="C775" s="10"/>
      <c r="D775" s="10"/>
      <c r="E775" s="10"/>
      <c r="F775" s="9"/>
    </row>
    <row r="776">
      <c r="A776" s="10"/>
      <c r="B776" s="10"/>
      <c r="C776" s="10"/>
      <c r="D776" s="10"/>
      <c r="E776" s="10"/>
      <c r="F776" s="9"/>
    </row>
    <row r="777">
      <c r="A777" s="10"/>
      <c r="B777" s="10"/>
      <c r="C777" s="10"/>
      <c r="D777" s="10"/>
      <c r="E777" s="10"/>
      <c r="F777" s="9"/>
    </row>
    <row r="778">
      <c r="A778" s="10"/>
      <c r="B778" s="10"/>
      <c r="C778" s="10"/>
      <c r="D778" s="10"/>
      <c r="E778" s="10"/>
      <c r="F778" s="9"/>
    </row>
    <row r="779">
      <c r="A779" s="10"/>
      <c r="B779" s="10"/>
      <c r="C779" s="10"/>
      <c r="D779" s="10"/>
      <c r="E779" s="10"/>
      <c r="F779" s="9"/>
    </row>
    <row r="780">
      <c r="A780" s="10"/>
      <c r="B780" s="10"/>
      <c r="C780" s="10"/>
      <c r="D780" s="10"/>
      <c r="E780" s="10"/>
      <c r="F780" s="9"/>
    </row>
    <row r="781">
      <c r="A781" s="10"/>
      <c r="B781" s="10"/>
      <c r="C781" s="10"/>
      <c r="D781" s="10"/>
      <c r="E781" s="10"/>
      <c r="F781" s="9"/>
    </row>
    <row r="782">
      <c r="A782" s="10"/>
      <c r="B782" s="10"/>
      <c r="C782" s="10"/>
      <c r="D782" s="10"/>
      <c r="E782" s="10"/>
      <c r="F782" s="9"/>
    </row>
    <row r="783">
      <c r="A783" s="10"/>
      <c r="B783" s="10"/>
      <c r="C783" s="10"/>
      <c r="D783" s="10"/>
      <c r="E783" s="10"/>
      <c r="F783" s="9"/>
    </row>
    <row r="784">
      <c r="A784" s="10"/>
      <c r="B784" s="10"/>
      <c r="C784" s="10"/>
      <c r="D784" s="10"/>
      <c r="E784" s="10"/>
      <c r="F784" s="9"/>
    </row>
    <row r="785">
      <c r="A785" s="10"/>
      <c r="B785" s="10"/>
      <c r="C785" s="10"/>
      <c r="D785" s="10"/>
      <c r="E785" s="10"/>
      <c r="F785" s="9"/>
    </row>
    <row r="786">
      <c r="A786" s="10"/>
      <c r="B786" s="10"/>
      <c r="C786" s="10"/>
      <c r="D786" s="10"/>
      <c r="E786" s="10"/>
      <c r="F786" s="9"/>
    </row>
    <row r="787">
      <c r="A787" s="10"/>
      <c r="B787" s="10"/>
      <c r="C787" s="10"/>
      <c r="D787" s="10"/>
      <c r="E787" s="10"/>
      <c r="F787" s="9"/>
    </row>
    <row r="788">
      <c r="A788" s="10"/>
      <c r="B788" s="10"/>
      <c r="C788" s="10"/>
      <c r="D788" s="10"/>
      <c r="E788" s="10"/>
      <c r="F788" s="9"/>
    </row>
    <row r="789">
      <c r="A789" s="10"/>
      <c r="B789" s="10"/>
      <c r="C789" s="10"/>
      <c r="D789" s="10"/>
      <c r="E789" s="10"/>
      <c r="F789" s="9"/>
    </row>
    <row r="790">
      <c r="A790" s="10"/>
      <c r="B790" s="10"/>
      <c r="C790" s="10"/>
      <c r="D790" s="10"/>
      <c r="E790" s="10"/>
      <c r="F790" s="9"/>
    </row>
    <row r="791">
      <c r="A791" s="10"/>
      <c r="B791" s="10"/>
      <c r="C791" s="10"/>
      <c r="D791" s="10"/>
      <c r="E791" s="10"/>
      <c r="F791" s="9"/>
    </row>
    <row r="792">
      <c r="A792" s="10"/>
      <c r="B792" s="10"/>
      <c r="C792" s="10"/>
      <c r="D792" s="10"/>
      <c r="E792" s="10"/>
      <c r="F792" s="9"/>
    </row>
    <row r="793">
      <c r="A793" s="10"/>
      <c r="B793" s="10"/>
      <c r="C793" s="10"/>
      <c r="D793" s="10"/>
      <c r="E793" s="10"/>
      <c r="F793" s="9"/>
    </row>
    <row r="794">
      <c r="A794" s="10"/>
      <c r="B794" s="10"/>
      <c r="C794" s="10"/>
      <c r="D794" s="10"/>
      <c r="E794" s="10"/>
      <c r="F794" s="9"/>
    </row>
    <row r="795">
      <c r="A795" s="10"/>
      <c r="B795" s="10"/>
      <c r="C795" s="10"/>
      <c r="D795" s="10"/>
      <c r="E795" s="10"/>
      <c r="F795" s="9"/>
    </row>
    <row r="796">
      <c r="A796" s="10"/>
      <c r="B796" s="10"/>
      <c r="C796" s="10"/>
      <c r="D796" s="10"/>
      <c r="E796" s="10"/>
      <c r="F796" s="9"/>
    </row>
    <row r="797">
      <c r="A797" s="10"/>
      <c r="B797" s="10"/>
      <c r="C797" s="10"/>
      <c r="D797" s="10"/>
      <c r="E797" s="10"/>
      <c r="F797" s="9"/>
    </row>
    <row r="798">
      <c r="A798" s="10"/>
      <c r="B798" s="10"/>
      <c r="C798" s="10"/>
      <c r="D798" s="10"/>
      <c r="E798" s="10"/>
      <c r="F798" s="9"/>
    </row>
    <row r="799">
      <c r="A799" s="10"/>
      <c r="B799" s="10"/>
      <c r="C799" s="10"/>
      <c r="D799" s="10"/>
      <c r="E799" s="10"/>
      <c r="F799" s="9"/>
    </row>
    <row r="800">
      <c r="A800" s="10"/>
      <c r="B800" s="10"/>
      <c r="C800" s="10"/>
      <c r="D800" s="10"/>
      <c r="E800" s="10"/>
      <c r="F800" s="9"/>
    </row>
    <row r="801">
      <c r="A801" s="10"/>
      <c r="B801" s="10"/>
      <c r="C801" s="10"/>
      <c r="D801" s="10"/>
      <c r="E801" s="10"/>
      <c r="F801" s="9"/>
    </row>
    <row r="802">
      <c r="A802" s="10"/>
      <c r="B802" s="10"/>
      <c r="C802" s="10"/>
      <c r="D802" s="10"/>
      <c r="E802" s="10"/>
      <c r="F802" s="9"/>
    </row>
    <row r="803">
      <c r="A803" s="10"/>
      <c r="B803" s="10"/>
      <c r="C803" s="10"/>
      <c r="D803" s="10"/>
      <c r="E803" s="10"/>
      <c r="F803" s="9"/>
    </row>
    <row r="804">
      <c r="A804" s="10"/>
      <c r="B804" s="10"/>
      <c r="C804" s="10"/>
      <c r="D804" s="10"/>
      <c r="E804" s="10"/>
      <c r="F804" s="9"/>
    </row>
    <row r="805">
      <c r="A805" s="10"/>
      <c r="B805" s="10"/>
      <c r="C805" s="10"/>
      <c r="D805" s="10"/>
      <c r="E805" s="10"/>
      <c r="F805" s="9"/>
    </row>
    <row r="806">
      <c r="A806" s="10"/>
      <c r="B806" s="10"/>
      <c r="C806" s="10"/>
      <c r="D806" s="10"/>
      <c r="E806" s="10"/>
      <c r="F806" s="9"/>
    </row>
    <row r="807">
      <c r="A807" s="10"/>
      <c r="B807" s="10"/>
      <c r="C807" s="10"/>
      <c r="D807" s="10"/>
      <c r="E807" s="10"/>
      <c r="F807" s="9"/>
    </row>
    <row r="808">
      <c r="A808" s="10"/>
      <c r="B808" s="10"/>
      <c r="C808" s="10"/>
      <c r="D808" s="10"/>
      <c r="E808" s="10"/>
      <c r="F808" s="9"/>
    </row>
    <row r="809">
      <c r="A809" s="10"/>
      <c r="B809" s="10"/>
      <c r="C809" s="10"/>
      <c r="D809" s="10"/>
      <c r="E809" s="10"/>
      <c r="F809" s="9"/>
    </row>
    <row r="810">
      <c r="A810" s="10"/>
      <c r="B810" s="10"/>
      <c r="C810" s="10"/>
      <c r="D810" s="10"/>
      <c r="E810" s="10"/>
      <c r="F810" s="9"/>
    </row>
    <row r="811">
      <c r="A811" s="10"/>
      <c r="B811" s="10"/>
      <c r="C811" s="10"/>
      <c r="D811" s="10"/>
      <c r="E811" s="10"/>
      <c r="F811" s="9"/>
    </row>
    <row r="812">
      <c r="A812" s="10"/>
      <c r="B812" s="10"/>
      <c r="C812" s="10"/>
      <c r="D812" s="10"/>
      <c r="E812" s="10"/>
      <c r="F812" s="9"/>
    </row>
    <row r="813">
      <c r="A813" s="10"/>
      <c r="B813" s="10"/>
      <c r="C813" s="10"/>
      <c r="D813" s="10"/>
      <c r="E813" s="10"/>
      <c r="F813" s="9"/>
    </row>
    <row r="814">
      <c r="A814" s="10"/>
      <c r="B814" s="10"/>
      <c r="C814" s="10"/>
      <c r="D814" s="10"/>
      <c r="E814" s="10"/>
      <c r="F814" s="9"/>
    </row>
    <row r="815">
      <c r="A815" s="10"/>
      <c r="B815" s="10"/>
      <c r="C815" s="10"/>
      <c r="D815" s="10"/>
      <c r="E815" s="10"/>
      <c r="F815" s="9"/>
    </row>
    <row r="816">
      <c r="A816" s="10"/>
      <c r="B816" s="10"/>
      <c r="C816" s="10"/>
      <c r="D816" s="10"/>
      <c r="E816" s="10"/>
      <c r="F816" s="9"/>
    </row>
    <row r="817">
      <c r="A817" s="10"/>
      <c r="B817" s="10"/>
      <c r="C817" s="10"/>
      <c r="D817" s="10"/>
      <c r="E817" s="10"/>
      <c r="F817" s="9"/>
    </row>
    <row r="818">
      <c r="A818" s="10"/>
      <c r="B818" s="10"/>
      <c r="C818" s="10"/>
      <c r="D818" s="10"/>
      <c r="E818" s="10"/>
      <c r="F818" s="9"/>
    </row>
    <row r="819">
      <c r="A819" s="10"/>
      <c r="B819" s="10"/>
      <c r="C819" s="10"/>
      <c r="D819" s="10"/>
      <c r="E819" s="10"/>
      <c r="F819" s="9"/>
    </row>
    <row r="820">
      <c r="A820" s="10"/>
      <c r="B820" s="10"/>
      <c r="C820" s="10"/>
      <c r="D820" s="10"/>
      <c r="E820" s="10"/>
      <c r="F820" s="9"/>
    </row>
    <row r="821">
      <c r="A821" s="10"/>
      <c r="B821" s="10"/>
      <c r="C821" s="10"/>
      <c r="D821" s="10"/>
      <c r="E821" s="10"/>
      <c r="F821" s="9"/>
    </row>
    <row r="822">
      <c r="A822" s="10"/>
      <c r="B822" s="10"/>
      <c r="C822" s="10"/>
      <c r="D822" s="10"/>
      <c r="E822" s="10"/>
      <c r="F822" s="9"/>
    </row>
    <row r="823">
      <c r="A823" s="10"/>
      <c r="B823" s="10"/>
      <c r="C823" s="10"/>
      <c r="D823" s="10"/>
      <c r="E823" s="10"/>
      <c r="F823" s="9"/>
    </row>
    <row r="824">
      <c r="A824" s="10"/>
      <c r="B824" s="10"/>
      <c r="C824" s="10"/>
      <c r="D824" s="10"/>
      <c r="E824" s="10"/>
      <c r="F824" s="9"/>
    </row>
    <row r="825">
      <c r="A825" s="10"/>
      <c r="B825" s="10"/>
      <c r="C825" s="10"/>
      <c r="D825" s="10"/>
      <c r="E825" s="10"/>
      <c r="F825" s="9"/>
    </row>
    <row r="826">
      <c r="A826" s="10"/>
      <c r="B826" s="10"/>
      <c r="C826" s="10"/>
      <c r="D826" s="10"/>
      <c r="E826" s="10"/>
      <c r="F826" s="9"/>
    </row>
    <row r="827">
      <c r="A827" s="10"/>
      <c r="B827" s="10"/>
      <c r="C827" s="10"/>
      <c r="D827" s="10"/>
      <c r="E827" s="10"/>
      <c r="F827" s="9"/>
    </row>
    <row r="828">
      <c r="A828" s="10"/>
      <c r="B828" s="10"/>
      <c r="C828" s="10"/>
      <c r="D828" s="10"/>
      <c r="E828" s="10"/>
      <c r="F828" s="9"/>
    </row>
    <row r="829">
      <c r="A829" s="10"/>
      <c r="B829" s="10"/>
      <c r="C829" s="10"/>
      <c r="D829" s="10"/>
      <c r="E829" s="10"/>
      <c r="F829" s="9"/>
    </row>
    <row r="830">
      <c r="A830" s="10"/>
      <c r="B830" s="10"/>
      <c r="C830" s="10"/>
      <c r="D830" s="10"/>
      <c r="E830" s="10"/>
      <c r="F830" s="9"/>
    </row>
    <row r="831">
      <c r="A831" s="10"/>
      <c r="B831" s="10"/>
      <c r="C831" s="10"/>
      <c r="D831" s="10"/>
      <c r="E831" s="10"/>
      <c r="F831" s="9"/>
    </row>
    <row r="832">
      <c r="A832" s="10"/>
      <c r="B832" s="10"/>
      <c r="C832" s="10"/>
      <c r="D832" s="10"/>
      <c r="E832" s="10"/>
      <c r="F832" s="9"/>
    </row>
    <row r="833">
      <c r="A833" s="10"/>
      <c r="B833" s="10"/>
      <c r="C833" s="10"/>
      <c r="D833" s="10"/>
      <c r="E833" s="10"/>
      <c r="F833" s="9"/>
    </row>
    <row r="834">
      <c r="A834" s="10"/>
      <c r="B834" s="10"/>
      <c r="C834" s="10"/>
      <c r="D834" s="10"/>
      <c r="E834" s="10"/>
      <c r="F834" s="9"/>
    </row>
    <row r="835">
      <c r="A835" s="10"/>
      <c r="B835" s="10"/>
      <c r="C835" s="10"/>
      <c r="D835" s="10"/>
      <c r="E835" s="10"/>
      <c r="F835" s="9"/>
    </row>
    <row r="836">
      <c r="A836" s="10"/>
      <c r="B836" s="10"/>
      <c r="C836" s="10"/>
      <c r="D836" s="10"/>
      <c r="E836" s="10"/>
      <c r="F836" s="9"/>
    </row>
    <row r="837">
      <c r="A837" s="10"/>
      <c r="B837" s="10"/>
      <c r="C837" s="10"/>
      <c r="D837" s="10"/>
      <c r="E837" s="10"/>
      <c r="F837" s="9"/>
    </row>
    <row r="838">
      <c r="A838" s="10"/>
      <c r="B838" s="10"/>
      <c r="C838" s="10"/>
      <c r="D838" s="10"/>
      <c r="E838" s="10"/>
      <c r="F838" s="9"/>
    </row>
    <row r="839">
      <c r="A839" s="10"/>
      <c r="B839" s="10"/>
      <c r="C839" s="10"/>
      <c r="D839" s="10"/>
      <c r="E839" s="10"/>
      <c r="F839" s="9"/>
    </row>
    <row r="840">
      <c r="A840" s="10"/>
      <c r="B840" s="10"/>
      <c r="C840" s="10"/>
      <c r="D840" s="10"/>
      <c r="E840" s="10"/>
      <c r="F840" s="9"/>
    </row>
    <row r="841">
      <c r="A841" s="10"/>
      <c r="B841" s="10"/>
      <c r="C841" s="10"/>
      <c r="D841" s="10"/>
      <c r="E841" s="10"/>
      <c r="F841" s="9"/>
    </row>
    <row r="842">
      <c r="A842" s="10"/>
      <c r="B842" s="10"/>
      <c r="C842" s="10"/>
      <c r="D842" s="10"/>
      <c r="E842" s="10"/>
      <c r="F842" s="9"/>
    </row>
    <row r="843">
      <c r="A843" s="10"/>
      <c r="B843" s="10"/>
      <c r="C843" s="10"/>
      <c r="D843" s="10"/>
      <c r="E843" s="10"/>
      <c r="F843" s="9"/>
    </row>
    <row r="844">
      <c r="A844" s="10"/>
      <c r="B844" s="10"/>
      <c r="C844" s="10"/>
      <c r="D844" s="10"/>
      <c r="E844" s="10"/>
      <c r="F844" s="9"/>
    </row>
    <row r="845">
      <c r="A845" s="10"/>
      <c r="B845" s="10"/>
      <c r="C845" s="10"/>
      <c r="D845" s="10"/>
      <c r="E845" s="10"/>
      <c r="F845" s="9"/>
    </row>
    <row r="846">
      <c r="A846" s="10"/>
      <c r="B846" s="10"/>
      <c r="C846" s="10"/>
      <c r="D846" s="10"/>
      <c r="E846" s="10"/>
      <c r="F846" s="9"/>
    </row>
    <row r="847">
      <c r="A847" s="10"/>
      <c r="B847" s="10"/>
      <c r="C847" s="10"/>
      <c r="D847" s="10"/>
      <c r="E847" s="10"/>
      <c r="F847" s="9"/>
    </row>
    <row r="848">
      <c r="A848" s="10"/>
      <c r="B848" s="10"/>
      <c r="C848" s="10"/>
      <c r="D848" s="10"/>
      <c r="E848" s="10"/>
      <c r="F848" s="9"/>
    </row>
    <row r="849">
      <c r="A849" s="10"/>
      <c r="B849" s="10"/>
      <c r="C849" s="10"/>
      <c r="D849" s="10"/>
      <c r="E849" s="10"/>
      <c r="F849" s="9"/>
    </row>
    <row r="850">
      <c r="A850" s="10"/>
      <c r="B850" s="10"/>
      <c r="C850" s="10"/>
      <c r="D850" s="10"/>
      <c r="E850" s="10"/>
      <c r="F850" s="9"/>
    </row>
    <row r="851">
      <c r="A851" s="10"/>
      <c r="B851" s="10"/>
      <c r="C851" s="10"/>
      <c r="D851" s="10"/>
      <c r="E851" s="10"/>
      <c r="F851" s="9"/>
    </row>
    <row r="852">
      <c r="A852" s="10"/>
      <c r="B852" s="10"/>
      <c r="C852" s="10"/>
      <c r="D852" s="10"/>
      <c r="E852" s="10"/>
      <c r="F852" s="9"/>
    </row>
    <row r="853">
      <c r="A853" s="10"/>
      <c r="B853" s="10"/>
      <c r="C853" s="10"/>
      <c r="D853" s="10"/>
      <c r="E853" s="10"/>
      <c r="F853" s="9"/>
    </row>
    <row r="854">
      <c r="A854" s="10"/>
      <c r="B854" s="10"/>
      <c r="C854" s="10"/>
      <c r="D854" s="10"/>
      <c r="E854" s="10"/>
      <c r="F854" s="9"/>
    </row>
    <row r="855">
      <c r="A855" s="10"/>
      <c r="B855" s="10"/>
      <c r="C855" s="10"/>
      <c r="D855" s="10"/>
      <c r="E855" s="10"/>
      <c r="F855" s="9"/>
    </row>
    <row r="856">
      <c r="A856" s="10"/>
      <c r="B856" s="10"/>
      <c r="C856" s="10"/>
      <c r="D856" s="10"/>
      <c r="E856" s="10"/>
      <c r="F856" s="9"/>
    </row>
    <row r="857">
      <c r="A857" s="10"/>
      <c r="B857" s="10"/>
      <c r="C857" s="10"/>
      <c r="D857" s="10"/>
      <c r="E857" s="10"/>
      <c r="F857" s="9"/>
    </row>
    <row r="858">
      <c r="A858" s="10"/>
      <c r="B858" s="10"/>
      <c r="C858" s="10"/>
      <c r="D858" s="10"/>
      <c r="E858" s="10"/>
      <c r="F858" s="9"/>
    </row>
    <row r="859">
      <c r="A859" s="10"/>
      <c r="B859" s="10"/>
      <c r="C859" s="10"/>
      <c r="D859" s="10"/>
      <c r="E859" s="10"/>
      <c r="F859" s="9"/>
    </row>
    <row r="860">
      <c r="A860" s="10"/>
      <c r="B860" s="10"/>
      <c r="C860" s="10"/>
      <c r="D860" s="10"/>
      <c r="E860" s="10"/>
      <c r="F860" s="9"/>
    </row>
    <row r="861">
      <c r="A861" s="10"/>
      <c r="B861" s="10"/>
      <c r="C861" s="10"/>
      <c r="D861" s="10"/>
      <c r="E861" s="10"/>
      <c r="F861" s="9"/>
    </row>
    <row r="862">
      <c r="A862" s="10"/>
      <c r="B862" s="10"/>
      <c r="C862" s="10"/>
      <c r="D862" s="10"/>
      <c r="E862" s="10"/>
      <c r="F862" s="9"/>
    </row>
    <row r="863">
      <c r="A863" s="10"/>
      <c r="B863" s="10"/>
      <c r="C863" s="10"/>
      <c r="D863" s="10"/>
      <c r="E863" s="10"/>
      <c r="F863" s="9"/>
    </row>
    <row r="864">
      <c r="A864" s="10"/>
      <c r="B864" s="10"/>
      <c r="C864" s="10"/>
      <c r="D864" s="10"/>
      <c r="E864" s="10"/>
      <c r="F864" s="9"/>
    </row>
    <row r="865">
      <c r="A865" s="10"/>
      <c r="B865" s="10"/>
      <c r="C865" s="10"/>
      <c r="D865" s="10"/>
      <c r="E865" s="10"/>
      <c r="F865" s="9"/>
    </row>
    <row r="866">
      <c r="A866" s="10"/>
      <c r="B866" s="10"/>
      <c r="C866" s="10"/>
      <c r="D866" s="10"/>
      <c r="E866" s="10"/>
      <c r="F866" s="9"/>
    </row>
    <row r="867">
      <c r="A867" s="10"/>
      <c r="B867" s="10"/>
      <c r="C867" s="10"/>
      <c r="D867" s="10"/>
      <c r="E867" s="10"/>
      <c r="F867" s="9"/>
    </row>
    <row r="868">
      <c r="A868" s="10"/>
      <c r="B868" s="10"/>
      <c r="C868" s="10"/>
      <c r="D868" s="10"/>
      <c r="E868" s="10"/>
      <c r="F868" s="9"/>
    </row>
    <row r="869">
      <c r="A869" s="10"/>
      <c r="B869" s="10"/>
      <c r="C869" s="10"/>
      <c r="D869" s="10"/>
      <c r="E869" s="10"/>
      <c r="F869" s="9"/>
    </row>
    <row r="870">
      <c r="A870" s="10"/>
      <c r="B870" s="10"/>
      <c r="C870" s="10"/>
      <c r="D870" s="10"/>
      <c r="E870" s="10"/>
      <c r="F870" s="9"/>
    </row>
    <row r="871">
      <c r="A871" s="10"/>
      <c r="B871" s="10"/>
      <c r="C871" s="10"/>
      <c r="D871" s="10"/>
      <c r="E871" s="10"/>
      <c r="F871" s="9"/>
    </row>
    <row r="872">
      <c r="A872" s="10"/>
      <c r="B872" s="10"/>
      <c r="C872" s="10"/>
      <c r="D872" s="10"/>
      <c r="E872" s="10"/>
      <c r="F872" s="9"/>
    </row>
    <row r="873">
      <c r="A873" s="10"/>
      <c r="B873" s="10"/>
      <c r="C873" s="10"/>
      <c r="D873" s="10"/>
      <c r="E873" s="10"/>
      <c r="F873" s="9"/>
    </row>
    <row r="874">
      <c r="A874" s="10"/>
      <c r="B874" s="10"/>
      <c r="C874" s="10"/>
      <c r="D874" s="10"/>
      <c r="E874" s="10"/>
      <c r="F874" s="9"/>
    </row>
    <row r="875">
      <c r="A875" s="10"/>
      <c r="B875" s="10"/>
      <c r="C875" s="10"/>
      <c r="D875" s="10"/>
      <c r="E875" s="10"/>
      <c r="F875" s="9"/>
    </row>
    <row r="876">
      <c r="A876" s="10"/>
      <c r="B876" s="10"/>
      <c r="C876" s="10"/>
      <c r="D876" s="10"/>
      <c r="E876" s="10"/>
      <c r="F876" s="9"/>
    </row>
    <row r="877">
      <c r="A877" s="10"/>
      <c r="B877" s="10"/>
      <c r="C877" s="10"/>
      <c r="D877" s="10"/>
      <c r="E877" s="10"/>
      <c r="F877" s="9"/>
    </row>
    <row r="878">
      <c r="A878" s="10"/>
      <c r="B878" s="10"/>
      <c r="C878" s="10"/>
      <c r="D878" s="10"/>
      <c r="E878" s="10"/>
      <c r="F878" s="9"/>
    </row>
    <row r="879">
      <c r="A879" s="10"/>
      <c r="B879" s="10"/>
      <c r="C879" s="10"/>
      <c r="D879" s="10"/>
      <c r="E879" s="10"/>
      <c r="F879" s="9"/>
    </row>
    <row r="880">
      <c r="A880" s="10"/>
      <c r="B880" s="10"/>
      <c r="C880" s="10"/>
      <c r="D880" s="10"/>
      <c r="E880" s="10"/>
      <c r="F880" s="9"/>
    </row>
    <row r="881">
      <c r="A881" s="10"/>
      <c r="B881" s="10"/>
      <c r="C881" s="10"/>
      <c r="D881" s="10"/>
      <c r="E881" s="10"/>
      <c r="F881" s="9"/>
    </row>
    <row r="882">
      <c r="A882" s="10"/>
      <c r="B882" s="10"/>
      <c r="C882" s="10"/>
      <c r="D882" s="10"/>
      <c r="E882" s="10"/>
      <c r="F882" s="9"/>
    </row>
    <row r="883">
      <c r="A883" s="10"/>
      <c r="B883" s="10"/>
      <c r="C883" s="10"/>
      <c r="D883" s="10"/>
      <c r="E883" s="10"/>
      <c r="F883" s="9"/>
    </row>
    <row r="884">
      <c r="A884" s="10"/>
      <c r="B884" s="10"/>
      <c r="C884" s="10"/>
      <c r="D884" s="10"/>
      <c r="E884" s="10"/>
      <c r="F884" s="9"/>
    </row>
    <row r="885">
      <c r="A885" s="10"/>
      <c r="B885" s="10"/>
      <c r="C885" s="10"/>
      <c r="D885" s="10"/>
      <c r="E885" s="10"/>
      <c r="F885" s="9"/>
    </row>
    <row r="886">
      <c r="A886" s="10"/>
      <c r="B886" s="10"/>
      <c r="C886" s="10"/>
      <c r="D886" s="10"/>
      <c r="E886" s="10"/>
      <c r="F886" s="9"/>
    </row>
    <row r="887">
      <c r="A887" s="10"/>
      <c r="B887" s="10"/>
      <c r="C887" s="10"/>
      <c r="D887" s="10"/>
      <c r="E887" s="10"/>
      <c r="F887" s="9"/>
    </row>
    <row r="888">
      <c r="A888" s="10"/>
      <c r="B888" s="10"/>
      <c r="C888" s="10"/>
      <c r="D888" s="10"/>
      <c r="E888" s="10"/>
      <c r="F888" s="9"/>
    </row>
    <row r="889">
      <c r="A889" s="10"/>
      <c r="B889" s="10"/>
      <c r="C889" s="10"/>
      <c r="D889" s="10"/>
      <c r="E889" s="10"/>
      <c r="F889" s="9"/>
    </row>
    <row r="890">
      <c r="A890" s="10"/>
      <c r="B890" s="10"/>
      <c r="C890" s="10"/>
      <c r="D890" s="10"/>
      <c r="E890" s="10"/>
      <c r="F890" s="9"/>
    </row>
    <row r="891">
      <c r="A891" s="10"/>
      <c r="B891" s="10"/>
      <c r="C891" s="10"/>
      <c r="D891" s="10"/>
      <c r="E891" s="10"/>
      <c r="F891" s="9"/>
    </row>
    <row r="892">
      <c r="A892" s="10"/>
      <c r="B892" s="10"/>
      <c r="C892" s="10"/>
      <c r="D892" s="10"/>
      <c r="E892" s="10"/>
      <c r="F892" s="9"/>
    </row>
    <row r="893">
      <c r="A893" s="10"/>
      <c r="B893" s="10"/>
      <c r="C893" s="10"/>
      <c r="D893" s="10"/>
      <c r="E893" s="10"/>
      <c r="F893" s="9"/>
    </row>
    <row r="894">
      <c r="A894" s="10"/>
      <c r="B894" s="10"/>
      <c r="C894" s="10"/>
      <c r="D894" s="10"/>
      <c r="E894" s="10"/>
      <c r="F894" s="9"/>
    </row>
    <row r="895">
      <c r="A895" s="10"/>
      <c r="B895" s="10"/>
      <c r="C895" s="10"/>
      <c r="D895" s="10"/>
      <c r="E895" s="10"/>
      <c r="F895" s="9"/>
    </row>
    <row r="896">
      <c r="A896" s="10"/>
      <c r="B896" s="10"/>
      <c r="C896" s="10"/>
      <c r="D896" s="10"/>
      <c r="E896" s="10"/>
      <c r="F896" s="9"/>
    </row>
    <row r="897">
      <c r="A897" s="10"/>
      <c r="B897" s="10"/>
      <c r="C897" s="10"/>
      <c r="D897" s="10"/>
      <c r="E897" s="10"/>
      <c r="F897" s="9"/>
    </row>
    <row r="898">
      <c r="A898" s="10"/>
      <c r="B898" s="10"/>
      <c r="C898" s="10"/>
      <c r="D898" s="10"/>
      <c r="E898" s="10"/>
      <c r="F898" s="9"/>
    </row>
    <row r="899">
      <c r="A899" s="10"/>
      <c r="B899" s="10"/>
      <c r="C899" s="10"/>
      <c r="D899" s="10"/>
      <c r="E899" s="10"/>
      <c r="F899" s="9"/>
    </row>
    <row r="900">
      <c r="A900" s="10"/>
      <c r="B900" s="10"/>
      <c r="C900" s="10"/>
      <c r="D900" s="10"/>
      <c r="E900" s="10"/>
      <c r="F900" s="9"/>
    </row>
    <row r="901">
      <c r="A901" s="10"/>
      <c r="B901" s="10"/>
      <c r="C901" s="10"/>
      <c r="D901" s="10"/>
      <c r="E901" s="10"/>
      <c r="F901" s="9"/>
    </row>
    <row r="902">
      <c r="A902" s="10"/>
      <c r="B902" s="10"/>
      <c r="C902" s="10"/>
      <c r="D902" s="10"/>
      <c r="E902" s="10"/>
      <c r="F902" s="9"/>
    </row>
    <row r="903">
      <c r="A903" s="10"/>
      <c r="B903" s="10"/>
      <c r="C903" s="10"/>
      <c r="D903" s="10"/>
      <c r="E903" s="10"/>
      <c r="F903" s="9"/>
    </row>
    <row r="904">
      <c r="A904" s="10"/>
      <c r="B904" s="10"/>
      <c r="C904" s="10"/>
      <c r="D904" s="10"/>
      <c r="E904" s="10"/>
      <c r="F904" s="9"/>
    </row>
    <row r="905">
      <c r="A905" s="10"/>
      <c r="B905" s="10"/>
      <c r="C905" s="10"/>
      <c r="D905" s="10"/>
      <c r="E905" s="10"/>
      <c r="F905" s="9"/>
    </row>
    <row r="906">
      <c r="A906" s="10"/>
      <c r="B906" s="10"/>
      <c r="C906" s="10"/>
      <c r="D906" s="10"/>
      <c r="E906" s="10"/>
      <c r="F906" s="9"/>
    </row>
    <row r="907">
      <c r="A907" s="10"/>
      <c r="B907" s="10"/>
      <c r="C907" s="10"/>
      <c r="D907" s="10"/>
      <c r="E907" s="10"/>
      <c r="F907" s="9"/>
    </row>
    <row r="908">
      <c r="A908" s="10"/>
      <c r="B908" s="10"/>
      <c r="C908" s="10"/>
      <c r="D908" s="10"/>
      <c r="E908" s="10"/>
      <c r="F908" s="9"/>
    </row>
    <row r="909">
      <c r="A909" s="10"/>
      <c r="B909" s="10"/>
      <c r="C909" s="10"/>
      <c r="D909" s="10"/>
      <c r="E909" s="10"/>
      <c r="F909" s="9"/>
    </row>
    <row r="910">
      <c r="A910" s="10"/>
      <c r="B910" s="10"/>
      <c r="C910" s="10"/>
      <c r="D910" s="10"/>
      <c r="E910" s="10"/>
      <c r="F910" s="9"/>
    </row>
    <row r="911">
      <c r="A911" s="10"/>
      <c r="B911" s="10"/>
      <c r="C911" s="10"/>
      <c r="D911" s="10"/>
      <c r="E911" s="10"/>
      <c r="F911" s="9"/>
    </row>
    <row r="912">
      <c r="A912" s="10"/>
      <c r="B912" s="10"/>
      <c r="C912" s="10"/>
      <c r="D912" s="10"/>
      <c r="E912" s="10"/>
      <c r="F912" s="9"/>
    </row>
    <row r="913">
      <c r="A913" s="10"/>
      <c r="B913" s="10"/>
      <c r="C913" s="10"/>
      <c r="D913" s="10"/>
      <c r="E913" s="10"/>
      <c r="F913" s="9"/>
    </row>
    <row r="914">
      <c r="A914" s="10"/>
      <c r="B914" s="10"/>
      <c r="C914" s="10"/>
      <c r="D914" s="10"/>
      <c r="E914" s="10"/>
      <c r="F914" s="9"/>
    </row>
    <row r="915">
      <c r="A915" s="10"/>
      <c r="B915" s="10"/>
      <c r="C915" s="10"/>
      <c r="D915" s="10"/>
      <c r="E915" s="10"/>
      <c r="F915" s="9"/>
    </row>
    <row r="916">
      <c r="A916" s="10"/>
      <c r="B916" s="10"/>
      <c r="C916" s="10"/>
      <c r="D916" s="10"/>
      <c r="E916" s="10"/>
      <c r="F916" s="9"/>
    </row>
    <row r="917">
      <c r="A917" s="10"/>
      <c r="B917" s="10"/>
      <c r="C917" s="10"/>
      <c r="D917" s="10"/>
      <c r="E917" s="10"/>
      <c r="F917" s="9"/>
    </row>
    <row r="918">
      <c r="A918" s="10"/>
      <c r="B918" s="10"/>
      <c r="C918" s="10"/>
      <c r="D918" s="10"/>
      <c r="E918" s="10"/>
      <c r="F918" s="9"/>
    </row>
    <row r="919">
      <c r="A919" s="10"/>
      <c r="B919" s="10"/>
      <c r="C919" s="10"/>
      <c r="D919" s="10"/>
      <c r="E919" s="10"/>
      <c r="F919" s="9"/>
    </row>
    <row r="920">
      <c r="A920" s="10"/>
      <c r="B920" s="10"/>
      <c r="C920" s="10"/>
      <c r="D920" s="10"/>
      <c r="E920" s="10"/>
      <c r="F920" s="9"/>
    </row>
    <row r="921">
      <c r="A921" s="10"/>
      <c r="B921" s="10"/>
      <c r="C921" s="10"/>
      <c r="D921" s="10"/>
      <c r="E921" s="10"/>
      <c r="F921" s="9"/>
    </row>
    <row r="922">
      <c r="A922" s="10"/>
      <c r="B922" s="10"/>
      <c r="C922" s="10"/>
      <c r="D922" s="10"/>
      <c r="E922" s="10"/>
      <c r="F922" s="9"/>
    </row>
    <row r="923">
      <c r="A923" s="10"/>
      <c r="B923" s="10"/>
      <c r="C923" s="10"/>
      <c r="D923" s="10"/>
      <c r="E923" s="10"/>
      <c r="F923" s="9"/>
    </row>
    <row r="924">
      <c r="A924" s="10"/>
      <c r="B924" s="10"/>
      <c r="C924" s="10"/>
      <c r="D924" s="10"/>
      <c r="E924" s="10"/>
      <c r="F924" s="9"/>
    </row>
    <row r="925">
      <c r="A925" s="10"/>
      <c r="B925" s="10"/>
      <c r="C925" s="10"/>
      <c r="D925" s="10"/>
      <c r="E925" s="10"/>
      <c r="F925" s="9"/>
    </row>
    <row r="926">
      <c r="A926" s="10"/>
      <c r="B926" s="10"/>
      <c r="C926" s="10"/>
      <c r="D926" s="10"/>
      <c r="E926" s="10"/>
      <c r="F926" s="9"/>
    </row>
    <row r="927">
      <c r="A927" s="10"/>
      <c r="B927" s="10"/>
      <c r="C927" s="10"/>
      <c r="D927" s="10"/>
      <c r="E927" s="10"/>
      <c r="F927" s="9"/>
    </row>
    <row r="928">
      <c r="A928" s="10"/>
      <c r="B928" s="10"/>
      <c r="C928" s="10"/>
      <c r="D928" s="10"/>
      <c r="E928" s="10"/>
      <c r="F928" s="9"/>
    </row>
    <row r="929">
      <c r="A929" s="10"/>
      <c r="B929" s="10"/>
      <c r="C929" s="10"/>
      <c r="D929" s="10"/>
      <c r="E929" s="10"/>
      <c r="F929" s="9"/>
    </row>
    <row r="930">
      <c r="A930" s="10"/>
      <c r="B930" s="10"/>
      <c r="C930" s="10"/>
      <c r="D930" s="10"/>
      <c r="E930" s="10"/>
      <c r="F930" s="9"/>
    </row>
    <row r="931">
      <c r="A931" s="10"/>
      <c r="B931" s="10"/>
      <c r="C931" s="10"/>
      <c r="D931" s="10"/>
      <c r="E931" s="10"/>
      <c r="F931" s="9"/>
    </row>
    <row r="932">
      <c r="A932" s="10"/>
      <c r="B932" s="10"/>
      <c r="C932" s="10"/>
      <c r="D932" s="10"/>
      <c r="E932" s="10"/>
      <c r="F932" s="9"/>
    </row>
    <row r="933">
      <c r="A933" s="10"/>
      <c r="B933" s="10"/>
      <c r="C933" s="10"/>
      <c r="D933" s="10"/>
      <c r="E933" s="10"/>
      <c r="F933" s="9"/>
    </row>
    <row r="934">
      <c r="A934" s="10"/>
      <c r="B934" s="10"/>
      <c r="C934" s="10"/>
      <c r="D934" s="10"/>
      <c r="E934" s="10"/>
      <c r="F934" s="9"/>
    </row>
    <row r="935">
      <c r="A935" s="10"/>
      <c r="B935" s="10"/>
      <c r="C935" s="10"/>
      <c r="D935" s="10"/>
      <c r="E935" s="10"/>
      <c r="F935" s="9"/>
    </row>
    <row r="936">
      <c r="A936" s="10"/>
      <c r="B936" s="10"/>
      <c r="C936" s="10"/>
      <c r="D936" s="10"/>
      <c r="E936" s="10"/>
      <c r="F936" s="9"/>
    </row>
    <row r="937">
      <c r="A937" s="10"/>
      <c r="B937" s="10"/>
      <c r="C937" s="10"/>
      <c r="D937" s="10"/>
      <c r="E937" s="10"/>
      <c r="F937" s="9"/>
    </row>
    <row r="938">
      <c r="A938" s="10"/>
      <c r="B938" s="10"/>
      <c r="C938" s="10"/>
      <c r="D938" s="10"/>
      <c r="E938" s="10"/>
      <c r="F938" s="9"/>
    </row>
    <row r="939">
      <c r="A939" s="10"/>
      <c r="B939" s="10"/>
      <c r="C939" s="10"/>
      <c r="D939" s="10"/>
      <c r="E939" s="10"/>
      <c r="F939" s="9"/>
    </row>
    <row r="940">
      <c r="A940" s="10"/>
      <c r="B940" s="10"/>
      <c r="C940" s="10"/>
      <c r="D940" s="10"/>
      <c r="E940" s="10"/>
      <c r="F940" s="9"/>
    </row>
    <row r="941">
      <c r="A941" s="10"/>
      <c r="B941" s="10"/>
      <c r="C941" s="10"/>
      <c r="D941" s="10"/>
      <c r="E941" s="10"/>
      <c r="F941" s="9"/>
    </row>
    <row r="942">
      <c r="A942" s="10"/>
      <c r="B942" s="10"/>
      <c r="C942" s="10"/>
      <c r="D942" s="10"/>
      <c r="E942" s="10"/>
      <c r="F942" s="9"/>
    </row>
    <row r="943">
      <c r="A943" s="10"/>
      <c r="B943" s="10"/>
      <c r="C943" s="10"/>
      <c r="D943" s="10"/>
      <c r="E943" s="10"/>
      <c r="F943" s="9"/>
    </row>
    <row r="944">
      <c r="A944" s="10"/>
      <c r="B944" s="10"/>
      <c r="C944" s="10"/>
      <c r="D944" s="10"/>
      <c r="E944" s="10"/>
      <c r="F944" s="9"/>
    </row>
    <row r="945">
      <c r="A945" s="10"/>
      <c r="B945" s="10"/>
      <c r="C945" s="10"/>
      <c r="D945" s="10"/>
      <c r="E945" s="10"/>
      <c r="F945" s="9"/>
    </row>
    <row r="946">
      <c r="A946" s="10"/>
      <c r="B946" s="10"/>
      <c r="C946" s="10"/>
      <c r="D946" s="10"/>
      <c r="E946" s="10"/>
      <c r="F946" s="9"/>
    </row>
    <row r="947">
      <c r="A947" s="10"/>
      <c r="B947" s="10"/>
      <c r="C947" s="10"/>
      <c r="D947" s="10"/>
      <c r="E947" s="10"/>
      <c r="F947" s="9"/>
    </row>
    <row r="948">
      <c r="A948" s="10"/>
      <c r="B948" s="10"/>
      <c r="C948" s="10"/>
      <c r="D948" s="10"/>
      <c r="E948" s="10"/>
      <c r="F948" s="9"/>
    </row>
    <row r="949">
      <c r="A949" s="10"/>
      <c r="B949" s="10"/>
      <c r="C949" s="10"/>
      <c r="D949" s="10"/>
      <c r="E949" s="10"/>
      <c r="F949" s="9"/>
    </row>
    <row r="950">
      <c r="A950" s="10"/>
      <c r="B950" s="10"/>
      <c r="C950" s="10"/>
      <c r="D950" s="10"/>
      <c r="E950" s="10"/>
      <c r="F950" s="9"/>
    </row>
    <row r="951">
      <c r="A951" s="10"/>
      <c r="B951" s="10"/>
      <c r="C951" s="10"/>
      <c r="D951" s="10"/>
      <c r="E951" s="10"/>
      <c r="F951" s="9"/>
    </row>
    <row r="952">
      <c r="A952" s="10"/>
      <c r="B952" s="10"/>
      <c r="C952" s="10"/>
      <c r="D952" s="10"/>
      <c r="E952" s="10"/>
      <c r="F952" s="9"/>
    </row>
    <row r="953">
      <c r="A953" s="10"/>
      <c r="B953" s="10"/>
      <c r="C953" s="10"/>
      <c r="D953" s="10"/>
      <c r="E953" s="10"/>
      <c r="F953" s="9"/>
    </row>
    <row r="954">
      <c r="A954" s="10"/>
      <c r="B954" s="10"/>
      <c r="C954" s="10"/>
      <c r="D954" s="10"/>
      <c r="E954" s="10"/>
      <c r="F954" s="9"/>
    </row>
    <row r="955">
      <c r="A955" s="10"/>
      <c r="B955" s="10"/>
      <c r="C955" s="10"/>
      <c r="D955" s="10"/>
      <c r="E955" s="10"/>
      <c r="F955" s="9"/>
    </row>
    <row r="956">
      <c r="A956" s="10"/>
      <c r="B956" s="10"/>
      <c r="C956" s="10"/>
      <c r="D956" s="10"/>
      <c r="E956" s="10"/>
      <c r="F956" s="9"/>
    </row>
    <row r="957">
      <c r="A957" s="10"/>
      <c r="B957" s="10"/>
      <c r="C957" s="10"/>
      <c r="D957" s="10"/>
      <c r="E957" s="10"/>
      <c r="F957" s="9"/>
    </row>
    <row r="958">
      <c r="A958" s="10"/>
      <c r="B958" s="10"/>
      <c r="C958" s="10"/>
      <c r="D958" s="10"/>
      <c r="E958" s="10"/>
      <c r="F958" s="9"/>
    </row>
    <row r="959">
      <c r="A959" s="10"/>
      <c r="B959" s="10"/>
      <c r="C959" s="10"/>
      <c r="D959" s="10"/>
      <c r="E959" s="10"/>
      <c r="F959" s="9"/>
    </row>
    <row r="960">
      <c r="A960" s="10"/>
      <c r="B960" s="10"/>
      <c r="C960" s="10"/>
      <c r="D960" s="10"/>
      <c r="E960" s="10"/>
      <c r="F960" s="9"/>
    </row>
    <row r="961">
      <c r="A961" s="10"/>
      <c r="B961" s="10"/>
      <c r="C961" s="10"/>
      <c r="D961" s="10"/>
      <c r="E961" s="10"/>
      <c r="F961" s="9"/>
    </row>
    <row r="962">
      <c r="A962" s="10"/>
      <c r="B962" s="10"/>
      <c r="C962" s="10"/>
      <c r="D962" s="10"/>
      <c r="E962" s="10"/>
      <c r="F962" s="9"/>
    </row>
    <row r="963">
      <c r="A963" s="10"/>
      <c r="B963" s="10"/>
      <c r="C963" s="10"/>
      <c r="D963" s="10"/>
      <c r="E963" s="10"/>
      <c r="F963" s="9"/>
    </row>
    <row r="964">
      <c r="A964" s="10"/>
      <c r="B964" s="10"/>
      <c r="C964" s="10"/>
      <c r="D964" s="10"/>
      <c r="E964" s="10"/>
      <c r="F964" s="9"/>
    </row>
    <row r="965">
      <c r="A965" s="10"/>
      <c r="B965" s="10"/>
      <c r="C965" s="10"/>
      <c r="D965" s="10"/>
      <c r="E965" s="10"/>
      <c r="F965" s="9"/>
    </row>
    <row r="966">
      <c r="A966" s="10"/>
      <c r="B966" s="10"/>
      <c r="C966" s="10"/>
      <c r="D966" s="10"/>
      <c r="E966" s="10"/>
      <c r="F966" s="9"/>
    </row>
    <row r="967">
      <c r="A967" s="10"/>
      <c r="B967" s="10"/>
      <c r="C967" s="10"/>
      <c r="D967" s="10"/>
      <c r="E967" s="10"/>
      <c r="F967" s="9"/>
    </row>
    <row r="968">
      <c r="A968" s="10"/>
      <c r="B968" s="10"/>
      <c r="C968" s="10"/>
      <c r="D968" s="10"/>
      <c r="E968" s="10"/>
      <c r="F968" s="9"/>
    </row>
    <row r="969">
      <c r="A969" s="10"/>
      <c r="B969" s="10"/>
      <c r="C969" s="10"/>
      <c r="D969" s="10"/>
      <c r="E969" s="10"/>
      <c r="F969" s="9"/>
    </row>
    <row r="970">
      <c r="A970" s="10"/>
      <c r="B970" s="10"/>
      <c r="C970" s="10"/>
      <c r="D970" s="10"/>
      <c r="E970" s="10"/>
      <c r="F970" s="9"/>
    </row>
    <row r="971">
      <c r="A971" s="10"/>
      <c r="B971" s="10"/>
      <c r="C971" s="10"/>
      <c r="D971" s="10"/>
      <c r="E971" s="10"/>
      <c r="F971" s="9"/>
    </row>
    <row r="972">
      <c r="A972" s="10"/>
      <c r="B972" s="10"/>
      <c r="C972" s="10"/>
      <c r="D972" s="10"/>
      <c r="E972" s="10"/>
      <c r="F972" s="9"/>
    </row>
    <row r="973">
      <c r="A973" s="10"/>
      <c r="B973" s="10"/>
      <c r="C973" s="10"/>
      <c r="D973" s="10"/>
      <c r="E973" s="10"/>
      <c r="F973" s="9"/>
    </row>
    <row r="974">
      <c r="A974" s="10"/>
      <c r="B974" s="10"/>
      <c r="C974" s="10"/>
      <c r="D974" s="10"/>
      <c r="E974" s="10"/>
      <c r="F974" s="9"/>
    </row>
    <row r="975">
      <c r="A975" s="10"/>
      <c r="B975" s="10"/>
      <c r="C975" s="10"/>
      <c r="D975" s="10"/>
      <c r="E975" s="10"/>
      <c r="F975" s="9"/>
    </row>
    <row r="976">
      <c r="A976" s="10"/>
      <c r="B976" s="10"/>
      <c r="C976" s="10"/>
      <c r="D976" s="10"/>
      <c r="E976" s="10"/>
      <c r="F976" s="9"/>
    </row>
    <row r="977">
      <c r="A977" s="10"/>
      <c r="B977" s="10"/>
      <c r="C977" s="10"/>
      <c r="D977" s="10"/>
      <c r="E977" s="10"/>
      <c r="F977" s="9"/>
    </row>
    <row r="978">
      <c r="A978" s="10"/>
      <c r="B978" s="10"/>
      <c r="C978" s="10"/>
      <c r="D978" s="10"/>
      <c r="E978" s="10"/>
      <c r="F978" s="9"/>
    </row>
    <row r="979">
      <c r="A979" s="10"/>
      <c r="B979" s="10"/>
      <c r="C979" s="10"/>
      <c r="D979" s="10"/>
      <c r="E979" s="10"/>
      <c r="F979" s="9"/>
    </row>
    <row r="980">
      <c r="A980" s="10"/>
      <c r="B980" s="10"/>
      <c r="C980" s="10"/>
      <c r="D980" s="10"/>
      <c r="E980" s="10"/>
      <c r="F980" s="9"/>
    </row>
    <row r="981">
      <c r="A981" s="10"/>
      <c r="B981" s="10"/>
      <c r="C981" s="10"/>
      <c r="D981" s="10"/>
      <c r="E981" s="10"/>
      <c r="F981" s="9"/>
    </row>
    <row r="982">
      <c r="A982" s="10"/>
      <c r="B982" s="10"/>
      <c r="C982" s="10"/>
      <c r="D982" s="10"/>
      <c r="E982" s="10"/>
      <c r="F982" s="9"/>
    </row>
    <row r="983">
      <c r="A983" s="10"/>
      <c r="B983" s="10"/>
      <c r="C983" s="10"/>
      <c r="D983" s="10"/>
      <c r="E983" s="10"/>
      <c r="F983" s="9"/>
    </row>
    <row r="984">
      <c r="A984" s="10"/>
      <c r="B984" s="10"/>
      <c r="C984" s="10"/>
      <c r="D984" s="10"/>
      <c r="E984" s="10"/>
      <c r="F984" s="9"/>
    </row>
    <row r="985">
      <c r="A985" s="10"/>
      <c r="B985" s="10"/>
      <c r="C985" s="10"/>
      <c r="D985" s="10"/>
      <c r="E985" s="10"/>
      <c r="F985" s="9"/>
    </row>
    <row r="986">
      <c r="A986" s="10"/>
      <c r="B986" s="10"/>
      <c r="C986" s="10"/>
      <c r="D986" s="10"/>
      <c r="E986" s="10"/>
      <c r="F986" s="9"/>
    </row>
    <row r="987">
      <c r="A987" s="10"/>
      <c r="B987" s="10"/>
      <c r="C987" s="10"/>
      <c r="D987" s="10"/>
      <c r="E987" s="10"/>
      <c r="F987" s="9"/>
    </row>
    <row r="988">
      <c r="A988" s="10"/>
      <c r="B988" s="10"/>
      <c r="C988" s="10"/>
      <c r="D988" s="10"/>
      <c r="E988" s="10"/>
      <c r="F988" s="9"/>
    </row>
    <row r="989">
      <c r="A989" s="10"/>
      <c r="B989" s="10"/>
      <c r="C989" s="10"/>
      <c r="D989" s="10"/>
      <c r="E989" s="10"/>
      <c r="F989" s="9"/>
    </row>
    <row r="990">
      <c r="A990" s="10"/>
      <c r="B990" s="10"/>
      <c r="C990" s="10"/>
      <c r="D990" s="10"/>
      <c r="E990" s="10"/>
      <c r="F990" s="9"/>
    </row>
    <row r="991">
      <c r="A991" s="10"/>
      <c r="B991" s="10"/>
      <c r="C991" s="10"/>
      <c r="D991" s="10"/>
      <c r="E991" s="10"/>
      <c r="F991" s="9"/>
    </row>
    <row r="992">
      <c r="A992" s="10"/>
      <c r="B992" s="10"/>
      <c r="C992" s="10"/>
      <c r="D992" s="10"/>
      <c r="E992" s="10"/>
      <c r="F992" s="9"/>
    </row>
    <row r="993">
      <c r="A993" s="10"/>
      <c r="B993" s="10"/>
      <c r="C993" s="10"/>
      <c r="D993" s="10"/>
      <c r="E993" s="10"/>
      <c r="F993" s="9"/>
    </row>
    <row r="994">
      <c r="A994" s="10"/>
      <c r="B994" s="10"/>
      <c r="C994" s="10"/>
      <c r="D994" s="10"/>
      <c r="E994" s="10"/>
      <c r="F994" s="9"/>
    </row>
    <row r="995">
      <c r="A995" s="10"/>
      <c r="B995" s="10"/>
      <c r="C995" s="10"/>
      <c r="D995" s="10"/>
      <c r="E995" s="10"/>
      <c r="F995" s="9"/>
    </row>
    <row r="996">
      <c r="A996" s="10"/>
      <c r="B996" s="10"/>
      <c r="C996" s="10"/>
      <c r="D996" s="10"/>
      <c r="E996" s="10"/>
      <c r="F996" s="9"/>
    </row>
    <row r="997">
      <c r="A997" s="10"/>
      <c r="B997" s="10"/>
      <c r="C997" s="10"/>
      <c r="D997" s="10"/>
      <c r="E997" s="10"/>
      <c r="F997" s="9"/>
    </row>
  </sheetData>
  <drawing r:id="rId2"/>
  <legacyDrawing r:id="rId3"/>
</worksheet>
</file>